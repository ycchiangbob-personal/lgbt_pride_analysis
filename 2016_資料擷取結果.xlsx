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16_dim_donor" sheetId="2" state="visible" r:id="rId2"/>
    <sheet xmlns:r="http://schemas.openxmlformats.org/officeDocument/2006/relationships" name="2016_dim_year" sheetId="3" state="visible" r:id="rId3"/>
    <sheet xmlns:r="http://schemas.openxmlformats.org/officeDocument/2006/relationships" name="2016_map_item_year" sheetId="4" state="visible" r:id="rId4"/>
    <sheet xmlns:r="http://schemas.openxmlformats.org/officeDocument/2006/relationships" name="2016_fact_sponsorship" sheetId="5" state="visible" r:id="rId5"/>
    <sheet xmlns:r="http://schemas.openxmlformats.org/officeDocument/2006/relationships" name="2016_fact_item_pick" sheetId="6" state="visible" r:id="rId6"/>
    <sheet xmlns:r="http://schemas.openxmlformats.org/officeDocument/2006/relationships" name="2016_fact_market_booth" sheetId="7" state="visible" r:id="rId7"/>
    <sheet xmlns:r="http://schemas.openxmlformats.org/officeDocument/2006/relationships" name="修訂紀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D5E3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2016 年贊助資料擷取結果（v2 — 已套用使用者決策）</t>
        </is>
      </c>
    </row>
    <row r="3">
      <c r="A3" t="inlineStr">
        <is>
          <t>來源檔案</t>
        </is>
      </c>
      <c r="B3" t="inlineStr">
        <is>
          <t>2016廠商聯絡明細表.xlsx → 合作品項一覽表 分頁</t>
        </is>
      </c>
    </row>
    <row r="4">
      <c r="A4" t="inlineStr">
        <is>
          <t>擷取版本</t>
        </is>
      </c>
      <c r="B4" t="inlineStr">
        <is>
          <t>v2（已套用 4 項使用者決策）</t>
        </is>
      </c>
    </row>
    <row r="5">
      <c r="A5" t="inlineStr">
        <is>
          <t>總廠商數</t>
        </is>
      </c>
      <c r="B5" t="inlineStr">
        <is>
          <t>15 家</t>
        </is>
      </c>
    </row>
    <row r="6">
      <c r="A6" t="inlineStr"/>
      <c r="B6" t="inlineStr"/>
    </row>
    <row r="7">
      <c r="A7" s="2">
        <f>== 使用者決策（v1 → v2 變更）===</f>
        <v/>
      </c>
      <c r="B7" t="inlineStr"/>
    </row>
    <row r="8">
      <c r="A8" t="inlineStr">
        <is>
          <t>決策 1</t>
        </is>
      </c>
      <c r="B8" t="inlineStr">
        <is>
          <t>粉紅卡夫卡、酷兒影展 → fact_sponsorship T6（從 fact_market_booth 移出）</t>
        </is>
      </c>
    </row>
    <row r="9">
      <c r="A9" t="inlineStr">
        <is>
          <t>決策 2</t>
        </is>
      </c>
      <c r="B9" t="inlineStr">
        <is>
          <t>不考慮實收，全部金額採用「報價」欄位</t>
        </is>
      </c>
    </row>
    <row r="10">
      <c r="A10" t="inlineStr">
        <is>
          <t>決策 3</t>
        </is>
      </c>
      <c r="B10" t="inlineStr">
        <is>
          <t>同志咨詢熱線協會（協辦團體）排除，不列入贊助資料</t>
        </is>
      </c>
    </row>
    <row r="11">
      <c r="A11" t="inlineStr">
        <is>
          <t>決策 4</t>
        </is>
      </c>
      <c r="B11" t="inlineStr">
        <is>
          <t>已報價未付款保留（Hornet 50k、Tokyo Rainbow Pride 30k）</t>
        </is>
      </c>
    </row>
    <row r="12">
      <c r="A12" t="inlineStr"/>
      <c r="B12" t="inlineStr"/>
    </row>
    <row r="13">
      <c r="A13" s="2">
        <f>== 分類結果 ===</f>
        <v/>
      </c>
      <c r="B13" t="inlineStr"/>
    </row>
    <row r="14">
      <c r="A14" t="inlineStr">
        <is>
          <t xml:space="preserve">  fact_sponsorship 已付款</t>
        </is>
      </c>
      <c r="B14" t="inlineStr">
        <is>
          <t>11 家</t>
        </is>
      </c>
    </row>
    <row r="15">
      <c r="A15" t="inlineStr">
        <is>
          <t xml:space="preserve">  fact_sponsorship 未付款（僅報價）</t>
        </is>
      </c>
      <c r="B15" t="inlineStr">
        <is>
          <t>2 家</t>
        </is>
      </c>
    </row>
    <row r="16">
      <c r="A16" t="inlineStr">
        <is>
          <t xml:space="preserve">  fact_market_booth</t>
        </is>
      </c>
      <c r="B16" t="inlineStr">
        <is>
          <t>2 家</t>
        </is>
      </c>
    </row>
    <row r="17">
      <c r="A17" t="inlineStr">
        <is>
          <t xml:space="preserve">  總計</t>
        </is>
      </c>
      <c r="B17" t="inlineStr">
        <is>
          <t>15 家</t>
        </is>
      </c>
    </row>
    <row r="18">
      <c r="A18" t="inlineStr">
        <is>
          <t xml:space="preserve">  排除</t>
        </is>
      </c>
      <c r="B18" t="inlineStr">
        <is>
          <t>同志咨詢熱線協會（協辦團體）、Uber（無報價無入帳）</t>
        </is>
      </c>
    </row>
    <row r="19">
      <c r="A19" t="inlineStr"/>
      <c r="B19" t="inlineStr"/>
    </row>
    <row r="20">
      <c r="A20" s="2">
        <f>== 主級別分布 ===</f>
        <v/>
      </c>
      <c r="B20" t="inlineStr"/>
    </row>
    <row r="21">
      <c r="A21" t="inlineStr">
        <is>
          <t xml:space="preserve">  T5（40k–149k）</t>
        </is>
      </c>
      <c r="B21" t="inlineStr">
        <is>
          <t>10 家</t>
        </is>
      </c>
    </row>
    <row r="22">
      <c r="A22" t="inlineStr">
        <is>
          <t xml:space="preserve">  T6（&lt; 40k）</t>
        </is>
      </c>
      <c r="B22" t="inlineStr">
        <is>
          <t>3 家</t>
        </is>
      </c>
    </row>
    <row r="23">
      <c r="A23" t="inlineStr"/>
      <c r="B23" t="inlineStr"/>
    </row>
    <row r="24">
      <c r="A24" s="2">
        <f>== 重要備註 ===</f>
        <v/>
      </c>
      <c r="B24" t="inlineStr"/>
    </row>
    <row r="25">
      <c r="A25" t="inlineStr">
        <is>
          <t>國際人權特赦組織(AI)</t>
        </is>
      </c>
      <c r="B25" t="inlineStr">
        <is>
          <t>報價 20,000，依決策 #2 與粉紅卡夫卡、酷兒影展同為 20k，但你只指定移動 2 家，故仍保留在 fact_market_booth。若要一併移到 T6 請告知。</t>
        </is>
      </c>
    </row>
    <row r="26">
      <c r="A26" t="inlineStr">
        <is>
          <t>辻利茶舖</t>
        </is>
      </c>
      <c r="B26" t="inlineStr">
        <is>
          <t>原報價 125,000（DM 40k + 攤位 85k），實收 89,000。依決策 #2 採用報價金額。</t>
        </is>
      </c>
    </row>
    <row r="27">
      <c r="A27" t="inlineStr"/>
      <c r="B27" t="inlineStr"/>
    </row>
    <row r="28">
      <c r="A28" s="2">
        <f>== 來源檔案中已忽略的資料 ===</f>
        <v/>
      </c>
      <c r="B28" t="inlineStr"/>
    </row>
    <row r="29">
      <c r="A29" t="inlineStr">
        <is>
          <t>分頁「正處理中」</t>
        </is>
      </c>
      <c r="B29" t="inlineStr">
        <is>
          <t>CRM pipeline 性質，未確認的廠商，未納入</t>
        </is>
      </c>
    </row>
    <row r="30">
      <c r="A30" t="inlineStr">
        <is>
          <t>分頁「不合作」</t>
        </is>
      </c>
      <c r="B30" t="inlineStr">
        <is>
          <t>婉拒合作的廠商，未納入</t>
        </is>
      </c>
    </row>
    <row r="31">
      <c r="A31" t="inlineStr">
        <is>
          <t>瓶裝水/酷卡/投影幕/舞台下緣看板</t>
        </is>
      </c>
      <c r="B31" t="inlineStr">
        <is>
          <t>2016 年無人購買，未產生資料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3" customWidth="1" min="3" max="3"/>
    <col width="8" customWidth="1" min="4" max="4"/>
    <col width="11" customWidth="1" min="5" max="5"/>
    <col width="7" customWidth="1" min="6" max="6"/>
    <col width="9" customWidth="1" min="7" max="7"/>
    <col width="9" customWidth="1" min="8" max="8"/>
    <col width="12" customWidth="1" min="9" max="9"/>
    <col width="17" customWidth="1" min="10" max="10"/>
    <col width="10" customWidth="1" min="11" max="11"/>
    <col width="10" customWidth="1" min="12" max="12"/>
    <col width="33" customWidth="1" min="13" max="13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英文名稱</t>
        </is>
      </c>
      <c r="D1" s="3" t="inlineStr">
        <is>
          <t>別名清單</t>
        </is>
      </c>
      <c r="E1" s="3" t="inlineStr">
        <is>
          <t>產業分類</t>
        </is>
      </c>
      <c r="F1" s="3" t="inlineStr">
        <is>
          <t>母公司</t>
        </is>
      </c>
      <c r="G1" s="3" t="inlineStr">
        <is>
          <t>首次贊助年</t>
        </is>
      </c>
      <c r="H1" s="3" t="inlineStr">
        <is>
          <t>最近贊助年</t>
        </is>
      </c>
      <c r="I1" s="3" t="inlineStr">
        <is>
          <t>累積贊助金額</t>
        </is>
      </c>
      <c r="J1" s="3" t="inlineStr">
        <is>
          <t>客戶生命週期階段</t>
        </is>
      </c>
      <c r="K1" s="3" t="inlineStr">
        <is>
          <t>曾為級別廠商</t>
        </is>
      </c>
      <c r="L1" s="3" t="inlineStr">
        <is>
          <t>曾為市集攤位</t>
        </is>
      </c>
      <c r="M1" s="3" t="inlineStr">
        <is>
          <t>備註</t>
        </is>
      </c>
    </row>
    <row r="2">
      <c r="A2" t="inlineStr">
        <is>
          <t>D0001</t>
        </is>
      </c>
      <c r="B2" t="inlineStr">
        <is>
          <t>辻利茶舖</t>
        </is>
      </c>
      <c r="C2" t="inlineStr"/>
      <c r="D2" t="inlineStr"/>
      <c r="E2" t="inlineStr">
        <is>
          <t>餐飲</t>
        </is>
      </c>
      <c r="F2" t="inlineStr"/>
      <c r="G2" t="n">
        <v>2016</v>
      </c>
      <c r="H2" t="n">
        <v>2016</v>
      </c>
      <c r="I2" t="n">
        <v>125000</v>
      </c>
      <c r="J2" t="inlineStr">
        <is>
          <t>🆕 Acquisition</t>
        </is>
      </c>
      <c r="K2" t="inlineStr">
        <is>
          <t>是</t>
        </is>
      </c>
      <c r="L2" t="inlineStr">
        <is>
          <t>否</t>
        </is>
      </c>
      <c r="M2" t="inlineStr"/>
    </row>
    <row r="3">
      <c r="A3" t="inlineStr">
        <is>
          <t>D0002</t>
        </is>
      </c>
      <c r="B3" t="inlineStr">
        <is>
          <t>Par.T</t>
        </is>
      </c>
      <c r="C3" t="inlineStr">
        <is>
          <t>Par.T</t>
        </is>
      </c>
      <c r="D3" t="inlineStr"/>
      <c r="E3" t="inlineStr">
        <is>
          <t>夜店／娛樂</t>
        </is>
      </c>
      <c r="F3" t="inlineStr"/>
      <c r="G3" t="n">
        <v>2016</v>
      </c>
      <c r="H3" t="n">
        <v>2016</v>
      </c>
      <c r="I3" t="n">
        <v>110000</v>
      </c>
      <c r="J3" t="inlineStr">
        <is>
          <t>🆕 Acquisition</t>
        </is>
      </c>
      <c r="K3" t="inlineStr">
        <is>
          <t>是</t>
        </is>
      </c>
      <c r="L3" t="inlineStr">
        <is>
          <t>否</t>
        </is>
      </c>
      <c r="M3" t="inlineStr"/>
    </row>
    <row r="4">
      <c r="A4" t="inlineStr">
        <is>
          <t>D0003</t>
        </is>
      </c>
      <c r="B4" t="inlineStr">
        <is>
          <t>Blue</t>
        </is>
      </c>
      <c r="C4" t="inlineStr">
        <is>
          <t>Blue</t>
        </is>
      </c>
      <c r="D4" t="inlineStr"/>
      <c r="E4" t="inlineStr">
        <is>
          <t>夜店／娛樂</t>
        </is>
      </c>
      <c r="F4" t="inlineStr"/>
      <c r="G4" t="n">
        <v>2016</v>
      </c>
      <c r="H4" t="n">
        <v>2016</v>
      </c>
      <c r="I4" t="n">
        <v>80000</v>
      </c>
      <c r="J4" t="inlineStr">
        <is>
          <t>🆕 Acquisition</t>
        </is>
      </c>
      <c r="K4" t="inlineStr">
        <is>
          <t>是</t>
        </is>
      </c>
      <c r="L4" t="inlineStr">
        <is>
          <t>否</t>
        </is>
      </c>
      <c r="M4" t="inlineStr"/>
    </row>
    <row r="5">
      <c r="A5" t="inlineStr">
        <is>
          <t>D0004</t>
        </is>
      </c>
      <c r="B5" t="inlineStr">
        <is>
          <t>Destination,Beijing</t>
        </is>
      </c>
      <c r="C5" t="inlineStr">
        <is>
          <t>Destination,Beijing</t>
        </is>
      </c>
      <c r="D5" t="inlineStr"/>
      <c r="E5" t="inlineStr">
        <is>
          <t>夜店／娛樂</t>
        </is>
      </c>
      <c r="F5" t="inlineStr"/>
      <c r="G5" t="n">
        <v>2016</v>
      </c>
      <c r="H5" t="n">
        <v>2016</v>
      </c>
      <c r="I5" t="n">
        <v>80000</v>
      </c>
      <c r="J5" t="inlineStr">
        <is>
          <t>🆕 Acquisition</t>
        </is>
      </c>
      <c r="K5" t="inlineStr">
        <is>
          <t>是</t>
        </is>
      </c>
      <c r="L5" t="inlineStr">
        <is>
          <t>否</t>
        </is>
      </c>
      <c r="M5" t="inlineStr"/>
    </row>
    <row r="6">
      <c r="A6" t="inlineStr">
        <is>
          <t>D0005</t>
        </is>
      </c>
      <c r="B6" t="inlineStr">
        <is>
          <t>愛滋病理協會</t>
        </is>
      </c>
      <c r="C6" t="inlineStr"/>
      <c r="D6" t="inlineStr"/>
      <c r="E6" t="inlineStr">
        <is>
          <t>公益／NGO</t>
        </is>
      </c>
      <c r="F6" t="inlineStr"/>
      <c r="G6" t="n">
        <v>2016</v>
      </c>
      <c r="H6" t="n">
        <v>2016</v>
      </c>
      <c r="I6" t="n">
        <v>60000</v>
      </c>
      <c r="J6" t="inlineStr">
        <is>
          <t>🆕 Acquisition</t>
        </is>
      </c>
      <c r="K6" t="inlineStr">
        <is>
          <t>是</t>
        </is>
      </c>
      <c r="L6" t="inlineStr">
        <is>
          <t>否</t>
        </is>
      </c>
      <c r="M6" t="inlineStr"/>
    </row>
    <row r="7">
      <c r="A7" t="inlineStr">
        <is>
          <t>D0006</t>
        </is>
      </c>
      <c r="B7" t="inlineStr">
        <is>
          <t>拉拉公園</t>
        </is>
      </c>
      <c r="C7" t="inlineStr"/>
      <c r="D7" t="inlineStr"/>
      <c r="E7" t="inlineStr">
        <is>
          <t>LGBT 媒體</t>
        </is>
      </c>
      <c r="F7" t="inlineStr"/>
      <c r="G7" t="n">
        <v>2016</v>
      </c>
      <c r="H7" t="n">
        <v>2016</v>
      </c>
      <c r="I7" t="n">
        <v>60000</v>
      </c>
      <c r="J7" t="inlineStr">
        <is>
          <t>🆕 Acquisition</t>
        </is>
      </c>
      <c r="K7" t="inlineStr">
        <is>
          <t>是</t>
        </is>
      </c>
      <c r="L7" t="inlineStr">
        <is>
          <t>否</t>
        </is>
      </c>
      <c r="M7" t="inlineStr"/>
    </row>
    <row r="8">
      <c r="A8" t="inlineStr">
        <is>
          <t>D0007</t>
        </is>
      </c>
      <c r="B8" t="inlineStr">
        <is>
          <t>華泰飯店</t>
        </is>
      </c>
      <c r="C8" t="inlineStr"/>
      <c r="D8" t="inlineStr"/>
      <c r="E8" t="inlineStr">
        <is>
          <t>飯店</t>
        </is>
      </c>
      <c r="F8" t="inlineStr"/>
      <c r="G8" t="n">
        <v>2016</v>
      </c>
      <c r="H8" t="n">
        <v>2016</v>
      </c>
      <c r="I8" t="n">
        <v>60000</v>
      </c>
      <c r="J8" t="inlineStr">
        <is>
          <t>🆕 Acquisition</t>
        </is>
      </c>
      <c r="K8" t="inlineStr">
        <is>
          <t>是</t>
        </is>
      </c>
      <c r="L8" t="inlineStr">
        <is>
          <t>否</t>
        </is>
      </c>
      <c r="M8" t="inlineStr"/>
    </row>
    <row r="9">
      <c r="A9" s="4" t="inlineStr">
        <is>
          <t>D0008</t>
        </is>
      </c>
      <c r="B9" s="4" t="inlineStr">
        <is>
          <t>Hornet</t>
        </is>
      </c>
      <c r="C9" s="4" t="inlineStr">
        <is>
          <t>Hornet</t>
        </is>
      </c>
      <c r="D9" s="4" t="inlineStr"/>
      <c r="E9" s="4" t="inlineStr">
        <is>
          <t>社交軟體</t>
        </is>
      </c>
      <c r="F9" s="4" t="inlineStr"/>
      <c r="G9" s="4" t="n">
        <v>2016</v>
      </c>
      <c r="H9" s="4" t="n">
        <v>2016</v>
      </c>
      <c r="I9" s="4" t="n">
        <v>50000</v>
      </c>
      <c r="J9" s="4" t="inlineStr">
        <is>
          <t>🆕 Acquisition</t>
        </is>
      </c>
      <c r="K9" s="4" t="inlineStr">
        <is>
          <t>是</t>
        </is>
      </c>
      <c r="L9" s="4" t="inlineStr">
        <is>
          <t>否</t>
        </is>
      </c>
      <c r="M9" s="4" t="inlineStr">
        <is>
          <t>報價未付款</t>
        </is>
      </c>
    </row>
    <row r="10">
      <c r="A10" t="inlineStr">
        <is>
          <t>D0009</t>
        </is>
      </c>
      <c r="B10" t="inlineStr">
        <is>
          <t>基本書坊</t>
        </is>
      </c>
      <c r="C10" t="inlineStr"/>
      <c r="D10" t="inlineStr"/>
      <c r="E10" t="inlineStr">
        <is>
          <t>書店／文創</t>
        </is>
      </c>
      <c r="F10" t="inlineStr"/>
      <c r="G10" t="n">
        <v>2016</v>
      </c>
      <c r="H10" t="n">
        <v>2016</v>
      </c>
      <c r="I10" t="n">
        <v>50000</v>
      </c>
      <c r="J10" t="inlineStr">
        <is>
          <t>🆕 Acquisition</t>
        </is>
      </c>
      <c r="K10" t="inlineStr">
        <is>
          <t>是</t>
        </is>
      </c>
      <c r="L10" t="inlineStr">
        <is>
          <t>否</t>
        </is>
      </c>
      <c r="M10" t="inlineStr"/>
    </row>
    <row r="11">
      <c r="A11" t="inlineStr">
        <is>
          <t>D0010</t>
        </is>
      </c>
      <c r="B11" t="inlineStr">
        <is>
          <t>金鑛咖啡</t>
        </is>
      </c>
      <c r="C11" t="inlineStr"/>
      <c r="D11" t="inlineStr"/>
      <c r="E11" t="inlineStr">
        <is>
          <t>餐飲</t>
        </is>
      </c>
      <c r="F11" t="inlineStr"/>
      <c r="G11" t="n">
        <v>2016</v>
      </c>
      <c r="H11" t="n">
        <v>2016</v>
      </c>
      <c r="I11" t="n">
        <v>40000</v>
      </c>
      <c r="J11" t="inlineStr">
        <is>
          <t>🆕 Acquisition</t>
        </is>
      </c>
      <c r="K11" t="inlineStr">
        <is>
          <t>是</t>
        </is>
      </c>
      <c r="L11" t="inlineStr">
        <is>
          <t>否</t>
        </is>
      </c>
      <c r="M11" t="inlineStr"/>
    </row>
    <row r="12">
      <c r="A12" s="4" t="inlineStr">
        <is>
          <t>D0011</t>
        </is>
      </c>
      <c r="B12" s="4" t="inlineStr">
        <is>
          <t>Tokyo RainBow Pride</t>
        </is>
      </c>
      <c r="C12" s="4" t="inlineStr">
        <is>
          <t>Tokyo RainBow Pride</t>
        </is>
      </c>
      <c r="D12" s="4" t="inlineStr"/>
      <c r="E12" s="4" t="inlineStr">
        <is>
          <t>海外友台組織</t>
        </is>
      </c>
      <c r="F12" s="4" t="inlineStr"/>
      <c r="G12" s="4" t="n">
        <v>2016</v>
      </c>
      <c r="H12" s="4" t="n">
        <v>2016</v>
      </c>
      <c r="I12" s="4" t="n">
        <v>30000</v>
      </c>
      <c r="J12" s="4" t="inlineStr">
        <is>
          <t>🆕 Acquisition</t>
        </is>
      </c>
      <c r="K12" s="4" t="inlineStr">
        <is>
          <t>是</t>
        </is>
      </c>
      <c r="L12" s="4" t="inlineStr">
        <is>
          <t>否</t>
        </is>
      </c>
      <c r="M12" s="4" t="inlineStr">
        <is>
          <t>報價未付款</t>
        </is>
      </c>
    </row>
    <row r="13">
      <c r="A13" t="inlineStr">
        <is>
          <t>D0012</t>
        </is>
      </c>
      <c r="B13" t="inlineStr">
        <is>
          <t>國際人權特赦組織(AI)</t>
        </is>
      </c>
      <c r="C13" t="inlineStr"/>
      <c r="D13" t="inlineStr"/>
      <c r="E13" t="inlineStr">
        <is>
          <t>公益／NGO</t>
        </is>
      </c>
      <c r="F13" t="inlineStr"/>
      <c r="G13" t="n">
        <v>2016</v>
      </c>
      <c r="H13" t="n">
        <v>2016</v>
      </c>
      <c r="I13" t="n">
        <v>20000</v>
      </c>
      <c r="J13" t="inlineStr">
        <is>
          <t>🆕 Acquisition</t>
        </is>
      </c>
      <c r="K13" t="inlineStr">
        <is>
          <t>否</t>
        </is>
      </c>
      <c r="L13" t="inlineStr">
        <is>
          <t>是</t>
        </is>
      </c>
      <c r="M13" t="inlineStr">
        <is>
          <t>報價 20k，目前列為 fact_market_booth</t>
        </is>
      </c>
    </row>
    <row r="14">
      <c r="A14" t="inlineStr">
        <is>
          <t>D0013</t>
        </is>
      </c>
      <c r="B14" t="inlineStr">
        <is>
          <t>粉紅卡夫卡</t>
        </is>
      </c>
      <c r="C14" t="inlineStr"/>
      <c r="D14" t="inlineStr"/>
      <c r="E14" t="inlineStr">
        <is>
          <t>文創</t>
        </is>
      </c>
      <c r="F14" t="inlineStr"/>
      <c r="G14" t="n">
        <v>2016</v>
      </c>
      <c r="H14" t="n">
        <v>2016</v>
      </c>
      <c r="I14" t="n">
        <v>20000</v>
      </c>
      <c r="J14" t="inlineStr">
        <is>
          <t>🆕 Acquisition</t>
        </is>
      </c>
      <c r="K14" t="inlineStr">
        <is>
          <t>是</t>
        </is>
      </c>
      <c r="L14" t="inlineStr">
        <is>
          <t>否</t>
        </is>
      </c>
      <c r="M14" t="inlineStr"/>
    </row>
    <row r="15">
      <c r="A15" t="inlineStr">
        <is>
          <t>D0014</t>
        </is>
      </c>
      <c r="B15" t="inlineStr">
        <is>
          <t>酷兒影展</t>
        </is>
      </c>
      <c r="C15" t="inlineStr"/>
      <c r="D15" t="inlineStr"/>
      <c r="E15" t="inlineStr">
        <is>
          <t>影展／文化</t>
        </is>
      </c>
      <c r="F15" t="inlineStr"/>
      <c r="G15" t="n">
        <v>2016</v>
      </c>
      <c r="H15" t="n">
        <v>2016</v>
      </c>
      <c r="I15" t="n">
        <v>20000</v>
      </c>
      <c r="J15" t="inlineStr">
        <is>
          <t>🆕 Acquisition</t>
        </is>
      </c>
      <c r="K15" t="inlineStr">
        <is>
          <t>是</t>
        </is>
      </c>
      <c r="L15" t="inlineStr">
        <is>
          <t>否</t>
        </is>
      </c>
      <c r="M15" t="inlineStr"/>
    </row>
    <row r="16">
      <c r="A16" t="inlineStr">
        <is>
          <t>D0015</t>
        </is>
      </c>
      <c r="B16" t="inlineStr">
        <is>
          <t>島國前進</t>
        </is>
      </c>
      <c r="C16" t="inlineStr"/>
      <c r="D16" t="inlineStr"/>
      <c r="E16" t="inlineStr">
        <is>
          <t>公益／NGO</t>
        </is>
      </c>
      <c r="F16" t="inlineStr"/>
      <c r="G16" t="n">
        <v>2016</v>
      </c>
      <c r="H16" t="n">
        <v>2016</v>
      </c>
      <c r="I16" t="n">
        <v>3000</v>
      </c>
      <c r="J16" t="inlineStr">
        <is>
          <t>🆕 Acquisition</t>
        </is>
      </c>
      <c r="K16" t="inlineStr">
        <is>
          <t>否</t>
        </is>
      </c>
      <c r="L16" t="inlineStr">
        <is>
          <t>是</t>
        </is>
      </c>
      <c r="M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14" customWidth="1" min="4" max="4"/>
    <col width="10" customWidth="1" min="5" max="5"/>
    <col width="13" customWidth="1" min="6" max="6"/>
    <col width="9" customWidth="1" min="7" max="7"/>
    <col width="10" customWidth="1" min="8" max="8"/>
    <col width="25" customWidth="1" min="9" max="9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總贊助金額（報價）</t>
        </is>
      </c>
      <c r="G1" s="3" t="inlineStr">
        <is>
          <t>該年級別數</t>
        </is>
      </c>
      <c r="H1" s="3" t="inlineStr">
        <is>
          <t>該年品項總數</t>
        </is>
      </c>
      <c r="I1" s="3" t="inlineStr">
        <is>
          <t>備註</t>
        </is>
      </c>
    </row>
    <row r="2">
      <c r="A2" t="n">
        <v>2016</v>
      </c>
      <c r="B2" t="n">
        <v>14</v>
      </c>
      <c r="C2" t="inlineStr">
        <is>
          <t>一起 FUN 出來</t>
        </is>
      </c>
      <c r="D2" t="inlineStr">
        <is>
          <t>2016-10-29</t>
        </is>
      </c>
      <c r="E2" t="n">
        <v>15</v>
      </c>
      <c r="F2" t="n">
        <v>808000</v>
      </c>
      <c r="G2" t="n">
        <v>0</v>
      </c>
      <c r="H2" t="n">
        <v>10</v>
      </c>
      <c r="I2" t="inlineStr">
        <is>
          <t>尚無級別制度，主級別依報價對應 T1–T6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10" customWidth="1" min="4" max="4"/>
  </cols>
  <sheetData>
    <row r="1">
      <c r="A1" s="3" t="inlineStr">
        <is>
          <t>年度</t>
        </is>
      </c>
      <c r="B1" s="3" t="inlineStr">
        <is>
          <t>原始品項名稱</t>
        </is>
      </c>
      <c r="C1" s="3" t="inlineStr">
        <is>
          <t>主品項分類</t>
        </is>
      </c>
      <c r="D1" s="3" t="inlineStr">
        <is>
          <t>備註</t>
        </is>
      </c>
    </row>
    <row r="2">
      <c r="A2" t="n">
        <v>2016</v>
      </c>
      <c r="B2" t="inlineStr">
        <is>
          <t>遊行當天DM贊助</t>
        </is>
      </c>
      <c r="C2" t="inlineStr">
        <is>
          <t>印刷品贊助</t>
        </is>
      </c>
      <c r="D2" t="inlineStr"/>
    </row>
    <row r="3">
      <c r="A3" t="n">
        <v>2016</v>
      </c>
      <c r="B3" t="inlineStr">
        <is>
          <t>官網banner</t>
        </is>
      </c>
      <c r="C3" t="inlineStr">
        <is>
          <t>線上版位露出</t>
        </is>
      </c>
      <c r="D3" t="inlineStr"/>
    </row>
    <row r="4">
      <c r="A4" t="n">
        <v>2016</v>
      </c>
      <c r="B4" t="inlineStr">
        <is>
          <t>攤位帳篷</t>
        </is>
      </c>
      <c r="C4" t="inlineStr">
        <is>
          <t>市集帳篷</t>
        </is>
      </c>
      <c r="D4" t="inlineStr"/>
    </row>
    <row r="5">
      <c r="A5" t="n">
        <v>2016</v>
      </c>
      <c r="B5" t="inlineStr">
        <is>
          <t>遊行花車(A車) / 大隊車</t>
        </is>
      </c>
      <c r="C5" t="inlineStr">
        <is>
          <t>花車</t>
        </is>
      </c>
      <c r="D5" t="inlineStr"/>
    </row>
    <row r="6">
      <c r="A6" t="n">
        <v>2016</v>
      </c>
      <c r="B6" t="inlineStr">
        <is>
          <t>遊行花車(B車) / 商業車路權</t>
        </is>
      </c>
      <c r="C6" t="inlineStr">
        <is>
          <t>花車</t>
        </is>
      </c>
      <c r="D6" t="inlineStr"/>
    </row>
    <row r="7">
      <c r="A7" t="n">
        <v>2016</v>
      </c>
      <c r="B7" t="inlineStr">
        <is>
          <t>鷹架旁看板廣告</t>
        </is>
      </c>
      <c r="C7" t="inlineStr">
        <is>
          <t>現場版位露出</t>
        </is>
      </c>
      <c r="D7" t="inlineStr"/>
    </row>
    <row r="8">
      <c r="A8" t="n">
        <v>2016</v>
      </c>
      <c r="B8" t="inlineStr">
        <is>
          <t>瓶裝水 / (60 箱 ，24 瓶 / 箱 )</t>
        </is>
      </c>
      <c r="C8" t="inlineStr">
        <is>
          <t>其他合作</t>
        </is>
      </c>
      <c r="D8" t="inlineStr">
        <is>
          <t>本年度無贊助</t>
        </is>
      </c>
    </row>
    <row r="9">
      <c r="A9" t="n">
        <v>2016</v>
      </c>
      <c r="B9" t="inlineStr">
        <is>
          <t>酷卡</t>
        </is>
      </c>
      <c r="C9" t="inlineStr">
        <is>
          <t>印刷品贊助</t>
        </is>
      </c>
      <c r="D9" t="inlineStr">
        <is>
          <t>本年度無贊助</t>
        </is>
      </c>
    </row>
    <row r="10">
      <c r="A10" t="n">
        <v>2016</v>
      </c>
      <c r="B10" t="inlineStr">
        <is>
          <t>投影幕下方看板廣告</t>
        </is>
      </c>
      <c r="C10" t="inlineStr">
        <is>
          <t>現場版位露出</t>
        </is>
      </c>
      <c r="D10" t="inlineStr">
        <is>
          <t>本年度無贊助</t>
        </is>
      </c>
    </row>
    <row r="11">
      <c r="A11" t="n">
        <v>2016</v>
      </c>
      <c r="B11" t="inlineStr">
        <is>
          <t>舞台下緣看板</t>
        </is>
      </c>
      <c r="C11" t="inlineStr">
        <is>
          <t>現場版位露出</t>
        </is>
      </c>
      <c r="D11" t="inlineStr">
        <is>
          <t>本年度無贊助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8" customWidth="1" min="4" max="4"/>
    <col width="10" customWidth="1" min="5" max="5"/>
    <col width="9" customWidth="1" min="6" max="6"/>
    <col width="12" customWidth="1" min="7" max="7"/>
    <col width="13" customWidth="1" min="8" max="8"/>
    <col width="8" customWidth="1" min="9" max="9"/>
    <col width="19" customWidth="1" min="10" max="10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業務窗口</t>
        </is>
      </c>
      <c r="I1" s="3" t="inlineStr">
        <is>
          <t>付款狀態</t>
        </is>
      </c>
      <c r="J1" s="3" t="inlineStr">
        <is>
          <t>備註</t>
        </is>
      </c>
    </row>
    <row r="2">
      <c r="A2" t="inlineStr">
        <is>
          <t>2016-D0001-01</t>
        </is>
      </c>
      <c r="B2" t="inlineStr">
        <is>
          <t>D0001</t>
        </is>
      </c>
      <c r="C2" t="inlineStr">
        <is>
          <t>辻利茶舖</t>
        </is>
      </c>
      <c r="D2" t="n">
        <v>2016</v>
      </c>
      <c r="E2" t="inlineStr">
        <is>
          <t>未分級</t>
        </is>
      </c>
      <c r="F2" t="inlineStr">
        <is>
          <t>T5</t>
        </is>
      </c>
      <c r="G2" t="n">
        <v>125000</v>
      </c>
      <c r="H2" t="inlineStr">
        <is>
          <t>Ruby</t>
        </is>
      </c>
      <c r="I2" t="inlineStr">
        <is>
          <t>已付款</t>
        </is>
      </c>
      <c r="J2" t="inlineStr"/>
    </row>
    <row r="3">
      <c r="A3" t="inlineStr">
        <is>
          <t>2016-D0002-01</t>
        </is>
      </c>
      <c r="B3" t="inlineStr">
        <is>
          <t>D0002</t>
        </is>
      </c>
      <c r="C3" t="inlineStr">
        <is>
          <t>Par.T</t>
        </is>
      </c>
      <c r="D3" t="n">
        <v>2016</v>
      </c>
      <c r="E3" t="inlineStr">
        <is>
          <t>未分級</t>
        </is>
      </c>
      <c r="F3" t="inlineStr">
        <is>
          <t>T5</t>
        </is>
      </c>
      <c r="G3" t="n">
        <v>110000</v>
      </c>
      <c r="H3" t="inlineStr">
        <is>
          <t>玉甄 &amp; Ruby</t>
        </is>
      </c>
      <c r="I3" t="inlineStr">
        <is>
          <t>已付款</t>
        </is>
      </c>
      <c r="J3" t="inlineStr"/>
    </row>
    <row r="4">
      <c r="A4" t="inlineStr">
        <is>
          <t>2016-D0003-01</t>
        </is>
      </c>
      <c r="B4" t="inlineStr">
        <is>
          <t>D0003</t>
        </is>
      </c>
      <c r="C4" t="inlineStr">
        <is>
          <t>Blue</t>
        </is>
      </c>
      <c r="D4" t="n">
        <v>2016</v>
      </c>
      <c r="E4" t="inlineStr">
        <is>
          <t>未分級</t>
        </is>
      </c>
      <c r="F4" t="inlineStr">
        <is>
          <t>T5</t>
        </is>
      </c>
      <c r="G4" t="n">
        <v>80000</v>
      </c>
      <c r="H4" t="inlineStr">
        <is>
          <t>Albert</t>
        </is>
      </c>
      <c r="I4" t="inlineStr">
        <is>
          <t>已付款</t>
        </is>
      </c>
      <c r="J4" t="inlineStr"/>
    </row>
    <row r="5">
      <c r="A5" t="inlineStr">
        <is>
          <t>2016-D0004-01</t>
        </is>
      </c>
      <c r="B5" t="inlineStr">
        <is>
          <t>D0004</t>
        </is>
      </c>
      <c r="C5" t="inlineStr">
        <is>
          <t>Destination,Beijing</t>
        </is>
      </c>
      <c r="D5" t="n">
        <v>2016</v>
      </c>
      <c r="E5" t="inlineStr">
        <is>
          <t>未分級</t>
        </is>
      </c>
      <c r="F5" t="inlineStr">
        <is>
          <t>T5</t>
        </is>
      </c>
      <c r="G5" t="n">
        <v>80000</v>
      </c>
      <c r="H5" t="inlineStr">
        <is>
          <t>Albert</t>
        </is>
      </c>
      <c r="I5" t="inlineStr">
        <is>
          <t>已付款</t>
        </is>
      </c>
      <c r="J5" t="inlineStr"/>
    </row>
    <row r="6">
      <c r="A6" t="inlineStr">
        <is>
          <t>2016-D0005-01</t>
        </is>
      </c>
      <c r="B6" t="inlineStr">
        <is>
          <t>D0005</t>
        </is>
      </c>
      <c r="C6" t="inlineStr">
        <is>
          <t>愛滋病理協會</t>
        </is>
      </c>
      <c r="D6" t="n">
        <v>2016</v>
      </c>
      <c r="E6" t="inlineStr">
        <is>
          <t>未分級</t>
        </is>
      </c>
      <c r="F6" t="inlineStr">
        <is>
          <t>T5</t>
        </is>
      </c>
      <c r="G6" t="n">
        <v>60000</v>
      </c>
      <c r="H6" t="inlineStr">
        <is>
          <t>Albert</t>
        </is>
      </c>
      <c r="I6" t="inlineStr">
        <is>
          <t>已付款</t>
        </is>
      </c>
      <c r="J6" t="inlineStr"/>
    </row>
    <row r="7">
      <c r="A7" t="inlineStr">
        <is>
          <t>2016-D0006-01</t>
        </is>
      </c>
      <c r="B7" t="inlineStr">
        <is>
          <t>D0006</t>
        </is>
      </c>
      <c r="C7" t="inlineStr">
        <is>
          <t>拉拉公園</t>
        </is>
      </c>
      <c r="D7" t="n">
        <v>2016</v>
      </c>
      <c r="E7" t="inlineStr">
        <is>
          <t>未分級</t>
        </is>
      </c>
      <c r="F7" t="inlineStr">
        <is>
          <t>T5</t>
        </is>
      </c>
      <c r="G7" t="n">
        <v>60000</v>
      </c>
      <c r="H7" t="inlineStr">
        <is>
          <t>Albert</t>
        </is>
      </c>
      <c r="I7" t="inlineStr">
        <is>
          <t>已付款</t>
        </is>
      </c>
      <c r="J7" t="inlineStr"/>
    </row>
    <row r="8">
      <c r="A8" t="inlineStr">
        <is>
          <t>2016-D0007-01</t>
        </is>
      </c>
      <c r="B8" t="inlineStr">
        <is>
          <t>D0007</t>
        </is>
      </c>
      <c r="C8" t="inlineStr">
        <is>
          <t>華泰飯店</t>
        </is>
      </c>
      <c r="D8" t="n">
        <v>2016</v>
      </c>
      <c r="E8" t="inlineStr">
        <is>
          <t>未分級</t>
        </is>
      </c>
      <c r="F8" t="inlineStr">
        <is>
          <t>T5</t>
        </is>
      </c>
      <c r="G8" t="n">
        <v>60000</v>
      </c>
      <c r="H8" t="inlineStr">
        <is>
          <t>苡昇 &amp;  阿莫</t>
        </is>
      </c>
      <c r="I8" t="inlineStr">
        <is>
          <t>已付款</t>
        </is>
      </c>
      <c r="J8" t="inlineStr"/>
    </row>
    <row r="9">
      <c r="A9" s="4" t="inlineStr">
        <is>
          <t>2016-D0008-01</t>
        </is>
      </c>
      <c r="B9" s="4" t="inlineStr">
        <is>
          <t>D0008</t>
        </is>
      </c>
      <c r="C9" s="4" t="inlineStr">
        <is>
          <t>Hornet</t>
        </is>
      </c>
      <c r="D9" s="4" t="n">
        <v>2016</v>
      </c>
      <c r="E9" s="4" t="inlineStr">
        <is>
          <t>未分級</t>
        </is>
      </c>
      <c r="F9" s="4" t="inlineStr">
        <is>
          <t>T5</t>
        </is>
      </c>
      <c r="G9" s="4" t="n">
        <v>50000</v>
      </c>
      <c r="H9" s="4" t="inlineStr">
        <is>
          <t>Albert</t>
        </is>
      </c>
      <c r="I9" s="4" t="inlineStr">
        <is>
          <t>未付款</t>
        </is>
      </c>
      <c r="J9" s="4" t="inlineStr">
        <is>
          <t>報價但未實際入帳，列為潛在客戶</t>
        </is>
      </c>
    </row>
    <row r="10">
      <c r="A10" t="inlineStr">
        <is>
          <t>2016-D0009-01</t>
        </is>
      </c>
      <c r="B10" t="inlineStr">
        <is>
          <t>D0009</t>
        </is>
      </c>
      <c r="C10" t="inlineStr">
        <is>
          <t>基本書坊</t>
        </is>
      </c>
      <c r="D10" t="n">
        <v>2016</v>
      </c>
      <c r="E10" t="inlineStr">
        <is>
          <t>未分級</t>
        </is>
      </c>
      <c r="F10" t="inlineStr">
        <is>
          <t>T5</t>
        </is>
      </c>
      <c r="G10" t="n">
        <v>50000</v>
      </c>
      <c r="H10" t="inlineStr">
        <is>
          <t>宏展</t>
        </is>
      </c>
      <c r="I10" t="inlineStr">
        <is>
          <t>已付款</t>
        </is>
      </c>
      <c r="J10" t="inlineStr"/>
    </row>
    <row r="11">
      <c r="A11" t="inlineStr">
        <is>
          <t>2016-D0010-01</t>
        </is>
      </c>
      <c r="B11" t="inlineStr">
        <is>
          <t>D0010</t>
        </is>
      </c>
      <c r="C11" t="inlineStr">
        <is>
          <t>金鑛咖啡</t>
        </is>
      </c>
      <c r="D11" t="n">
        <v>2016</v>
      </c>
      <c r="E11" t="inlineStr">
        <is>
          <t>未分級</t>
        </is>
      </c>
      <c r="F11" t="inlineStr">
        <is>
          <t>T5</t>
        </is>
      </c>
      <c r="G11" t="n">
        <v>40000</v>
      </c>
      <c r="H11" t="inlineStr">
        <is>
          <t>苡昇</t>
        </is>
      </c>
      <c r="I11" t="inlineStr">
        <is>
          <t>已付款</t>
        </is>
      </c>
      <c r="J11" t="inlineStr"/>
    </row>
    <row r="12">
      <c r="A12" s="4" t="inlineStr">
        <is>
          <t>2016-D0011-01</t>
        </is>
      </c>
      <c r="B12" s="4" t="inlineStr">
        <is>
          <t>D0011</t>
        </is>
      </c>
      <c r="C12" s="4" t="inlineStr">
        <is>
          <t>Tokyo RainBow Pride</t>
        </is>
      </c>
      <c r="D12" s="4" t="n">
        <v>2016</v>
      </c>
      <c r="E12" s="4" t="inlineStr">
        <is>
          <t>未分級</t>
        </is>
      </c>
      <c r="F12" s="4" t="inlineStr">
        <is>
          <t>T6</t>
        </is>
      </c>
      <c r="G12" s="4" t="n">
        <v>30000</v>
      </c>
      <c r="H12" s="4" t="inlineStr">
        <is>
          <t>Albert</t>
        </is>
      </c>
      <c r="I12" s="4" t="inlineStr">
        <is>
          <t>未付款</t>
        </is>
      </c>
      <c r="J12" s="4" t="inlineStr">
        <is>
          <t>報價但未實際入帳，列為潛在客戶</t>
        </is>
      </c>
    </row>
    <row r="13">
      <c r="A13" t="inlineStr">
        <is>
          <t>2016-D0013-01</t>
        </is>
      </c>
      <c r="B13" t="inlineStr">
        <is>
          <t>D0013</t>
        </is>
      </c>
      <c r="C13" t="inlineStr">
        <is>
          <t>粉紅卡夫卡</t>
        </is>
      </c>
      <c r="D13" t="n">
        <v>2016</v>
      </c>
      <c r="E13" t="inlineStr">
        <is>
          <t>未分級</t>
        </is>
      </c>
      <c r="F13" t="inlineStr">
        <is>
          <t>T6</t>
        </is>
      </c>
      <c r="G13" t="n">
        <v>20000</v>
      </c>
      <c r="H13" t="inlineStr">
        <is>
          <t>苡昇</t>
        </is>
      </c>
      <c r="I13" t="inlineStr">
        <is>
          <t>已付款</t>
        </is>
      </c>
      <c r="J13" t="inlineStr"/>
    </row>
    <row r="14">
      <c r="A14" t="inlineStr">
        <is>
          <t>2016-D0014-01</t>
        </is>
      </c>
      <c r="B14" t="inlineStr">
        <is>
          <t>D0014</t>
        </is>
      </c>
      <c r="C14" t="inlineStr">
        <is>
          <t>酷兒影展</t>
        </is>
      </c>
      <c r="D14" t="n">
        <v>2016</v>
      </c>
      <c r="E14" t="inlineStr">
        <is>
          <t>未分級</t>
        </is>
      </c>
      <c r="F14" t="inlineStr">
        <is>
          <t>T6</t>
        </is>
      </c>
      <c r="G14" t="n">
        <v>20000</v>
      </c>
      <c r="H14" t="inlineStr">
        <is>
          <t>苡昇 &amp;  阿莫</t>
        </is>
      </c>
      <c r="I14" t="inlineStr">
        <is>
          <t>已付款</t>
        </is>
      </c>
      <c r="J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23" customWidth="1" min="4" max="4"/>
    <col width="8" customWidth="1" min="5" max="5"/>
    <col width="20" customWidth="1" min="6" max="6"/>
    <col width="10" customWidth="1" min="7" max="7"/>
    <col width="13" customWidth="1" min="8" max="8"/>
    <col width="7" customWidth="1" min="9" max="9"/>
  </cols>
  <sheetData>
    <row r="1">
      <c r="A1" s="3" t="inlineStr">
        <is>
          <t>品項紀錄編號</t>
        </is>
      </c>
      <c r="B1" s="3" t="inlineStr">
        <is>
          <t>合約編號</t>
        </is>
      </c>
      <c r="C1" s="3" t="inlineStr">
        <is>
          <t>廠商編號</t>
        </is>
      </c>
      <c r="D1" s="3" t="inlineStr">
        <is>
          <t>廠商名稱</t>
        </is>
      </c>
      <c r="E1" s="3" t="inlineStr">
        <is>
          <t>年度</t>
        </is>
      </c>
      <c r="F1" s="3" t="inlineStr">
        <is>
          <t>原始品項名稱</t>
        </is>
      </c>
      <c r="G1" s="3" t="inlineStr">
        <is>
          <t>主品項分類</t>
        </is>
      </c>
      <c r="H1" s="3" t="inlineStr">
        <is>
          <t>單品項金額（報價）</t>
        </is>
      </c>
      <c r="I1" s="3" t="inlineStr">
        <is>
          <t>備註</t>
        </is>
      </c>
    </row>
    <row r="2">
      <c r="A2" t="inlineStr">
        <is>
          <t>2016-D0009-01-P001</t>
        </is>
      </c>
      <c r="B2" t="inlineStr">
        <is>
          <t>2016-D0009-01</t>
        </is>
      </c>
      <c r="C2" t="inlineStr">
        <is>
          <t>D0009</t>
        </is>
      </c>
      <c r="D2" t="inlineStr">
        <is>
          <t>基本書坊</t>
        </is>
      </c>
      <c r="E2" t="n">
        <v>2016</v>
      </c>
      <c r="F2" t="inlineStr">
        <is>
          <t>遊行當天DM贊助</t>
        </is>
      </c>
      <c r="G2" t="inlineStr">
        <is>
          <t>印刷品贊助</t>
        </is>
      </c>
      <c r="H2" t="n">
        <v>30000</v>
      </c>
      <c r="I2" t="inlineStr"/>
    </row>
    <row r="3">
      <c r="A3" t="inlineStr">
        <is>
          <t>2016-D0001-01-P002</t>
        </is>
      </c>
      <c r="B3" t="inlineStr">
        <is>
          <t>2016-D0001-01</t>
        </is>
      </c>
      <c r="C3" t="inlineStr">
        <is>
          <t>D0001</t>
        </is>
      </c>
      <c r="D3" t="inlineStr">
        <is>
          <t>辻利茶舖</t>
        </is>
      </c>
      <c r="E3" t="n">
        <v>2016</v>
      </c>
      <c r="F3" t="inlineStr">
        <is>
          <t>遊行當天DM贊助</t>
        </is>
      </c>
      <c r="G3" t="inlineStr">
        <is>
          <t>印刷品贊助</t>
        </is>
      </c>
      <c r="H3" t="n">
        <v>40000</v>
      </c>
      <c r="I3" t="inlineStr"/>
    </row>
    <row r="4">
      <c r="A4" t="inlineStr">
        <is>
          <t>2016-D0008-01-P003</t>
        </is>
      </c>
      <c r="B4" t="inlineStr">
        <is>
          <t>2016-D0008-01</t>
        </is>
      </c>
      <c r="C4" t="inlineStr">
        <is>
          <t>D0008</t>
        </is>
      </c>
      <c r="D4" t="inlineStr">
        <is>
          <t>Hornet</t>
        </is>
      </c>
      <c r="E4" t="n">
        <v>2016</v>
      </c>
      <c r="F4" t="inlineStr">
        <is>
          <t>遊行當天DM贊助</t>
        </is>
      </c>
      <c r="G4" t="inlineStr">
        <is>
          <t>印刷品贊助</t>
        </is>
      </c>
      <c r="H4" t="n">
        <v>50000</v>
      </c>
      <c r="I4" t="inlineStr">
        <is>
          <t>未入帳</t>
        </is>
      </c>
    </row>
    <row r="5">
      <c r="A5" t="inlineStr">
        <is>
          <t>2016-D0002-01-P004</t>
        </is>
      </c>
      <c r="B5" t="inlineStr">
        <is>
          <t>2016-D0002-01</t>
        </is>
      </c>
      <c r="C5" t="inlineStr">
        <is>
          <t>D0002</t>
        </is>
      </c>
      <c r="D5" t="inlineStr">
        <is>
          <t>Par.T</t>
        </is>
      </c>
      <c r="E5" t="n">
        <v>2016</v>
      </c>
      <c r="F5" t="inlineStr">
        <is>
          <t>官網banner</t>
        </is>
      </c>
      <c r="G5" t="inlineStr">
        <is>
          <t>線上版位露出</t>
        </is>
      </c>
      <c r="H5" t="n">
        <v>10000</v>
      </c>
      <c r="I5" t="inlineStr"/>
    </row>
    <row r="6">
      <c r="A6" t="inlineStr">
        <is>
          <t>2016-D0002-01-P005</t>
        </is>
      </c>
      <c r="B6" t="inlineStr">
        <is>
          <t>2016-D0002-01</t>
        </is>
      </c>
      <c r="C6" t="inlineStr">
        <is>
          <t>D0002</t>
        </is>
      </c>
      <c r="D6" t="inlineStr">
        <is>
          <t>Par.T</t>
        </is>
      </c>
      <c r="E6" t="n">
        <v>2016</v>
      </c>
      <c r="F6" t="inlineStr">
        <is>
          <t>攤位帳篷</t>
        </is>
      </c>
      <c r="G6" t="inlineStr">
        <is>
          <t>市集帳篷</t>
        </is>
      </c>
      <c r="H6" t="n">
        <v>100000</v>
      </c>
      <c r="I6" t="inlineStr"/>
    </row>
    <row r="7">
      <c r="A7" t="inlineStr">
        <is>
          <t>2016-D0010-01-P006</t>
        </is>
      </c>
      <c r="B7" t="inlineStr">
        <is>
          <t>2016-D0010-01</t>
        </is>
      </c>
      <c r="C7" t="inlineStr">
        <is>
          <t>D0010</t>
        </is>
      </c>
      <c r="D7" t="inlineStr">
        <is>
          <t>金鑛咖啡</t>
        </is>
      </c>
      <c r="E7" t="n">
        <v>2016</v>
      </c>
      <c r="F7" t="inlineStr">
        <is>
          <t>攤位帳篷</t>
        </is>
      </c>
      <c r="G7" t="inlineStr">
        <is>
          <t>市集帳篷</t>
        </is>
      </c>
      <c r="H7" t="n">
        <v>40000</v>
      </c>
      <c r="I7" t="inlineStr"/>
    </row>
    <row r="8">
      <c r="A8" t="inlineStr">
        <is>
          <t>2016-D0009-01-P007</t>
        </is>
      </c>
      <c r="B8" t="inlineStr">
        <is>
          <t>2016-D0009-01</t>
        </is>
      </c>
      <c r="C8" t="inlineStr">
        <is>
          <t>D0009</t>
        </is>
      </c>
      <c r="D8" t="inlineStr">
        <is>
          <t>基本書坊</t>
        </is>
      </c>
      <c r="E8" t="n">
        <v>2016</v>
      </c>
      <c r="F8" t="inlineStr">
        <is>
          <t>攤位帳篷</t>
        </is>
      </c>
      <c r="G8" t="inlineStr">
        <is>
          <t>市集帳篷</t>
        </is>
      </c>
      <c r="H8" t="n">
        <v>20000</v>
      </c>
      <c r="I8" t="inlineStr"/>
    </row>
    <row r="9">
      <c r="A9" t="inlineStr">
        <is>
          <t>2016-D0001-01-P008</t>
        </is>
      </c>
      <c r="B9" t="inlineStr">
        <is>
          <t>2016-D0001-01</t>
        </is>
      </c>
      <c r="C9" t="inlineStr">
        <is>
          <t>D0001</t>
        </is>
      </c>
      <c r="D9" t="inlineStr">
        <is>
          <t>辻利茶舖</t>
        </is>
      </c>
      <c r="E9" t="n">
        <v>2016</v>
      </c>
      <c r="F9" t="inlineStr">
        <is>
          <t>攤位帳篷</t>
        </is>
      </c>
      <c r="G9" t="inlineStr">
        <is>
          <t>市集帳篷</t>
        </is>
      </c>
      <c r="H9" t="n">
        <v>85000</v>
      </c>
      <c r="I9" t="inlineStr"/>
    </row>
    <row r="10">
      <c r="A10" t="inlineStr">
        <is>
          <t>2016-D0007-01-P009</t>
        </is>
      </c>
      <c r="B10" t="inlineStr">
        <is>
          <t>2016-D0007-01</t>
        </is>
      </c>
      <c r="C10" t="inlineStr">
        <is>
          <t>D0007</t>
        </is>
      </c>
      <c r="D10" t="inlineStr">
        <is>
          <t>華泰飯店</t>
        </is>
      </c>
      <c r="E10" t="n">
        <v>2016</v>
      </c>
      <c r="F10" t="inlineStr">
        <is>
          <t>攤位帳篷</t>
        </is>
      </c>
      <c r="G10" t="inlineStr">
        <is>
          <t>市集帳篷</t>
        </is>
      </c>
      <c r="H10" t="n">
        <v>60000</v>
      </c>
      <c r="I10" t="inlineStr"/>
    </row>
    <row r="11">
      <c r="A11" t="inlineStr">
        <is>
          <t>2016-D0014-01-P010</t>
        </is>
      </c>
      <c r="B11" t="inlineStr">
        <is>
          <t>2016-D0014-01</t>
        </is>
      </c>
      <c r="C11" t="inlineStr">
        <is>
          <t>D0014</t>
        </is>
      </c>
      <c r="D11" t="inlineStr">
        <is>
          <t>酷兒影展</t>
        </is>
      </c>
      <c r="E11" t="n">
        <v>2016</v>
      </c>
      <c r="F11" t="inlineStr">
        <is>
          <t>攤位帳篷</t>
        </is>
      </c>
      <c r="G11" t="inlineStr">
        <is>
          <t>市集帳篷</t>
        </is>
      </c>
      <c r="H11" t="n">
        <v>20000</v>
      </c>
      <c r="I11" t="inlineStr"/>
    </row>
    <row r="12">
      <c r="A12" t="inlineStr">
        <is>
          <t>2016-D0013-01-P011</t>
        </is>
      </c>
      <c r="B12" t="inlineStr">
        <is>
          <t>2016-D0013-01</t>
        </is>
      </c>
      <c r="C12" t="inlineStr">
        <is>
          <t>D0013</t>
        </is>
      </c>
      <c r="D12" t="inlineStr">
        <is>
          <t>粉紅卡夫卡</t>
        </is>
      </c>
      <c r="E12" t="n">
        <v>2016</v>
      </c>
      <c r="F12" t="inlineStr">
        <is>
          <t>攤位帳篷</t>
        </is>
      </c>
      <c r="G12" t="inlineStr">
        <is>
          <t>市集帳篷</t>
        </is>
      </c>
      <c r="H12" t="n">
        <v>20000</v>
      </c>
      <c r="I12" t="inlineStr"/>
    </row>
    <row r="13">
      <c r="A13" t="inlineStr">
        <is>
          <t>2016-D0004-01-P012</t>
        </is>
      </c>
      <c r="B13" t="inlineStr">
        <is>
          <t>2016-D0004-01</t>
        </is>
      </c>
      <c r="C13" t="inlineStr">
        <is>
          <t>D0004</t>
        </is>
      </c>
      <c r="D13" t="inlineStr">
        <is>
          <t>Destination,Beijing</t>
        </is>
      </c>
      <c r="E13" t="n">
        <v>2016</v>
      </c>
      <c r="F13" t="inlineStr">
        <is>
          <t>遊行花車(B車) / 商業車路權</t>
        </is>
      </c>
      <c r="G13" t="inlineStr">
        <is>
          <t>花車</t>
        </is>
      </c>
      <c r="H13" t="n">
        <v>80000</v>
      </c>
      <c r="I13" t="inlineStr"/>
    </row>
    <row r="14">
      <c r="A14" t="inlineStr">
        <is>
          <t>2016-D0005-01-P013</t>
        </is>
      </c>
      <c r="B14" t="inlineStr">
        <is>
          <t>2016-D0005-01</t>
        </is>
      </c>
      <c r="C14" t="inlineStr">
        <is>
          <t>D0005</t>
        </is>
      </c>
      <c r="D14" t="inlineStr">
        <is>
          <t>愛滋病理協會</t>
        </is>
      </c>
      <c r="E14" t="n">
        <v>2016</v>
      </c>
      <c r="F14" t="inlineStr">
        <is>
          <t>遊行花車(B車) / 商業車路權</t>
        </is>
      </c>
      <c r="G14" t="inlineStr">
        <is>
          <t>花車</t>
        </is>
      </c>
      <c r="H14" t="n">
        <v>60000</v>
      </c>
      <c r="I14" t="inlineStr"/>
    </row>
    <row r="15">
      <c r="A15" t="inlineStr">
        <is>
          <t>2016-D0011-01-P014</t>
        </is>
      </c>
      <c r="B15" t="inlineStr">
        <is>
          <t>2016-D0011-01</t>
        </is>
      </c>
      <c r="C15" t="inlineStr">
        <is>
          <t>D0011</t>
        </is>
      </c>
      <c r="D15" t="inlineStr">
        <is>
          <t>Tokyo RainBow Pride</t>
        </is>
      </c>
      <c r="E15" t="n">
        <v>2016</v>
      </c>
      <c r="F15" t="inlineStr">
        <is>
          <t>遊行花車(B車) / 商業車路權</t>
        </is>
      </c>
      <c r="G15" t="inlineStr">
        <is>
          <t>花車</t>
        </is>
      </c>
      <c r="H15" t="n">
        <v>30000</v>
      </c>
      <c r="I15" t="inlineStr">
        <is>
          <t>未入帳</t>
        </is>
      </c>
    </row>
    <row r="16">
      <c r="A16" t="inlineStr">
        <is>
          <t>2016-D0003-01-P015</t>
        </is>
      </c>
      <c r="B16" t="inlineStr">
        <is>
          <t>2016-D0003-01</t>
        </is>
      </c>
      <c r="C16" t="inlineStr">
        <is>
          <t>D0003</t>
        </is>
      </c>
      <c r="D16" t="inlineStr">
        <is>
          <t>Blue</t>
        </is>
      </c>
      <c r="E16" t="n">
        <v>2016</v>
      </c>
      <c r="F16" t="inlineStr">
        <is>
          <t>遊行花車(B車) / 商業車路權</t>
        </is>
      </c>
      <c r="G16" t="inlineStr">
        <is>
          <t>花車</t>
        </is>
      </c>
      <c r="H16" t="n">
        <v>80000</v>
      </c>
      <c r="I16" t="inlineStr"/>
    </row>
    <row r="17">
      <c r="A17" t="inlineStr">
        <is>
          <t>2016-D0006-01-P016</t>
        </is>
      </c>
      <c r="B17" t="inlineStr">
        <is>
          <t>2016-D0006-01</t>
        </is>
      </c>
      <c r="C17" t="inlineStr">
        <is>
          <t>D0006</t>
        </is>
      </c>
      <c r="D17" t="inlineStr">
        <is>
          <t>拉拉公園</t>
        </is>
      </c>
      <c r="E17" t="n">
        <v>2016</v>
      </c>
      <c r="F17" t="inlineStr">
        <is>
          <t>遊行花車(B車) / 商業車路權</t>
        </is>
      </c>
      <c r="G17" t="inlineStr">
        <is>
          <t>花車</t>
        </is>
      </c>
      <c r="H17" t="n">
        <v>60000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1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是否早鳥</t>
        </is>
      </c>
      <c r="G1" s="3" t="inlineStr">
        <is>
          <t>攤位金額（報價）</t>
        </is>
      </c>
      <c r="H1" s="3" t="inlineStr">
        <is>
          <t>攤位編號</t>
        </is>
      </c>
      <c r="I1" s="3" t="inlineStr">
        <is>
          <t>是否為公益組織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同年是否亦為級別廠商</t>
        </is>
      </c>
      <c r="M1" s="3" t="inlineStr">
        <is>
          <t>備註</t>
        </is>
      </c>
    </row>
    <row r="2">
      <c r="A2" s="5" t="inlineStr">
        <is>
          <t>2016-MB001</t>
        </is>
      </c>
      <c r="B2" s="5" t="inlineStr">
        <is>
          <t>D0012</t>
        </is>
      </c>
      <c r="C2" s="5" t="inlineStr">
        <is>
          <t>國際人權特赦組織(AI)</t>
        </is>
      </c>
      <c r="D2" s="5" t="n">
        <v>2016</v>
      </c>
      <c r="E2" s="5" t="inlineStr">
        <is>
          <t>未明</t>
        </is>
      </c>
      <c r="F2" s="5" t="inlineStr">
        <is>
          <t>否</t>
        </is>
      </c>
      <c r="G2" s="5" t="n">
        <v>20000</v>
      </c>
      <c r="H2" s="5" t="inlineStr"/>
      <c r="I2" s="5" t="inlineStr">
        <is>
          <t>是</t>
        </is>
      </c>
      <c r="J2" s="5" t="inlineStr">
        <is>
          <t>Albert</t>
        </is>
      </c>
      <c r="K2" s="5" t="inlineStr">
        <is>
          <t>已付款</t>
        </is>
      </c>
      <c r="L2" s="5" t="inlineStr">
        <is>
          <t>否</t>
        </is>
      </c>
      <c r="M2" s="5" t="inlineStr">
        <is>
          <t>⚠️ 報價 20k，依決策 #2 與已移到 T6 的 2 家同金額，目前依你指示僅保留 2 家，此筆暫留</t>
        </is>
      </c>
    </row>
    <row r="3">
      <c r="A3" t="inlineStr">
        <is>
          <t>2016-MB002</t>
        </is>
      </c>
      <c r="B3" t="inlineStr">
        <is>
          <t>D0015</t>
        </is>
      </c>
      <c r="C3" t="inlineStr">
        <is>
          <t>島國前進</t>
        </is>
      </c>
      <c r="D3" t="n">
        <v>2016</v>
      </c>
      <c r="E3" t="inlineStr">
        <is>
          <t>未明</t>
        </is>
      </c>
      <c r="F3" t="inlineStr">
        <is>
          <t>否</t>
        </is>
      </c>
      <c r="G3" t="n">
        <v>3000</v>
      </c>
      <c r="H3" t="inlineStr"/>
      <c r="I3" t="inlineStr">
        <is>
          <t>是</t>
        </is>
      </c>
      <c r="J3" t="inlineStr">
        <is>
          <t>Albert</t>
        </is>
      </c>
      <c r="K3" t="inlineStr">
        <is>
          <t>已付款</t>
        </is>
      </c>
      <c r="L3" t="inlineStr">
        <is>
          <t>否</t>
        </is>
      </c>
      <c r="M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1" t="inlineStr">
        <is>
          <t>修訂紀錄</t>
        </is>
      </c>
    </row>
    <row r="2">
      <c r="A2" s="6" t="inlineStr">
        <is>
          <t>版本</t>
        </is>
      </c>
      <c r="B2" s="6" t="inlineStr">
        <is>
          <t>日期</t>
        </is>
      </c>
      <c r="C2" s="6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初版擷取，16 家廠商，含 2 家邊界案例</t>
        </is>
      </c>
    </row>
    <row r="4">
      <c r="A4" t="inlineStr">
        <is>
          <t>v2</t>
        </is>
      </c>
      <c r="B4" t="inlineStr">
        <is>
          <t>2026-04-30</t>
        </is>
      </c>
      <c r="C4" t="inlineStr">
        <is>
          <t>套用使用者決策：(1) 粉紅卡夫卡+酷兒影展移到 T6；(2) 不考慮實收，全用報價；(3) 同志咨詢熱線協會排除；(4) 已報價未付款保留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2026-04-29T17:40:14Z</dcterms:created>
  <dcterms:modified xmlns:dcterms="http://purl.org/dc/terms/" xmlns:xsi="http://www.w3.org/2001/XMLSchema-instance" xsi:type="dcterms:W3CDTF">2026-04-29T17:40:14Z</dcterms:modified>
</cp:coreProperties>
</file>