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18_dim_donor (新增)" sheetId="2" state="visible" r:id="rId2"/>
    <sheet xmlns:r="http://schemas.openxmlformats.org/officeDocument/2006/relationships" name="2018_dim_year" sheetId="3" state="visible" r:id="rId3"/>
    <sheet xmlns:r="http://schemas.openxmlformats.org/officeDocument/2006/relationships" name="2018_map_item_year" sheetId="4" state="visible" r:id="rId4"/>
    <sheet xmlns:r="http://schemas.openxmlformats.org/officeDocument/2006/relationships" name="2018_fact_sponsorship" sheetId="5" state="visible" r:id="rId5"/>
    <sheet xmlns:r="http://schemas.openxmlformats.org/officeDocument/2006/relationships" name="2018_fact_item_pick" sheetId="6" state="visible" r:id="rId6"/>
    <sheet xmlns:r="http://schemas.openxmlformats.org/officeDocument/2006/relationships" name="2018_fact_market_booth" sheetId="7" state="visible" r:id="rId7"/>
    <sheet xmlns:r="http://schemas.openxmlformats.org/officeDocument/2006/relationships" name="回流分析" sheetId="8" state="visible" r:id="rId8"/>
    <sheet xmlns:r="http://schemas.openxmlformats.org/officeDocument/2006/relationships" name="修訂紀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D5E3F0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2018 年贊助資料擷取結果</t>
        </is>
      </c>
    </row>
    <row r="3">
      <c r="A3" t="inlineStr">
        <is>
          <t>來源檔案</t>
        </is>
      </c>
      <c r="B3" t="inlineStr">
        <is>
          <t>2018洽談廠商進度表.xlsx（取代先前的 2018_1070610廠商整理名單）</t>
        </is>
      </c>
    </row>
    <row r="4">
      <c r="A4" t="inlineStr">
        <is>
          <t>採用分頁</t>
        </is>
      </c>
      <c r="B4" t="inlineStr">
        <is>
          <t>16合作廠商帳務紀錄（金額認定為主）</t>
        </is>
      </c>
    </row>
    <row r="5">
      <c r="A5" t="inlineStr">
        <is>
          <t>參考分頁</t>
        </is>
      </c>
      <c r="B5" t="inlineStr">
        <is>
          <t>16合作廠商洽談紀錄（CRM 性質，欄位重疊未獨立採用）</t>
        </is>
      </c>
    </row>
    <row r="6">
      <c r="A6" t="inlineStr">
        <is>
          <t>忽略分頁</t>
        </is>
      </c>
      <c r="B6" t="inlineStr">
        <is>
          <t>16夥伴電話（員工聯絡簿）</t>
        </is>
      </c>
    </row>
    <row r="7">
      <c r="A7" t="inlineStr"/>
      <c r="B7" t="inlineStr"/>
    </row>
    <row r="8">
      <c r="A8" s="2">
        <f>== 統計 ===</f>
        <v/>
      </c>
      <c r="B8" t="inlineStr"/>
    </row>
    <row r="9">
      <c r="A9" t="inlineStr">
        <is>
          <t>總廠商數</t>
        </is>
      </c>
      <c r="B9" t="inlineStr">
        <is>
          <t>18 家</t>
        </is>
      </c>
    </row>
    <row r="10">
      <c r="A10" t="inlineStr">
        <is>
          <t xml:space="preserve">  回流</t>
        </is>
      </c>
      <c r="B10" t="inlineStr">
        <is>
          <t>15 家</t>
        </is>
      </c>
    </row>
    <row r="11">
      <c r="A11" t="inlineStr">
        <is>
          <t xml:space="preserve">  新增</t>
        </is>
      </c>
      <c r="B11" t="inlineStr">
        <is>
          <t>3 家</t>
        </is>
      </c>
    </row>
    <row r="12">
      <c r="A12" t="inlineStr">
        <is>
          <t>總贊助金額（報價）</t>
        </is>
      </c>
      <c r="B12" t="inlineStr">
        <is>
          <t>NTD 1,565,000</t>
        </is>
      </c>
    </row>
    <row r="13">
      <c r="A13" t="inlineStr"/>
      <c r="B13" t="inlineStr"/>
    </row>
    <row r="14">
      <c r="A14" s="2">
        <f>== ⚠️ 重要：請更新 master dim_donor 的「首次贊助年」===</f>
        <v/>
      </c>
      <c r="B14" t="inlineStr"/>
    </row>
    <row r="15">
      <c r="A15" t="inlineStr"/>
      <c r="B15" t="inlineStr">
        <is>
          <t>以下 4 個 ID 在 2019 file 中標為「2019 首次贊助」，但實際 2018 已存在，請將它們的「首次贊助年」改為 2018：</t>
        </is>
      </c>
    </row>
    <row r="16">
      <c r="A16" t="inlineStr">
        <is>
          <t>D0034 Tstudio</t>
        </is>
      </c>
      <c r="B16" s="3" t="inlineStr">
        <is>
          <t>2019 → 2018</t>
        </is>
      </c>
    </row>
    <row r="17">
      <c r="A17" t="inlineStr">
        <is>
          <t>D0036 Double APP</t>
        </is>
      </c>
      <c r="B17" s="3" t="inlineStr">
        <is>
          <t>2019 → 2018（2018 原始名稱為「Double」）</t>
        </is>
      </c>
    </row>
    <row r="18">
      <c r="A18" t="inlineStr">
        <is>
          <t>D0042 Grindr</t>
        </is>
      </c>
      <c r="B18" s="3" t="inlineStr">
        <is>
          <t>2019 → 2018（2018 原始名稱為「GRINDR」）</t>
        </is>
      </c>
    </row>
    <row r="19">
      <c r="A19" t="inlineStr">
        <is>
          <t>D0045 YAHOO</t>
        </is>
      </c>
      <c r="B19" s="3" t="inlineStr">
        <is>
          <t>2019 → 2018（2018 原始名稱為「Yahoo」）</t>
        </is>
      </c>
    </row>
    <row r="20">
      <c r="A20" t="inlineStr"/>
      <c r="B20" t="inlineStr"/>
    </row>
    <row r="21">
      <c r="A21" s="2">
        <f>== 名稱對應（已自動套用）===</f>
        <v/>
      </c>
      <c r="B21" t="inlineStr"/>
    </row>
    <row r="22">
      <c r="A22" t="inlineStr">
        <is>
          <t>T-STUDIO → Tstudio</t>
        </is>
      </c>
      <c r="B22" t="inlineStr">
        <is>
          <t>D0034</t>
        </is>
      </c>
    </row>
    <row r="23">
      <c r="A23" t="inlineStr">
        <is>
          <t>Double → Double APP</t>
        </is>
      </c>
      <c r="B23" t="inlineStr">
        <is>
          <t>D0036</t>
        </is>
      </c>
    </row>
    <row r="24">
      <c r="A24" t="inlineStr">
        <is>
          <t>GRINDR → Grindr</t>
        </is>
      </c>
      <c r="B24" t="inlineStr">
        <is>
          <t>D0042</t>
        </is>
      </c>
    </row>
    <row r="25">
      <c r="A25" t="inlineStr">
        <is>
          <t>Yahoo → YAHOO</t>
        </is>
      </c>
      <c r="B25" t="inlineStr">
        <is>
          <t>D0045</t>
        </is>
      </c>
    </row>
    <row r="26">
      <c r="A26" t="inlineStr">
        <is>
          <t>婚權大平台 → 婚姻大平台</t>
        </is>
      </c>
      <c r="B26" t="inlineStr">
        <is>
          <t>D0026 (婚權／婚姻平權同義)</t>
        </is>
      </c>
    </row>
    <row r="27">
      <c r="A27" t="inlineStr">
        <is>
          <t>社運帳篷-AI → 國際人權特赦組織(AI)</t>
        </is>
      </c>
      <c r="B27" t="inlineStr">
        <is>
          <t>D0012</t>
        </is>
      </c>
    </row>
    <row r="28">
      <c r="A28" t="inlineStr">
        <is>
          <t>國際特赦組織 (Amnesty International) → 國際人權特赦組織(AI)</t>
        </is>
      </c>
      <c r="B28" t="inlineStr">
        <is>
          <t>D0012</t>
        </is>
      </c>
    </row>
    <row r="29">
      <c r="A29" t="inlineStr">
        <is>
          <t>社運帳篷-婚權大平台 → 婚姻大平台</t>
        </is>
      </c>
      <c r="B29" t="inlineStr">
        <is>
          <t>D0026</t>
        </is>
      </c>
    </row>
    <row r="30">
      <c r="A30" t="inlineStr">
        <is>
          <t>高平摩志股份有限公司/辻利茶舖 → 辻利茶舖</t>
        </is>
      </c>
      <c r="B30" t="inlineStr">
        <is>
          <t>D0001（公司全名）</t>
        </is>
      </c>
    </row>
    <row r="31">
      <c r="A31" t="inlineStr">
        <is>
          <t>TokyoRainbowPride → Tokyo RainBow Pride</t>
        </is>
      </c>
      <c r="B31" t="inlineStr">
        <is>
          <t>D0011（空格差異）</t>
        </is>
      </c>
    </row>
    <row r="32">
      <c r="A32" t="inlineStr">
        <is>
          <t>HORNET → Hornet, Uber → UBer</t>
        </is>
      </c>
      <c r="B32" t="inlineStr">
        <is>
          <t>大小寫差異</t>
        </is>
      </c>
    </row>
    <row r="33">
      <c r="A33" t="inlineStr"/>
      <c r="B33" t="inlineStr"/>
    </row>
    <row r="34">
      <c r="A34" s="2">
        <f>== 主級別分布 ===</f>
        <v/>
      </c>
      <c r="B34" t="inlineStr"/>
    </row>
    <row r="35">
      <c r="A35" t="inlineStr">
        <is>
          <t xml:space="preserve">  T4 (150-299k)</t>
        </is>
      </c>
      <c r="B35" t="inlineStr">
        <is>
          <t>1 家（Lifewonders）</t>
        </is>
      </c>
    </row>
    <row r="36">
      <c r="A36" t="inlineStr">
        <is>
          <t xml:space="preserve">  T5 (40-149k)</t>
        </is>
      </c>
      <c r="B36" t="inlineStr">
        <is>
          <t>13 家</t>
        </is>
      </c>
    </row>
    <row r="37">
      <c r="A37" t="inlineStr">
        <is>
          <t xml:space="preserve">  T6 (&lt;40k)</t>
        </is>
      </c>
      <c r="B37" t="inlineStr">
        <is>
          <t>4 家</t>
        </is>
      </c>
    </row>
    <row r="38">
      <c r="A38" t="inlineStr"/>
      <c r="B38" t="inlineStr"/>
    </row>
    <row r="39">
      <c r="A39" s="2">
        <f>== 重要備註 ===</f>
        <v/>
      </c>
      <c r="B39" t="inlineStr"/>
    </row>
    <row r="40">
      <c r="A40" t="inlineStr">
        <is>
          <t>Lifewonders</t>
        </is>
      </c>
      <c r="B40" t="inlineStr">
        <is>
          <t>160k 報價但未入帳。可能也是 2018 簽約失敗案例。</t>
        </is>
      </c>
    </row>
    <row r="41">
      <c r="A41" t="inlineStr">
        <is>
          <t>Tokyo RBP</t>
        </is>
      </c>
      <c r="B41" t="inlineStr">
        <is>
          <t>連續 3 年（2016+2017+2018）未付款。</t>
        </is>
      </c>
    </row>
    <row r="42">
      <c r="A42" t="inlineStr">
        <is>
          <t>婚姻大平台</t>
        </is>
      </c>
      <c r="B42" t="inlineStr">
        <is>
          <t>36k 但未付款。可能是非營利議題夥伴的特殊安排。</t>
        </is>
      </c>
    </row>
    <row r="43">
      <c r="A43" t="inlineStr">
        <is>
          <t>YAHOO</t>
        </is>
      </c>
      <c r="B43" t="inlineStr">
        <is>
          <t>110k 報價未付款。</t>
        </is>
      </c>
    </row>
    <row r="44">
      <c r="A44" t="inlineStr">
        <is>
          <t>Blued</t>
        </is>
      </c>
      <c r="B44" t="inlineStr">
        <is>
          <t>中國 gay 社交軟體，與美國老牌 Blue (D0003) 是不同品牌</t>
        </is>
      </c>
    </row>
    <row r="45">
      <c r="A45" t="inlineStr">
        <is>
          <t>辻利茶舖</t>
        </is>
      </c>
      <c r="B45" t="inlineStr">
        <is>
          <t>從 2017 的 40k → 2018 降至 30k</t>
        </is>
      </c>
    </row>
    <row r="46">
      <c r="A46" t="inlineStr">
        <is>
          <t>彩虹酷兒健康文化中心</t>
        </is>
      </c>
      <c r="B46" t="inlineStr">
        <is>
          <t>從 2017 的 60k → 2018 升至 120k（2 個品項）</t>
        </is>
      </c>
    </row>
    <row r="47">
      <c r="A47" t="inlineStr">
        <is>
          <t>Destination,Beijing</t>
        </is>
      </c>
      <c r="B47" t="inlineStr">
        <is>
          <t>從 2017 的 110k → 2018 升至 120k（持續穩定贊助）</t>
        </is>
      </c>
    </row>
    <row r="48">
      <c r="A48" t="inlineStr">
        <is>
          <t>Uber</t>
        </is>
      </c>
      <c r="B48" t="inlineStr">
        <is>
          <t>從 2017 的 100k → 2018 持平 100k</t>
        </is>
      </c>
    </row>
    <row r="49">
      <c r="A49" t="inlineStr">
        <is>
          <t>Hornet</t>
        </is>
      </c>
      <c r="B49" t="inlineStr">
        <is>
          <t>從 2017 的 60k → 2018 升至 90k（連續上升）</t>
        </is>
      </c>
    </row>
    <row r="50">
      <c r="A50" t="inlineStr">
        <is>
          <t>GAP</t>
        </is>
      </c>
      <c r="B50" t="inlineStr">
        <is>
          <t>從 2017 的 60k → 2018 升至 90k</t>
        </is>
      </c>
    </row>
    <row r="51">
      <c r="A51" t="inlineStr">
        <is>
          <t>GaGaoLaLa</t>
        </is>
      </c>
      <c r="B51" t="inlineStr">
        <is>
          <t>從 2017 的 20k 攤位 → 2018 升至 90k 商業車（顯著升級）</t>
        </is>
      </c>
    </row>
    <row r="52">
      <c r="A52" t="inlineStr"/>
      <c r="B52" t="inlineStr"/>
    </row>
    <row r="53">
      <c r="A53" s="2">
        <f>== 已忽略 ===</f>
        <v/>
      </c>
      <c r="B53" t="inlineStr"/>
    </row>
    <row r="54">
      <c r="A54" t="inlineStr">
        <is>
          <t>特斯拉</t>
        </is>
      </c>
      <c r="B54" t="inlineStr">
        <is>
          <t>出現於洽談紀錄但帳務無金額</t>
        </is>
      </c>
    </row>
    <row r="55">
      <c r="A55" t="inlineStr">
        <is>
          <t>其他洽談中廠商</t>
        </is>
      </c>
      <c r="B55" t="inlineStr">
        <is>
          <t>只有窗口聯絡，無實際合作金額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8" customWidth="1" min="4" max="4"/>
    <col width="13" customWidth="1" min="5" max="5"/>
    <col width="7" customWidth="1" min="6" max="6"/>
    <col width="9" customWidth="1" min="7" max="7"/>
    <col width="9" customWidth="1" min="8" max="8"/>
    <col width="12" customWidth="1" min="9" max="9"/>
    <col width="21" customWidth="1" min="10" max="10"/>
    <col width="10" customWidth="1" min="11" max="11"/>
    <col width="10" customWidth="1" min="12" max="12"/>
    <col width="37" customWidth="1" min="13" max="13"/>
  </cols>
  <sheetData>
    <row r="1">
      <c r="A1" s="4" t="inlineStr">
        <is>
          <t>廠商編號</t>
        </is>
      </c>
      <c r="B1" s="4" t="inlineStr">
        <is>
          <t>標準名稱</t>
        </is>
      </c>
      <c r="C1" s="4" t="inlineStr">
        <is>
          <t>英文名稱</t>
        </is>
      </c>
      <c r="D1" s="4" t="inlineStr">
        <is>
          <t>別名清單</t>
        </is>
      </c>
      <c r="E1" s="4" t="inlineStr">
        <is>
          <t>產業分類</t>
        </is>
      </c>
      <c r="F1" s="4" t="inlineStr">
        <is>
          <t>母公司</t>
        </is>
      </c>
      <c r="G1" s="4" t="inlineStr">
        <is>
          <t>首次贊助年</t>
        </is>
      </c>
      <c r="H1" s="4" t="inlineStr">
        <is>
          <t>最近贊助年</t>
        </is>
      </c>
      <c r="I1" s="4" t="inlineStr">
        <is>
          <t>累積贊助金額</t>
        </is>
      </c>
      <c r="J1" s="4" t="inlineStr">
        <is>
          <t>客戶生命週期階段</t>
        </is>
      </c>
      <c r="K1" s="4" t="inlineStr">
        <is>
          <t>曾為級別廠商</t>
        </is>
      </c>
      <c r="L1" s="4" t="inlineStr">
        <is>
          <t>曾為市集攤位</t>
        </is>
      </c>
      <c r="M1" s="4" t="inlineStr">
        <is>
          <t>備註</t>
        </is>
      </c>
    </row>
    <row r="2">
      <c r="A2" s="5" t="inlineStr">
        <is>
          <t>D0076</t>
        </is>
      </c>
      <c r="B2" s="5" t="inlineStr">
        <is>
          <t>Lifewonders</t>
        </is>
      </c>
      <c r="C2" s="5" t="inlineStr">
        <is>
          <t>Lifewonders</t>
        </is>
      </c>
      <c r="D2" s="5" t="inlineStr"/>
      <c r="E2" s="5" t="inlineStr">
        <is>
          <t>社交軟體（gay）</t>
        </is>
      </c>
      <c r="F2" s="5" t="inlineStr"/>
      <c r="G2" s="5" t="n">
        <v>2018</v>
      </c>
      <c r="H2" s="5" t="n">
        <v>2018</v>
      </c>
      <c r="I2" s="5" t="n">
        <v>160000</v>
      </c>
      <c r="J2" s="5" t="inlineStr">
        <is>
          <t>⚠️ At-Risk（首年未付款）</t>
        </is>
      </c>
      <c r="K2" s="5" t="inlineStr">
        <is>
          <t>是</t>
        </is>
      </c>
      <c r="L2" s="5" t="inlineStr">
        <is>
          <t>否</t>
        </is>
      </c>
      <c r="M2" s="5" t="inlineStr">
        <is>
          <t>報價 160k 未入帳，首年即未付款</t>
        </is>
      </c>
    </row>
    <row r="3">
      <c r="A3" t="inlineStr">
        <is>
          <t>D0077</t>
        </is>
      </c>
      <c r="B3" t="inlineStr">
        <is>
          <t>Blued</t>
        </is>
      </c>
      <c r="C3" t="inlineStr">
        <is>
          <t>Blued</t>
        </is>
      </c>
      <c r="D3" t="inlineStr"/>
      <c r="E3" t="inlineStr">
        <is>
          <t>社交軟體（gay）</t>
        </is>
      </c>
      <c r="F3" t="inlineStr"/>
      <c r="G3" t="n">
        <v>2018</v>
      </c>
      <c r="H3" t="n">
        <v>2018</v>
      </c>
      <c r="I3" t="n">
        <v>120000</v>
      </c>
      <c r="J3" t="inlineStr">
        <is>
          <t>🆕 Acquisition</t>
        </is>
      </c>
      <c r="K3" t="inlineStr">
        <is>
          <t>是</t>
        </is>
      </c>
      <c r="L3" t="inlineStr">
        <is>
          <t>否</t>
        </is>
      </c>
      <c r="M3" t="inlineStr">
        <is>
          <t>中國 gay 社交軟體，與 D0003 Blue（夜店）是不同品牌</t>
        </is>
      </c>
    </row>
    <row r="4">
      <c r="A4" t="inlineStr">
        <is>
          <t>D0078</t>
        </is>
      </c>
      <c r="B4" t="inlineStr">
        <is>
          <t>COOL GUY</t>
        </is>
      </c>
      <c r="C4" t="inlineStr">
        <is>
          <t>COOL GUY</t>
        </is>
      </c>
      <c r="D4" t="inlineStr"/>
      <c r="E4" t="inlineStr">
        <is>
          <t>生活／文創</t>
        </is>
      </c>
      <c r="F4" t="inlineStr"/>
      <c r="G4" t="n">
        <v>2018</v>
      </c>
      <c r="H4" t="n">
        <v>2018</v>
      </c>
      <c r="I4" t="n">
        <v>30000</v>
      </c>
      <c r="J4" t="inlineStr">
        <is>
          <t>🆕 Acquisition</t>
        </is>
      </c>
      <c r="K4" t="inlineStr">
        <is>
          <t>是</t>
        </is>
      </c>
      <c r="L4" t="inlineStr">
        <is>
          <t>否</t>
        </is>
      </c>
      <c r="M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5" customWidth="1" min="3" max="3"/>
    <col width="14" customWidth="1" min="4" max="4"/>
    <col width="10" customWidth="1" min="5" max="5"/>
    <col width="13" customWidth="1" min="6" max="6"/>
    <col width="9" customWidth="1" min="7" max="7"/>
    <col width="10" customWidth="1" min="8" max="8"/>
    <col width="22" customWidth="1" min="9" max="9"/>
  </cols>
  <sheetData>
    <row r="1">
      <c r="A1" s="4" t="inlineStr">
        <is>
          <t>年度</t>
        </is>
      </c>
      <c r="B1" s="4" t="inlineStr">
        <is>
          <t>屆別</t>
        </is>
      </c>
      <c r="C1" s="4" t="inlineStr">
        <is>
          <t>活動主題</t>
        </is>
      </c>
      <c r="D1" s="4" t="inlineStr">
        <is>
          <t>活動日期</t>
        </is>
      </c>
      <c r="E1" s="4" t="inlineStr">
        <is>
          <t>贊助廠商總數</t>
        </is>
      </c>
      <c r="F1" s="4" t="inlineStr">
        <is>
          <t>總贊助金額（報價）</t>
        </is>
      </c>
      <c r="G1" s="4" t="inlineStr">
        <is>
          <t>該年級別數</t>
        </is>
      </c>
      <c r="H1" s="4" t="inlineStr">
        <is>
          <t>該年品項總數</t>
        </is>
      </c>
      <c r="I1" s="4" t="inlineStr">
        <is>
          <t>備註</t>
        </is>
      </c>
    </row>
    <row r="2">
      <c r="A2" t="n">
        <v>2018</v>
      </c>
      <c r="B2" t="n">
        <v>16</v>
      </c>
      <c r="C2" t="inlineStr">
        <is>
          <t>一起 https://</t>
        </is>
      </c>
      <c r="D2" t="inlineStr">
        <is>
          <t>2018-10-27</t>
        </is>
      </c>
      <c r="E2" t="n">
        <v>18</v>
      </c>
      <c r="F2" t="n">
        <v>1565000</v>
      </c>
      <c r="G2" t="n">
        <v>0</v>
      </c>
      <c r="H2" t="n">
        <v>6</v>
      </c>
      <c r="I2" t="inlineStr">
        <is>
          <t>尚無級別制度，依報價對應 T1–T6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6" customWidth="1" min="4" max="4"/>
  </cols>
  <sheetData>
    <row r="1">
      <c r="A1" s="4" t="inlineStr">
        <is>
          <t>年度</t>
        </is>
      </c>
      <c r="B1" s="4" t="inlineStr">
        <is>
          <t>原始品項名稱</t>
        </is>
      </c>
      <c r="C1" s="4" t="inlineStr">
        <is>
          <t>主品項分類</t>
        </is>
      </c>
      <c r="D1" s="4" t="inlineStr">
        <is>
          <t>備註</t>
        </is>
      </c>
    </row>
    <row r="2">
      <c r="A2" t="n">
        <v>2018</v>
      </c>
      <c r="B2" t="inlineStr">
        <is>
          <t>商業車</t>
        </is>
      </c>
      <c r="C2" t="inlineStr">
        <is>
          <t>花車</t>
        </is>
      </c>
      <c r="D2" t="inlineStr"/>
    </row>
    <row r="3">
      <c r="A3" t="n">
        <v>2018</v>
      </c>
      <c r="B3" t="inlineStr">
        <is>
          <t>扇子</t>
        </is>
      </c>
      <c r="C3" t="inlineStr">
        <is>
          <t>印刷品贊助</t>
        </is>
      </c>
      <c r="D3" t="inlineStr"/>
    </row>
    <row r="4">
      <c r="A4" t="n">
        <v>2018</v>
      </c>
      <c r="B4" t="inlineStr">
        <is>
          <t>瓶裝水</t>
        </is>
      </c>
      <c r="C4" t="inlineStr">
        <is>
          <t>其他合作</t>
        </is>
      </c>
      <c r="D4" t="inlineStr"/>
    </row>
    <row r="5">
      <c r="A5" t="n">
        <v>2018</v>
      </c>
      <c r="B5" t="inlineStr">
        <is>
          <t>網站-固定商標露出</t>
        </is>
      </c>
      <c r="C5" t="inlineStr">
        <is>
          <t>線上版位露出</t>
        </is>
      </c>
      <c r="D5" t="inlineStr"/>
    </row>
    <row r="6">
      <c r="A6" t="n">
        <v>2018</v>
      </c>
      <c r="B6" t="inlineStr">
        <is>
          <t>輪播影片</t>
        </is>
      </c>
      <c r="C6" t="inlineStr">
        <is>
          <t>現場版位露出</t>
        </is>
      </c>
      <c r="D6" t="inlineStr"/>
    </row>
    <row r="7">
      <c r="A7" t="n">
        <v>2018</v>
      </c>
      <c r="B7" t="inlineStr">
        <is>
          <t>音響鷹架旁看板廣告</t>
        </is>
      </c>
      <c r="C7" t="inlineStr">
        <is>
          <t>現場版位露出</t>
        </is>
      </c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8" customWidth="1" min="4" max="4"/>
    <col width="10" customWidth="1" min="5" max="5"/>
    <col width="9" customWidth="1" min="6" max="6"/>
    <col width="12" customWidth="1" min="7" max="7"/>
    <col width="15" customWidth="1" min="8" max="8"/>
    <col width="8" customWidth="1" min="9" max="9"/>
    <col width="9" customWidth="1" min="10" max="10"/>
    <col width="45" customWidth="1" min="11" max="11"/>
  </cols>
  <sheetData>
    <row r="1">
      <c r="A1" s="4" t="inlineStr">
        <is>
          <t>合約編號</t>
        </is>
      </c>
      <c r="B1" s="4" t="inlineStr">
        <is>
          <t>廠商編號</t>
        </is>
      </c>
      <c r="C1" s="4" t="inlineStr">
        <is>
          <t>廠商名稱</t>
        </is>
      </c>
      <c r="D1" s="4" t="inlineStr">
        <is>
          <t>年度</t>
        </is>
      </c>
      <c r="E1" s="4" t="inlineStr">
        <is>
          <t>原始級別名稱</t>
        </is>
      </c>
      <c r="F1" s="4" t="inlineStr">
        <is>
          <t>主級別代碼</t>
        </is>
      </c>
      <c r="G1" s="4" t="inlineStr">
        <is>
          <t>贊助總金額</t>
        </is>
      </c>
      <c r="H1" s="4" t="inlineStr">
        <is>
          <t>業務窗口</t>
        </is>
      </c>
      <c r="I1" s="4" t="inlineStr">
        <is>
          <t>付款狀態</t>
        </is>
      </c>
      <c r="J1" s="4" t="inlineStr">
        <is>
          <t>是否為新進</t>
        </is>
      </c>
      <c r="K1" s="4" t="inlineStr">
        <is>
          <t>備註</t>
        </is>
      </c>
    </row>
    <row r="2">
      <c r="A2" t="inlineStr">
        <is>
          <t>2018-D0001-01</t>
        </is>
      </c>
      <c r="B2" t="inlineStr">
        <is>
          <t>D0001</t>
        </is>
      </c>
      <c r="C2" t="inlineStr">
        <is>
          <t>辻利茶舖</t>
        </is>
      </c>
      <c r="D2" t="n">
        <v>2018</v>
      </c>
      <c r="E2" t="inlineStr">
        <is>
          <t>未分級</t>
        </is>
      </c>
      <c r="F2" t="inlineStr">
        <is>
          <t>T6</t>
        </is>
      </c>
      <c r="G2" t="n">
        <v>30000</v>
      </c>
      <c r="H2" t="inlineStr">
        <is>
          <t>Ruby</t>
        </is>
      </c>
      <c r="I2" t="inlineStr">
        <is>
          <t>已付款</t>
        </is>
      </c>
      <c r="J2" t="inlineStr">
        <is>
          <t>否</t>
        </is>
      </c>
      <c r="K2" t="inlineStr"/>
    </row>
    <row r="3">
      <c r="A3" t="inlineStr">
        <is>
          <t>2018-D0004-01</t>
        </is>
      </c>
      <c r="B3" t="inlineStr">
        <is>
          <t>D0004</t>
        </is>
      </c>
      <c r="C3" t="inlineStr">
        <is>
          <t>Destination,Beijing</t>
        </is>
      </c>
      <c r="D3" t="n">
        <v>2018</v>
      </c>
      <c r="E3" t="inlineStr">
        <is>
          <t>未分級</t>
        </is>
      </c>
      <c r="F3" t="inlineStr">
        <is>
          <t>T5</t>
        </is>
      </c>
      <c r="G3" t="n">
        <v>120000</v>
      </c>
      <c r="H3" t="inlineStr">
        <is>
          <t>Ruby、Albert</t>
        </is>
      </c>
      <c r="I3" t="inlineStr">
        <is>
          <t>已付款</t>
        </is>
      </c>
      <c r="J3" t="inlineStr">
        <is>
          <t>否</t>
        </is>
      </c>
      <c r="K3" t="inlineStr"/>
    </row>
    <row r="4">
      <c r="A4" t="inlineStr">
        <is>
          <t>2018-D0006-01</t>
        </is>
      </c>
      <c r="B4" t="inlineStr">
        <is>
          <t>D0006</t>
        </is>
      </c>
      <c r="C4" t="inlineStr">
        <is>
          <t>拉拉公園</t>
        </is>
      </c>
      <c r="D4" t="n">
        <v>2018</v>
      </c>
      <c r="E4" t="inlineStr">
        <is>
          <t>未分級</t>
        </is>
      </c>
      <c r="F4" t="inlineStr">
        <is>
          <t>T5</t>
        </is>
      </c>
      <c r="G4" t="n">
        <v>90000</v>
      </c>
      <c r="H4" t="inlineStr">
        <is>
          <t>Ruby</t>
        </is>
      </c>
      <c r="I4" t="inlineStr">
        <is>
          <t>已付款</t>
        </is>
      </c>
      <c r="J4" t="inlineStr">
        <is>
          <t>否</t>
        </is>
      </c>
      <c r="K4" t="inlineStr"/>
    </row>
    <row r="5">
      <c r="A5" t="inlineStr">
        <is>
          <t>2018-D0008-01</t>
        </is>
      </c>
      <c r="B5" t="inlineStr">
        <is>
          <t>D0008</t>
        </is>
      </c>
      <c r="C5" t="inlineStr">
        <is>
          <t>Hornet</t>
        </is>
      </c>
      <c r="D5" t="n">
        <v>2018</v>
      </c>
      <c r="E5" t="inlineStr">
        <is>
          <t>未分級</t>
        </is>
      </c>
      <c r="F5" t="inlineStr">
        <is>
          <t>T5</t>
        </is>
      </c>
      <c r="G5" t="n">
        <v>90000</v>
      </c>
      <c r="H5" t="inlineStr">
        <is>
          <t>Ruby</t>
        </is>
      </c>
      <c r="I5" t="inlineStr">
        <is>
          <t>已付款</t>
        </is>
      </c>
      <c r="J5" t="inlineStr">
        <is>
          <t>否</t>
        </is>
      </c>
      <c r="K5" t="inlineStr"/>
    </row>
    <row r="6">
      <c r="A6" s="5" t="inlineStr">
        <is>
          <t>2018-D0011-01</t>
        </is>
      </c>
      <c r="B6" s="5" t="inlineStr">
        <is>
          <t>D0011</t>
        </is>
      </c>
      <c r="C6" s="5" t="inlineStr">
        <is>
          <t>Tokyo RainBow Pride</t>
        </is>
      </c>
      <c r="D6" s="5" t="n">
        <v>2018</v>
      </c>
      <c r="E6" s="5" t="inlineStr">
        <is>
          <t>未分級</t>
        </is>
      </c>
      <c r="F6" s="5" t="inlineStr">
        <is>
          <t>T5</t>
        </is>
      </c>
      <c r="G6" s="5" t="n">
        <v>50000</v>
      </c>
      <c r="H6" s="5" t="inlineStr">
        <is>
          <t>Albert</t>
        </is>
      </c>
      <c r="I6" s="5" t="inlineStr">
        <is>
          <t>未付款</t>
        </is>
      </c>
      <c r="J6" s="5" t="inlineStr">
        <is>
          <t>否</t>
        </is>
      </c>
      <c r="K6" s="5" t="inlineStr"/>
    </row>
    <row r="7">
      <c r="A7" t="inlineStr">
        <is>
          <t>2018-D0012-01</t>
        </is>
      </c>
      <c r="B7" t="inlineStr">
        <is>
          <t>D0012</t>
        </is>
      </c>
      <c r="C7" t="inlineStr">
        <is>
          <t>國際人權特赦組織(AI)</t>
        </is>
      </c>
      <c r="D7" t="n">
        <v>2018</v>
      </c>
      <c r="E7" t="inlineStr">
        <is>
          <t>未分級</t>
        </is>
      </c>
      <c r="F7" t="inlineStr">
        <is>
          <t>T6</t>
        </is>
      </c>
      <c r="G7" t="n">
        <v>29000</v>
      </c>
      <c r="H7" t="inlineStr">
        <is>
          <t>Ruby</t>
        </is>
      </c>
      <c r="I7" t="inlineStr">
        <is>
          <t>已付款</t>
        </is>
      </c>
      <c r="J7" t="inlineStr">
        <is>
          <t>否</t>
        </is>
      </c>
      <c r="K7" t="inlineStr">
        <is>
          <t>原始名稱「國際特赦組織」+「社運帳篷-AI」加購</t>
        </is>
      </c>
    </row>
    <row r="8">
      <c r="A8" t="inlineStr">
        <is>
          <t>2018-D0017-01</t>
        </is>
      </c>
      <c r="B8" t="inlineStr">
        <is>
          <t>D0017</t>
        </is>
      </c>
      <c r="C8" t="inlineStr">
        <is>
          <t>UBer</t>
        </is>
      </c>
      <c r="D8" t="n">
        <v>2018</v>
      </c>
      <c r="E8" t="inlineStr">
        <is>
          <t>未分級</t>
        </is>
      </c>
      <c r="F8" t="inlineStr">
        <is>
          <t>T5</t>
        </is>
      </c>
      <c r="G8" t="n">
        <v>100000</v>
      </c>
      <c r="H8" t="inlineStr">
        <is>
          <t>Eason</t>
        </is>
      </c>
      <c r="I8" t="inlineStr">
        <is>
          <t>已付款</t>
        </is>
      </c>
      <c r="J8" t="inlineStr">
        <is>
          <t>否</t>
        </is>
      </c>
      <c r="K8" t="inlineStr"/>
    </row>
    <row r="9">
      <c r="A9" t="inlineStr">
        <is>
          <t>2018-D0020-01</t>
        </is>
      </c>
      <c r="B9" t="inlineStr">
        <is>
          <t>D0020</t>
        </is>
      </c>
      <c r="C9" t="inlineStr">
        <is>
          <t>GAP</t>
        </is>
      </c>
      <c r="D9" t="n">
        <v>2018</v>
      </c>
      <c r="E9" t="inlineStr">
        <is>
          <t>未分級</t>
        </is>
      </c>
      <c r="F9" t="inlineStr">
        <is>
          <t>T5</t>
        </is>
      </c>
      <c r="G9" t="n">
        <v>90000</v>
      </c>
      <c r="H9" t="inlineStr">
        <is>
          <t>Ruby</t>
        </is>
      </c>
      <c r="I9" t="inlineStr">
        <is>
          <t>已付款</t>
        </is>
      </c>
      <c r="J9" t="inlineStr">
        <is>
          <t>否</t>
        </is>
      </c>
      <c r="K9" t="inlineStr"/>
    </row>
    <row r="10">
      <c r="A10" t="inlineStr">
        <is>
          <t>2018-D0022-01</t>
        </is>
      </c>
      <c r="B10" t="inlineStr">
        <is>
          <t>D0022</t>
        </is>
      </c>
      <c r="C10" t="inlineStr">
        <is>
          <t>彩虹酷兒健康文化中心</t>
        </is>
      </c>
      <c r="D10" t="n">
        <v>2018</v>
      </c>
      <c r="E10" t="inlineStr">
        <is>
          <t>未分級</t>
        </is>
      </c>
      <c r="F10" t="inlineStr">
        <is>
          <t>T5</t>
        </is>
      </c>
      <c r="G10" t="n">
        <v>120000</v>
      </c>
      <c r="H10" t="inlineStr">
        <is>
          <t>Ruby</t>
        </is>
      </c>
      <c r="I10" t="inlineStr">
        <is>
          <t>已付款</t>
        </is>
      </c>
      <c r="J10" t="inlineStr">
        <is>
          <t>否</t>
        </is>
      </c>
      <c r="K10" t="inlineStr"/>
    </row>
    <row r="11">
      <c r="A11" t="inlineStr">
        <is>
          <t>2018-D0025-01</t>
        </is>
      </c>
      <c r="B11" t="inlineStr">
        <is>
          <t>D0025</t>
        </is>
      </c>
      <c r="C11" t="inlineStr">
        <is>
          <t>GaGaoLaLa</t>
        </is>
      </c>
      <c r="D11" t="n">
        <v>2018</v>
      </c>
      <c r="E11" t="inlineStr">
        <is>
          <t>未分級</t>
        </is>
      </c>
      <c r="F11" t="inlineStr">
        <is>
          <t>T5</t>
        </is>
      </c>
      <c r="G11" t="n">
        <v>90000</v>
      </c>
      <c r="H11" t="inlineStr">
        <is>
          <t>Albert</t>
        </is>
      </c>
      <c r="I11" t="inlineStr">
        <is>
          <t>已付款</t>
        </is>
      </c>
      <c r="J11" t="inlineStr">
        <is>
          <t>否</t>
        </is>
      </c>
      <c r="K11" t="inlineStr"/>
    </row>
    <row r="12">
      <c r="A12" s="5" t="inlineStr">
        <is>
          <t>2018-D0026-01</t>
        </is>
      </c>
      <c r="B12" s="5" t="inlineStr">
        <is>
          <t>D0026</t>
        </is>
      </c>
      <c r="C12" s="5" t="inlineStr">
        <is>
          <t>婚姻大平台</t>
        </is>
      </c>
      <c r="D12" s="5" t="n">
        <v>2018</v>
      </c>
      <c r="E12" s="5" t="inlineStr">
        <is>
          <t>未分級</t>
        </is>
      </c>
      <c r="F12" s="5" t="inlineStr">
        <is>
          <t>T6</t>
        </is>
      </c>
      <c r="G12" s="5" t="n">
        <v>36000</v>
      </c>
      <c r="H12" s="5" t="inlineStr">
        <is>
          <t>Ruby</t>
        </is>
      </c>
      <c r="I12" s="5" t="inlineStr">
        <is>
          <t>未付款</t>
        </is>
      </c>
      <c r="J12" s="5" t="inlineStr">
        <is>
          <t>否</t>
        </is>
      </c>
      <c r="K12" s="5" t="inlineStr">
        <is>
          <t>原始名稱「婚權大平台」+ 社運帳篷加購</t>
        </is>
      </c>
    </row>
    <row r="13">
      <c r="A13" s="3" t="inlineStr">
        <is>
          <t>2018-D0034-01</t>
        </is>
      </c>
      <c r="B13" s="3" t="inlineStr">
        <is>
          <t>D0034</t>
        </is>
      </c>
      <c r="C13" s="3" t="inlineStr">
        <is>
          <t>Tstudio</t>
        </is>
      </c>
      <c r="D13" s="3" t="n">
        <v>2018</v>
      </c>
      <c r="E13" s="3" t="inlineStr">
        <is>
          <t>未分級</t>
        </is>
      </c>
      <c r="F13" s="3" t="inlineStr">
        <is>
          <t>T5</t>
        </is>
      </c>
      <c r="G13" s="3" t="n">
        <v>100000</v>
      </c>
      <c r="H13" s="3" t="inlineStr">
        <is>
          <t>Eason</t>
        </is>
      </c>
      <c r="I13" s="3" t="inlineStr">
        <is>
          <t>已付款</t>
        </is>
      </c>
      <c r="J13" s="3" t="inlineStr">
        <is>
          <t>否</t>
        </is>
      </c>
      <c r="K13" s="3" t="inlineStr">
        <is>
          <t>📌 此 ID 之前在 2019 file 標為 2019 首次贊助，請將 dim_donor 「首次贊助年」改為 2018</t>
        </is>
      </c>
    </row>
    <row r="14">
      <c r="A14" s="3" t="inlineStr">
        <is>
          <t>2018-D0036-01</t>
        </is>
      </c>
      <c r="B14" s="3" t="inlineStr">
        <is>
          <t>D0036</t>
        </is>
      </c>
      <c r="C14" s="3" t="inlineStr">
        <is>
          <t>Double APP</t>
        </is>
      </c>
      <c r="D14" s="3" t="n">
        <v>2018</v>
      </c>
      <c r="E14" s="3" t="inlineStr">
        <is>
          <t>未分級</t>
        </is>
      </c>
      <c r="F14" s="3" t="inlineStr">
        <is>
          <t>T5</t>
        </is>
      </c>
      <c r="G14" s="3" t="n">
        <v>110000</v>
      </c>
      <c r="H14" s="3" t="inlineStr">
        <is>
          <t>宏展</t>
        </is>
      </c>
      <c r="I14" s="3" t="inlineStr">
        <is>
          <t>已付款</t>
        </is>
      </c>
      <c r="J14" s="3" t="inlineStr">
        <is>
          <t>否</t>
        </is>
      </c>
      <c r="K14" s="3" t="inlineStr">
        <is>
          <t>📌 此 ID 之前在 2019 file 標為 2019 首次贊助，請將 dim_donor 「首次贊助年」改為 2018</t>
        </is>
      </c>
    </row>
    <row r="15">
      <c r="A15" s="3" t="inlineStr">
        <is>
          <t>2018-D0042-01</t>
        </is>
      </c>
      <c r="B15" s="3" t="inlineStr">
        <is>
          <t>D0042</t>
        </is>
      </c>
      <c r="C15" s="3" t="inlineStr">
        <is>
          <t>Grindr</t>
        </is>
      </c>
      <c r="D15" s="3" t="n">
        <v>2018</v>
      </c>
      <c r="E15" s="3" t="inlineStr">
        <is>
          <t>未分級</t>
        </is>
      </c>
      <c r="F15" s="3" t="inlineStr">
        <is>
          <t>T5</t>
        </is>
      </c>
      <c r="G15" s="3" t="n">
        <v>90000</v>
      </c>
      <c r="H15" s="3" t="inlineStr">
        <is>
          <t>Ruby</t>
        </is>
      </c>
      <c r="I15" s="3" t="inlineStr">
        <is>
          <t>已付款</t>
        </is>
      </c>
      <c r="J15" s="3" t="inlineStr">
        <is>
          <t>否</t>
        </is>
      </c>
      <c r="K15" s="3" t="inlineStr">
        <is>
          <t>📌 此 ID 之前在 2019 file 標為 2019 首次贊助，請將 dim_donor 「首次贊助年」改為 2018</t>
        </is>
      </c>
    </row>
    <row r="16">
      <c r="A16" s="3" t="inlineStr">
        <is>
          <t>2018-D0045-01</t>
        </is>
      </c>
      <c r="B16" s="3" t="inlineStr">
        <is>
          <t>D0045</t>
        </is>
      </c>
      <c r="C16" s="3" t="inlineStr">
        <is>
          <t>YAHOO</t>
        </is>
      </c>
      <c r="D16" s="3" t="n">
        <v>2018</v>
      </c>
      <c r="E16" s="3" t="inlineStr">
        <is>
          <t>未分級</t>
        </is>
      </c>
      <c r="F16" s="3" t="inlineStr">
        <is>
          <t>T5</t>
        </is>
      </c>
      <c r="G16" s="3" t="n">
        <v>110000</v>
      </c>
      <c r="H16" s="3" t="inlineStr">
        <is>
          <t>Ruby</t>
        </is>
      </c>
      <c r="I16" s="3" t="inlineStr">
        <is>
          <t>未付款</t>
        </is>
      </c>
      <c r="J16" s="3" t="inlineStr">
        <is>
          <t>否</t>
        </is>
      </c>
      <c r="K16" s="3" t="inlineStr">
        <is>
          <t>📌 此 ID 之前在 2019 file 標為 2019 首次贊助，請將 dim_donor 「首次贊助年」改為 2018</t>
        </is>
      </c>
    </row>
    <row r="17">
      <c r="A17" s="5" t="inlineStr">
        <is>
          <t>2018-D0076-01</t>
        </is>
      </c>
      <c r="B17" s="5" t="inlineStr">
        <is>
          <t>D0076</t>
        </is>
      </c>
      <c r="C17" s="5" t="inlineStr">
        <is>
          <t>Lifewonders</t>
        </is>
      </c>
      <c r="D17" s="5" t="n">
        <v>2018</v>
      </c>
      <c r="E17" s="5" t="inlineStr">
        <is>
          <t>未分級</t>
        </is>
      </c>
      <c r="F17" s="5" t="inlineStr">
        <is>
          <t>T4</t>
        </is>
      </c>
      <c r="G17" s="5" t="n">
        <v>160000</v>
      </c>
      <c r="H17" s="5" t="inlineStr">
        <is>
          <t>Albert</t>
        </is>
      </c>
      <c r="I17" s="5" t="inlineStr">
        <is>
          <t>未付款</t>
        </is>
      </c>
      <c r="J17" s="5" t="inlineStr">
        <is>
          <t>是</t>
        </is>
      </c>
      <c r="K17" s="5" t="inlineStr"/>
    </row>
    <row r="18">
      <c r="A18" t="inlineStr">
        <is>
          <t>2018-D0077-01</t>
        </is>
      </c>
      <c r="B18" t="inlineStr">
        <is>
          <t>D0077</t>
        </is>
      </c>
      <c r="C18" t="inlineStr">
        <is>
          <t>Blued</t>
        </is>
      </c>
      <c r="D18" t="n">
        <v>2018</v>
      </c>
      <c r="E18" t="inlineStr">
        <is>
          <t>未分級</t>
        </is>
      </c>
      <c r="F18" t="inlineStr">
        <is>
          <t>T5</t>
        </is>
      </c>
      <c r="G18" t="n">
        <v>120000</v>
      </c>
      <c r="H18" t="inlineStr">
        <is>
          <t>Ruby、Albert</t>
        </is>
      </c>
      <c r="I18" t="inlineStr">
        <is>
          <t>已付款</t>
        </is>
      </c>
      <c r="J18" t="inlineStr">
        <is>
          <t>是</t>
        </is>
      </c>
      <c r="K18" t="inlineStr"/>
    </row>
    <row r="19">
      <c r="A19" t="inlineStr">
        <is>
          <t>2018-D0078-01</t>
        </is>
      </c>
      <c r="B19" t="inlineStr">
        <is>
          <t>D0078</t>
        </is>
      </c>
      <c r="C19" t="inlineStr">
        <is>
          <t>COOL GUY</t>
        </is>
      </c>
      <c r="D19" t="n">
        <v>2018</v>
      </c>
      <c r="E19" t="inlineStr">
        <is>
          <t>未分級</t>
        </is>
      </c>
      <c r="F19" t="inlineStr">
        <is>
          <t>T6</t>
        </is>
      </c>
      <c r="G19" t="n">
        <v>30000</v>
      </c>
      <c r="H19" t="inlineStr">
        <is>
          <t>Ruby</t>
        </is>
      </c>
      <c r="I19" t="inlineStr">
        <is>
          <t>已付款</t>
        </is>
      </c>
      <c r="J19" t="inlineStr">
        <is>
          <t>是</t>
        </is>
      </c>
      <c r="K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9" customWidth="1" min="3" max="3"/>
    <col width="23" customWidth="1" min="4" max="4"/>
    <col width="8" customWidth="1" min="5" max="5"/>
    <col width="13" customWidth="1" min="6" max="6"/>
    <col width="16" customWidth="1" min="7" max="7"/>
    <col width="10" customWidth="1" min="8" max="8"/>
    <col width="12" customWidth="1" min="9" max="9"/>
    <col width="6" customWidth="1" min="10" max="10"/>
  </cols>
  <sheetData>
    <row r="1">
      <c r="A1" s="4" t="inlineStr">
        <is>
          <t>品項紀錄編號</t>
        </is>
      </c>
      <c r="B1" s="4" t="inlineStr">
        <is>
          <t>合約編號</t>
        </is>
      </c>
      <c r="C1" s="4" t="inlineStr">
        <is>
          <t>廠商編號</t>
        </is>
      </c>
      <c r="D1" s="4" t="inlineStr">
        <is>
          <t>廠商名稱</t>
        </is>
      </c>
      <c r="E1" s="4" t="inlineStr">
        <is>
          <t>年度</t>
        </is>
      </c>
      <c r="F1" s="4" t="inlineStr">
        <is>
          <t>原始品項名稱</t>
        </is>
      </c>
      <c r="G1" s="4" t="inlineStr">
        <is>
          <t>原始細項</t>
        </is>
      </c>
      <c r="H1" s="4" t="inlineStr">
        <is>
          <t>主品項分類</t>
        </is>
      </c>
      <c r="I1" s="4" t="inlineStr">
        <is>
          <t>單品項金額</t>
        </is>
      </c>
      <c r="J1" s="4" t="inlineStr">
        <is>
          <t>備註</t>
        </is>
      </c>
    </row>
    <row r="2">
      <c r="A2" t="inlineStr">
        <is>
          <t>2018-D0001-01-P001</t>
        </is>
      </c>
      <c r="B2" t="inlineStr">
        <is>
          <t>2018-D0001-01</t>
        </is>
      </c>
      <c r="C2" t="inlineStr">
        <is>
          <t>D0001</t>
        </is>
      </c>
      <c r="D2" t="inlineStr">
        <is>
          <t>辻利茶舖</t>
        </is>
      </c>
      <c r="E2" t="n">
        <v>2018</v>
      </c>
      <c r="F2" t="inlineStr">
        <is>
          <t>瓶裝水</t>
        </is>
      </c>
      <c r="G2" t="inlineStr">
        <is>
          <t>I</t>
        </is>
      </c>
      <c r="H2" t="inlineStr">
        <is>
          <t>其他合作</t>
        </is>
      </c>
      <c r="I2" t="n">
        <v>30000</v>
      </c>
      <c r="J2" t="inlineStr"/>
    </row>
    <row r="3">
      <c r="A3" t="inlineStr">
        <is>
          <t>2018-D0004-01-P001</t>
        </is>
      </c>
      <c r="B3" t="inlineStr">
        <is>
          <t>2018-D0004-01</t>
        </is>
      </c>
      <c r="C3" t="inlineStr">
        <is>
          <t>D0004</t>
        </is>
      </c>
      <c r="D3" t="inlineStr">
        <is>
          <t>Destination,Beijing</t>
        </is>
      </c>
      <c r="E3" t="n">
        <v>2018</v>
      </c>
      <c r="F3" t="inlineStr">
        <is>
          <t>商業車</t>
        </is>
      </c>
      <c r="G3" t="inlineStr">
        <is>
          <t>西路線(往中山南路南端)</t>
        </is>
      </c>
      <c r="H3" t="inlineStr">
        <is>
          <t>花車</t>
        </is>
      </c>
      <c r="I3" t="n">
        <v>120000</v>
      </c>
      <c r="J3" t="inlineStr"/>
    </row>
    <row r="4">
      <c r="A4" t="inlineStr">
        <is>
          <t>2018-D0006-01-P001</t>
        </is>
      </c>
      <c r="B4" t="inlineStr">
        <is>
          <t>2018-D0006-01</t>
        </is>
      </c>
      <c r="C4" t="inlineStr">
        <is>
          <t>D0006</t>
        </is>
      </c>
      <c r="D4" t="inlineStr">
        <is>
          <t>拉拉公園</t>
        </is>
      </c>
      <c r="E4" t="n">
        <v>2018</v>
      </c>
      <c r="F4" t="inlineStr">
        <is>
          <t>商業車</t>
        </is>
      </c>
      <c r="G4" t="inlineStr">
        <is>
          <t>西路線(往中山南路南端)</t>
        </is>
      </c>
      <c r="H4" t="inlineStr">
        <is>
          <t>花車</t>
        </is>
      </c>
      <c r="I4" t="n">
        <v>90000</v>
      </c>
      <c r="J4" t="inlineStr"/>
    </row>
    <row r="5">
      <c r="A5" t="inlineStr">
        <is>
          <t>2018-D0008-01-P001</t>
        </is>
      </c>
      <c r="B5" t="inlineStr">
        <is>
          <t>2018-D0008-01</t>
        </is>
      </c>
      <c r="C5" t="inlineStr">
        <is>
          <t>D0008</t>
        </is>
      </c>
      <c r="D5" t="inlineStr">
        <is>
          <t>Hornet</t>
        </is>
      </c>
      <c r="E5" t="n">
        <v>2018</v>
      </c>
      <c r="F5" t="inlineStr">
        <is>
          <t>商業車</t>
        </is>
      </c>
      <c r="G5" t="inlineStr">
        <is>
          <t>南路線(往中山南路北端)</t>
        </is>
      </c>
      <c r="H5" t="inlineStr">
        <is>
          <t>花車</t>
        </is>
      </c>
      <c r="I5" t="n">
        <v>90000</v>
      </c>
      <c r="J5" t="inlineStr"/>
    </row>
    <row r="6">
      <c r="A6" t="inlineStr">
        <is>
          <t>2018-D0011-01-P001</t>
        </is>
      </c>
      <c r="B6" t="inlineStr">
        <is>
          <t>2018-D0011-01</t>
        </is>
      </c>
      <c r="C6" t="inlineStr">
        <is>
          <t>D0011</t>
        </is>
      </c>
      <c r="D6" t="inlineStr">
        <is>
          <t>Tokyo RainBow Pride</t>
        </is>
      </c>
      <c r="E6" t="n">
        <v>2018</v>
      </c>
      <c r="F6" t="inlineStr">
        <is>
          <t>商業車</t>
        </is>
      </c>
      <c r="G6" t="inlineStr">
        <is>
          <t>南路線(往中山南路北端)</t>
        </is>
      </c>
      <c r="H6" t="inlineStr">
        <is>
          <t>花車</t>
        </is>
      </c>
      <c r="I6" t="n">
        <v>50000</v>
      </c>
      <c r="J6" t="inlineStr"/>
    </row>
    <row r="7">
      <c r="A7" t="inlineStr">
        <is>
          <t>2018-D0012-01-P001</t>
        </is>
      </c>
      <c r="B7" t="inlineStr">
        <is>
          <t>2018-D0012-01</t>
        </is>
      </c>
      <c r="C7" t="inlineStr">
        <is>
          <t>D0012</t>
        </is>
      </c>
      <c r="D7" t="inlineStr">
        <is>
          <t>國際人權特赦組織(AI)</t>
        </is>
      </c>
      <c r="E7" t="n">
        <v>2018</v>
      </c>
      <c r="F7" t="inlineStr">
        <is>
          <t>商業車</t>
        </is>
      </c>
      <c r="G7" t="inlineStr">
        <is>
          <t>A</t>
        </is>
      </c>
      <c r="H7" t="inlineStr">
        <is>
          <t>花車</t>
        </is>
      </c>
      <c r="I7" t="n">
        <v>20000</v>
      </c>
      <c r="J7" t="inlineStr"/>
    </row>
    <row r="8">
      <c r="A8" t="inlineStr">
        <is>
          <t>2018-D0012-01-P002</t>
        </is>
      </c>
      <c r="B8" t="inlineStr">
        <is>
          <t>2018-D0012-01</t>
        </is>
      </c>
      <c r="C8" t="inlineStr">
        <is>
          <t>D0012</t>
        </is>
      </c>
      <c r="D8" t="inlineStr">
        <is>
          <t>國際人權特赦組織(AI)</t>
        </is>
      </c>
      <c r="E8" t="n">
        <v>2018</v>
      </c>
      <c r="F8" t="inlineStr">
        <is>
          <t>輪播影片</t>
        </is>
      </c>
      <c r="G8" t="inlineStr">
        <is>
          <t>3單位→90s</t>
        </is>
      </c>
      <c r="H8" t="inlineStr">
        <is>
          <t>現場版位露出</t>
        </is>
      </c>
      <c r="I8" t="n">
        <v>9000</v>
      </c>
      <c r="J8" t="inlineStr"/>
    </row>
    <row r="9">
      <c r="A9" t="inlineStr">
        <is>
          <t>2018-D0017-01-P001</t>
        </is>
      </c>
      <c r="B9" t="inlineStr">
        <is>
          <t>2018-D0017-01</t>
        </is>
      </c>
      <c r="C9" t="inlineStr">
        <is>
          <t>D0017</t>
        </is>
      </c>
      <c r="D9" t="inlineStr">
        <is>
          <t>UBer</t>
        </is>
      </c>
      <c r="E9" t="n">
        <v>2018</v>
      </c>
      <c r="F9" t="inlineStr">
        <is>
          <t>商業車</t>
        </is>
      </c>
      <c r="G9" t="inlineStr">
        <is>
          <t>G</t>
        </is>
      </c>
      <c r="H9" t="inlineStr">
        <is>
          <t>花車</t>
        </is>
      </c>
      <c r="I9" t="n">
        <v>100000</v>
      </c>
      <c r="J9" t="inlineStr"/>
    </row>
    <row r="10">
      <c r="A10" t="inlineStr">
        <is>
          <t>2018-D0020-01-P001</t>
        </is>
      </c>
      <c r="B10" t="inlineStr">
        <is>
          <t>2018-D0020-01</t>
        </is>
      </c>
      <c r="C10" t="inlineStr">
        <is>
          <t>D0020</t>
        </is>
      </c>
      <c r="D10" t="inlineStr">
        <is>
          <t>GAP</t>
        </is>
      </c>
      <c r="E10" t="n">
        <v>2018</v>
      </c>
      <c r="F10" t="inlineStr">
        <is>
          <t>商業車</t>
        </is>
      </c>
      <c r="G10" t="inlineStr">
        <is>
          <t>西路線(往中山南路南端)</t>
        </is>
      </c>
      <c r="H10" t="inlineStr">
        <is>
          <t>花車</t>
        </is>
      </c>
      <c r="I10" t="n">
        <v>90000</v>
      </c>
      <c r="J10" t="inlineStr"/>
    </row>
    <row r="11">
      <c r="A11" t="inlineStr">
        <is>
          <t>2018-D0022-01-P001</t>
        </is>
      </c>
      <c r="B11" t="inlineStr">
        <is>
          <t>2018-D0022-01</t>
        </is>
      </c>
      <c r="C11" t="inlineStr">
        <is>
          <t>D0022</t>
        </is>
      </c>
      <c r="D11" t="inlineStr">
        <is>
          <t>彩虹酷兒健康文化中心</t>
        </is>
      </c>
      <c r="E11" t="n">
        <v>2018</v>
      </c>
      <c r="F11" t="inlineStr">
        <is>
          <t>商業車</t>
        </is>
      </c>
      <c r="G11" t="inlineStr">
        <is>
          <t>南路線(往中山南路北端)</t>
        </is>
      </c>
      <c r="H11" t="inlineStr">
        <is>
          <t>花車</t>
        </is>
      </c>
      <c r="I11" t="n">
        <v>90000</v>
      </c>
      <c r="J11" t="inlineStr"/>
    </row>
    <row r="12">
      <c r="A12" t="inlineStr">
        <is>
          <t>2018-D0022-01-P002</t>
        </is>
      </c>
      <c r="B12" t="inlineStr">
        <is>
          <t>2018-D0022-01</t>
        </is>
      </c>
      <c r="C12" t="inlineStr">
        <is>
          <t>D0022</t>
        </is>
      </c>
      <c r="D12" t="inlineStr">
        <is>
          <t>彩虹酷兒健康文化中心</t>
        </is>
      </c>
      <c r="E12" t="n">
        <v>2018</v>
      </c>
      <c r="F12" t="inlineStr">
        <is>
          <t>網站-固定商標露出</t>
        </is>
      </c>
      <c r="G12" t="inlineStr">
        <is>
          <t>II</t>
        </is>
      </c>
      <c r="H12" t="inlineStr">
        <is>
          <t>線上版位露出</t>
        </is>
      </c>
      <c r="I12" t="n">
        <v>30000</v>
      </c>
      <c r="J12" t="inlineStr"/>
    </row>
    <row r="13">
      <c r="A13" t="inlineStr">
        <is>
          <t>2018-D0025-01-P001</t>
        </is>
      </c>
      <c r="B13" t="inlineStr">
        <is>
          <t>2018-D0025-01</t>
        </is>
      </c>
      <c r="C13" t="inlineStr">
        <is>
          <t>D0025</t>
        </is>
      </c>
      <c r="D13" t="inlineStr">
        <is>
          <t>GaGaoLaLa</t>
        </is>
      </c>
      <c r="E13" t="n">
        <v>2018</v>
      </c>
      <c r="F13" t="inlineStr">
        <is>
          <t>商業車</t>
        </is>
      </c>
      <c r="G13" t="inlineStr">
        <is>
          <t>東路線(往信義路)</t>
        </is>
      </c>
      <c r="H13" t="inlineStr">
        <is>
          <t>花車</t>
        </is>
      </c>
      <c r="I13" t="n">
        <v>90000</v>
      </c>
      <c r="J13" t="inlineStr"/>
    </row>
    <row r="14">
      <c r="A14" t="inlineStr">
        <is>
          <t>2018-D0026-01-P001</t>
        </is>
      </c>
      <c r="B14" t="inlineStr">
        <is>
          <t>2018-D0026-01</t>
        </is>
      </c>
      <c r="C14" t="inlineStr">
        <is>
          <t>D0026</t>
        </is>
      </c>
      <c r="D14" t="inlineStr">
        <is>
          <t>婚姻大平台</t>
        </is>
      </c>
      <c r="E14" t="n">
        <v>2018</v>
      </c>
      <c r="F14" t="inlineStr">
        <is>
          <t>商業車</t>
        </is>
      </c>
      <c r="G14" t="inlineStr">
        <is>
          <t>西路線(往中山南路南端)</t>
        </is>
      </c>
      <c r="H14" t="inlineStr">
        <is>
          <t>花車</t>
        </is>
      </c>
      <c r="I14" t="n">
        <v>20000</v>
      </c>
      <c r="J14" t="inlineStr"/>
    </row>
    <row r="15">
      <c r="A15" t="inlineStr">
        <is>
          <t>2018-D0026-01-P002</t>
        </is>
      </c>
      <c r="B15" t="inlineStr">
        <is>
          <t>2018-D0026-01</t>
        </is>
      </c>
      <c r="C15" t="inlineStr">
        <is>
          <t>D0026</t>
        </is>
      </c>
      <c r="D15" t="inlineStr">
        <is>
          <t>婚姻大平台</t>
        </is>
      </c>
      <c r="E15" t="n">
        <v>2018</v>
      </c>
      <c r="F15" t="inlineStr">
        <is>
          <t>商業車</t>
        </is>
      </c>
      <c r="G15" t="inlineStr">
        <is>
          <t>B</t>
        </is>
      </c>
      <c r="H15" t="inlineStr">
        <is>
          <t>花車</t>
        </is>
      </c>
      <c r="I15" t="n">
        <v>10000</v>
      </c>
      <c r="J15" t="inlineStr"/>
    </row>
    <row r="16">
      <c r="A16" t="inlineStr">
        <is>
          <t>2018-D0026-01-P003</t>
        </is>
      </c>
      <c r="B16" t="inlineStr">
        <is>
          <t>2018-D0026-01</t>
        </is>
      </c>
      <c r="C16" t="inlineStr">
        <is>
          <t>D0026</t>
        </is>
      </c>
      <c r="D16" t="inlineStr">
        <is>
          <t>婚姻大平台</t>
        </is>
      </c>
      <c r="E16" t="n">
        <v>2018</v>
      </c>
      <c r="F16" t="inlineStr">
        <is>
          <t>輪播影片</t>
        </is>
      </c>
      <c r="G16" t="inlineStr">
        <is>
          <t>2單位→60s</t>
        </is>
      </c>
      <c r="H16" t="inlineStr">
        <is>
          <t>現場版位露出</t>
        </is>
      </c>
      <c r="I16" t="n">
        <v>6000</v>
      </c>
      <c r="J16" t="inlineStr"/>
    </row>
    <row r="17">
      <c r="A17" t="inlineStr">
        <is>
          <t>2018-D0034-01-P001</t>
        </is>
      </c>
      <c r="B17" t="inlineStr">
        <is>
          <t>2018-D0034-01</t>
        </is>
      </c>
      <c r="C17" t="inlineStr">
        <is>
          <t>D0034</t>
        </is>
      </c>
      <c r="D17" t="inlineStr">
        <is>
          <t>Tstudio</t>
        </is>
      </c>
      <c r="E17" t="n">
        <v>2018</v>
      </c>
      <c r="F17" t="inlineStr">
        <is>
          <t>商業車</t>
        </is>
      </c>
      <c r="G17" t="inlineStr">
        <is>
          <t>D</t>
        </is>
      </c>
      <c r="H17" t="inlineStr">
        <is>
          <t>花車</t>
        </is>
      </c>
      <c r="I17" t="n">
        <v>100000</v>
      </c>
      <c r="J17" t="inlineStr"/>
    </row>
    <row r="18">
      <c r="A18" t="inlineStr">
        <is>
          <t>2018-D0036-01-P001</t>
        </is>
      </c>
      <c r="B18" t="inlineStr">
        <is>
          <t>2018-D0036-01</t>
        </is>
      </c>
      <c r="C18" t="inlineStr">
        <is>
          <t>D0036</t>
        </is>
      </c>
      <c r="D18" t="inlineStr">
        <is>
          <t>Double APP</t>
        </is>
      </c>
      <c r="E18" t="n">
        <v>2018</v>
      </c>
      <c r="F18" t="inlineStr">
        <is>
          <t>音響鷹架旁看板廣告</t>
        </is>
      </c>
      <c r="G18" t="inlineStr">
        <is>
          <t>I</t>
        </is>
      </c>
      <c r="H18" t="inlineStr">
        <is>
          <t>現場版位露出</t>
        </is>
      </c>
      <c r="I18" t="n">
        <v>110000</v>
      </c>
      <c r="J18" t="inlineStr"/>
    </row>
    <row r="19">
      <c r="A19" t="inlineStr">
        <is>
          <t>2018-D0042-01-P001</t>
        </is>
      </c>
      <c r="B19" t="inlineStr">
        <is>
          <t>2018-D0042-01</t>
        </is>
      </c>
      <c r="C19" t="inlineStr">
        <is>
          <t>D0042</t>
        </is>
      </c>
      <c r="D19" t="inlineStr">
        <is>
          <t>Grindr</t>
        </is>
      </c>
      <c r="E19" t="n">
        <v>2018</v>
      </c>
      <c r="F19" t="inlineStr">
        <is>
          <t>商業車</t>
        </is>
      </c>
      <c r="G19" t="inlineStr">
        <is>
          <t>東路線(往信義路)</t>
        </is>
      </c>
      <c r="H19" t="inlineStr">
        <is>
          <t>花車</t>
        </is>
      </c>
      <c r="I19" t="n">
        <v>90000</v>
      </c>
      <c r="J19" t="inlineStr"/>
    </row>
    <row r="20">
      <c r="A20" t="inlineStr">
        <is>
          <t>2018-D0045-01-P001</t>
        </is>
      </c>
      <c r="B20" t="inlineStr">
        <is>
          <t>2018-D0045-01</t>
        </is>
      </c>
      <c r="C20" t="inlineStr">
        <is>
          <t>D0045</t>
        </is>
      </c>
      <c r="D20" t="inlineStr">
        <is>
          <t>YAHOO</t>
        </is>
      </c>
      <c r="E20" t="n">
        <v>2018</v>
      </c>
      <c r="F20" t="inlineStr">
        <is>
          <t>音響鷹架旁看板廣告</t>
        </is>
      </c>
      <c r="G20" t="inlineStr">
        <is>
          <t>II</t>
        </is>
      </c>
      <c r="H20" t="inlineStr">
        <is>
          <t>現場版位露出</t>
        </is>
      </c>
      <c r="I20" t="n">
        <v>110000</v>
      </c>
      <c r="J20" t="inlineStr"/>
    </row>
    <row r="21">
      <c r="A21" t="inlineStr">
        <is>
          <t>2018-D0076-01-P001</t>
        </is>
      </c>
      <c r="B21" t="inlineStr">
        <is>
          <t>2018-D0076-01</t>
        </is>
      </c>
      <c r="C21" t="inlineStr">
        <is>
          <t>D0076</t>
        </is>
      </c>
      <c r="D21" t="inlineStr">
        <is>
          <t>Lifewonders</t>
        </is>
      </c>
      <c r="E21" t="n">
        <v>2018</v>
      </c>
      <c r="F21" t="inlineStr">
        <is>
          <t>扇子</t>
        </is>
      </c>
      <c r="G21" t="inlineStr">
        <is>
          <t>I~IV</t>
        </is>
      </c>
      <c r="H21" t="inlineStr">
        <is>
          <t>印刷品贊助</t>
        </is>
      </c>
      <c r="I21" t="n">
        <v>160000</v>
      </c>
      <c r="J21" t="inlineStr"/>
    </row>
    <row r="22">
      <c r="A22" t="inlineStr">
        <is>
          <t>2018-D0077-01-P001</t>
        </is>
      </c>
      <c r="B22" t="inlineStr">
        <is>
          <t>2018-D0077-01</t>
        </is>
      </c>
      <c r="C22" t="inlineStr">
        <is>
          <t>D0077</t>
        </is>
      </c>
      <c r="D22" t="inlineStr">
        <is>
          <t>Blued</t>
        </is>
      </c>
      <c r="E22" t="n">
        <v>2018</v>
      </c>
      <c r="F22" t="inlineStr">
        <is>
          <t>商業車</t>
        </is>
      </c>
      <c r="G22" t="inlineStr">
        <is>
          <t>東路線(往信義路)</t>
        </is>
      </c>
      <c r="H22" t="inlineStr">
        <is>
          <t>花車</t>
        </is>
      </c>
      <c r="I22" t="n">
        <v>120000</v>
      </c>
      <c r="J22" t="inlineStr"/>
    </row>
    <row r="23">
      <c r="A23" t="inlineStr">
        <is>
          <t>2018-D0078-01-P001</t>
        </is>
      </c>
      <c r="B23" t="inlineStr">
        <is>
          <t>2018-D0078-01</t>
        </is>
      </c>
      <c r="C23" t="inlineStr">
        <is>
          <t>D0078</t>
        </is>
      </c>
      <c r="D23" t="inlineStr">
        <is>
          <t>COOL GUY</t>
        </is>
      </c>
      <c r="E23" t="n">
        <v>2018</v>
      </c>
      <c r="F23" t="inlineStr">
        <is>
          <t>瓶裝水</t>
        </is>
      </c>
      <c r="G23" t="inlineStr">
        <is>
          <t>II</t>
        </is>
      </c>
      <c r="H23" t="inlineStr">
        <is>
          <t>其他合作</t>
        </is>
      </c>
      <c r="I23" t="n">
        <v>30000</v>
      </c>
      <c r="J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8" customWidth="1" min="10" max="10"/>
    <col width="8" customWidth="1" min="11" max="11"/>
    <col width="14" customWidth="1" min="12" max="12"/>
    <col width="45" customWidth="1" min="13" max="13"/>
  </cols>
  <sheetData>
    <row r="1">
      <c r="A1" s="4" t="inlineStr">
        <is>
          <t>攤位紀錄編號</t>
        </is>
      </c>
      <c r="B1" s="4" t="inlineStr">
        <is>
          <t>廠商編號</t>
        </is>
      </c>
      <c r="C1" s="4" t="inlineStr">
        <is>
          <t>廠商名稱</t>
        </is>
      </c>
      <c r="D1" s="4" t="inlineStr">
        <is>
          <t>年度</t>
        </is>
      </c>
      <c r="E1" s="4" t="inlineStr">
        <is>
          <t>棚位類型</t>
        </is>
      </c>
      <c r="F1" s="4" t="inlineStr">
        <is>
          <t>是否早鳥</t>
        </is>
      </c>
      <c r="G1" s="4" t="inlineStr">
        <is>
          <t>攤位金額</t>
        </is>
      </c>
      <c r="H1" s="4" t="inlineStr">
        <is>
          <t>攤位編號</t>
        </is>
      </c>
      <c r="I1" s="4" t="inlineStr">
        <is>
          <t>是否為公益組織</t>
        </is>
      </c>
      <c r="J1" s="4" t="inlineStr">
        <is>
          <t>業務窗口</t>
        </is>
      </c>
      <c r="K1" s="4" t="inlineStr">
        <is>
          <t>付款狀態</t>
        </is>
      </c>
      <c r="L1" s="4" t="inlineStr">
        <is>
          <t>同年是否亦為級別廠商</t>
        </is>
      </c>
      <c r="M1" s="4" t="inlineStr">
        <is>
          <t>備註</t>
        </is>
      </c>
    </row>
    <row r="2">
      <c r="A2" t="inlineStr"/>
      <c r="B2" t="inlineStr"/>
      <c r="C2" t="inlineStr">
        <is>
          <t>（無資料）</t>
        </is>
      </c>
      <c r="D2" t="n">
        <v>2018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2018 無純攤位贊助商。社運帳篷項目併入該贊助商的 fact_item_pick。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4" customWidth="1" min="3" max="3"/>
    <col width="10" customWidth="1" min="4" max="4"/>
    <col width="13" customWidth="1" min="5" max="5"/>
    <col width="17" customWidth="1" min="6" max="6"/>
    <col width="45" customWidth="1" min="7" max="7"/>
  </cols>
  <sheetData>
    <row r="1">
      <c r="A1" s="1" t="inlineStr">
        <is>
          <t>2017 → 2018 廠商回流分析</t>
        </is>
      </c>
    </row>
    <row r="2"/>
    <row r="3">
      <c r="A3" s="6" t="inlineStr">
        <is>
          <t>✅ 回流廠商 — 15 家</t>
        </is>
      </c>
    </row>
    <row r="4">
      <c r="A4" s="7" t="inlineStr">
        <is>
          <t>廠商編號</t>
        </is>
      </c>
      <c r="B4" s="7" t="inlineStr">
        <is>
          <t>廠商</t>
        </is>
      </c>
      <c r="C4" s="7" t="inlineStr">
        <is>
          <t>上次年份</t>
        </is>
      </c>
      <c r="D4" s="7" t="inlineStr">
        <is>
          <t>上次金額</t>
        </is>
      </c>
      <c r="E4" s="7" t="inlineStr">
        <is>
          <t>2018 金額</t>
        </is>
      </c>
      <c r="F4" s="7" t="inlineStr">
        <is>
          <t>變化</t>
        </is>
      </c>
      <c r="G4" s="7" t="inlineStr">
        <is>
          <t>備註</t>
        </is>
      </c>
    </row>
    <row r="5">
      <c r="A5" s="8" t="inlineStr">
        <is>
          <t>D0001</t>
        </is>
      </c>
      <c r="B5" s="8" t="inlineStr">
        <is>
          <t>辻利茶舖</t>
        </is>
      </c>
      <c r="C5" s="8" t="n">
        <v>2017</v>
      </c>
      <c r="D5" s="8" t="n">
        <v>40000</v>
      </c>
      <c r="E5" s="8" t="n">
        <v>30000</v>
      </c>
      <c r="F5" s="8" t="inlineStr">
        <is>
          <t>📉 NTD -10,000</t>
        </is>
      </c>
      <c r="G5" s="8" t="inlineStr"/>
    </row>
    <row r="6">
      <c r="A6" s="8" t="inlineStr">
        <is>
          <t>D0004</t>
        </is>
      </c>
      <c r="B6" s="8" t="inlineStr">
        <is>
          <t>Destination,Beijing</t>
        </is>
      </c>
      <c r="C6" s="8" t="n">
        <v>2017</v>
      </c>
      <c r="D6" s="8" t="n">
        <v>110000</v>
      </c>
      <c r="E6" s="8" t="n">
        <v>120000</v>
      </c>
      <c r="F6" s="8" t="inlineStr">
        <is>
          <t>📈 +NTD 10,000</t>
        </is>
      </c>
      <c r="G6" s="8" t="inlineStr"/>
    </row>
    <row r="7">
      <c r="A7" s="8" t="inlineStr">
        <is>
          <t>D0006</t>
        </is>
      </c>
      <c r="B7" s="8" t="inlineStr">
        <is>
          <t>拉拉公園</t>
        </is>
      </c>
      <c r="C7" s="8" t="n">
        <v>2017</v>
      </c>
      <c r="D7" s="8" t="n">
        <v>80000</v>
      </c>
      <c r="E7" s="8" t="n">
        <v>90000</v>
      </c>
      <c r="F7" s="8" t="inlineStr">
        <is>
          <t>📈 +NTD 10,000</t>
        </is>
      </c>
      <c r="G7" s="8" t="inlineStr"/>
    </row>
    <row r="8">
      <c r="A8" s="8" t="inlineStr">
        <is>
          <t>D0008</t>
        </is>
      </c>
      <c r="B8" s="8" t="inlineStr">
        <is>
          <t>Hornet</t>
        </is>
      </c>
      <c r="C8" s="8" t="n">
        <v>2017</v>
      </c>
      <c r="D8" s="8" t="n">
        <v>60000</v>
      </c>
      <c r="E8" s="8" t="n">
        <v>90000</v>
      </c>
      <c r="F8" s="8" t="inlineStr">
        <is>
          <t>📈 +NTD 30,000</t>
        </is>
      </c>
      <c r="G8" s="8" t="inlineStr"/>
    </row>
    <row r="9">
      <c r="A9" s="8" t="inlineStr">
        <is>
          <t>D0011</t>
        </is>
      </c>
      <c r="B9" s="8" t="inlineStr">
        <is>
          <t>Tokyo RainBow Pride</t>
        </is>
      </c>
      <c r="C9" s="8" t="n">
        <v>2017</v>
      </c>
      <c r="D9" s="8" t="n">
        <v>47000</v>
      </c>
      <c r="E9" s="8" t="n">
        <v>50000</v>
      </c>
      <c r="F9" s="8" t="inlineStr">
        <is>
          <t>📈 +NTD 3,000</t>
        </is>
      </c>
      <c r="G9" s="8" t="inlineStr"/>
    </row>
    <row r="10">
      <c r="A10" s="8" t="inlineStr">
        <is>
          <t>D0012</t>
        </is>
      </c>
      <c r="B10" s="8" t="inlineStr">
        <is>
          <t>國際人權特赦組織(AI)</t>
        </is>
      </c>
      <c r="C10" s="8" t="n">
        <v>2017</v>
      </c>
      <c r="D10" s="8" t="n">
        <v>20000</v>
      </c>
      <c r="E10" s="8" t="n">
        <v>29000</v>
      </c>
      <c r="F10" s="8" t="inlineStr">
        <is>
          <t>📈 +NTD 9,000</t>
        </is>
      </c>
      <c r="G10" s="8" t="inlineStr"/>
    </row>
    <row r="11">
      <c r="A11" s="8" t="inlineStr">
        <is>
          <t>D0017</t>
        </is>
      </c>
      <c r="B11" s="8" t="inlineStr">
        <is>
          <t>UBer</t>
        </is>
      </c>
      <c r="C11" s="8" t="n">
        <v>2017</v>
      </c>
      <c r="D11" s="8" t="n">
        <v>100000</v>
      </c>
      <c r="E11" s="8" t="n">
        <v>100000</v>
      </c>
      <c r="F11" s="8" t="inlineStr">
        <is>
          <t>➡️ 持平</t>
        </is>
      </c>
      <c r="G11" s="8" t="inlineStr"/>
    </row>
    <row r="12">
      <c r="A12" s="8" t="inlineStr">
        <is>
          <t>D0020</t>
        </is>
      </c>
      <c r="B12" s="8" t="inlineStr">
        <is>
          <t>GAP</t>
        </is>
      </c>
      <c r="C12" s="8" t="n">
        <v>2017</v>
      </c>
      <c r="D12" s="8" t="n">
        <v>60000</v>
      </c>
      <c r="E12" s="8" t="n">
        <v>90000</v>
      </c>
      <c r="F12" s="8" t="inlineStr">
        <is>
          <t>📈 +NTD 30,000</t>
        </is>
      </c>
      <c r="G12" s="8" t="inlineStr"/>
    </row>
    <row r="13">
      <c r="A13" s="8" t="inlineStr">
        <is>
          <t>D0022</t>
        </is>
      </c>
      <c r="B13" s="8" t="inlineStr">
        <is>
          <t>彩虹酷兒健康文化中心</t>
        </is>
      </c>
      <c r="C13" s="8" t="n">
        <v>2017</v>
      </c>
      <c r="D13" s="8" t="n">
        <v>60000</v>
      </c>
      <c r="E13" s="8" t="n">
        <v>120000</v>
      </c>
      <c r="F13" s="8" t="inlineStr">
        <is>
          <t>📈 +NTD 60,000</t>
        </is>
      </c>
      <c r="G13" s="8" t="inlineStr"/>
    </row>
    <row r="14">
      <c r="A14" s="8" t="inlineStr">
        <is>
          <t>D0025</t>
        </is>
      </c>
      <c r="B14" s="8" t="inlineStr">
        <is>
          <t>GaGaoLaLa</t>
        </is>
      </c>
      <c r="C14" s="8" t="n">
        <v>2017</v>
      </c>
      <c r="D14" s="8" t="n">
        <v>20000</v>
      </c>
      <c r="E14" s="8" t="n">
        <v>90000</v>
      </c>
      <c r="F14" s="8" t="inlineStr">
        <is>
          <t>📈 +NTD 70,000</t>
        </is>
      </c>
      <c r="G14" s="8" t="inlineStr"/>
    </row>
    <row r="15">
      <c r="A15" s="8" t="inlineStr">
        <is>
          <t>D0026</t>
        </is>
      </c>
      <c r="B15" s="8" t="inlineStr">
        <is>
          <t>婚姻大平台</t>
        </is>
      </c>
      <c r="C15" s="8" t="n">
        <v>2017</v>
      </c>
      <c r="D15" s="8" t="n">
        <v>20000</v>
      </c>
      <c r="E15" s="8" t="n">
        <v>36000</v>
      </c>
      <c r="F15" s="8" t="inlineStr">
        <is>
          <t>📈 +NTD 16,000</t>
        </is>
      </c>
      <c r="G15" s="8" t="inlineStr"/>
    </row>
    <row r="16">
      <c r="A16" s="3" t="inlineStr">
        <is>
          <t>D0034</t>
        </is>
      </c>
      <c r="B16" s="3" t="inlineStr">
        <is>
          <t>Tstudio</t>
        </is>
      </c>
      <c r="C16" s="3" t="inlineStr">
        <is>
          <t>—</t>
        </is>
      </c>
      <c r="D16" s="3" t="inlineStr">
        <is>
          <t>—</t>
        </is>
      </c>
      <c r="E16" s="3" t="n">
        <v>100000</v>
      </c>
      <c r="F16" s="3" t="inlineStr">
        <is>
          <t>（首年）</t>
        </is>
      </c>
      <c r="G16" s="3" t="inlineStr">
        <is>
          <t>📌 首次贊助年應為 2018（先前 file 誤標 2019）</t>
        </is>
      </c>
    </row>
    <row r="17">
      <c r="A17" s="3" t="inlineStr">
        <is>
          <t>D0036</t>
        </is>
      </c>
      <c r="B17" s="3" t="inlineStr">
        <is>
          <t>Double APP</t>
        </is>
      </c>
      <c r="C17" s="3" t="inlineStr">
        <is>
          <t>—</t>
        </is>
      </c>
      <c r="D17" s="3" t="inlineStr">
        <is>
          <t>—</t>
        </is>
      </c>
      <c r="E17" s="3" t="n">
        <v>110000</v>
      </c>
      <c r="F17" s="3" t="inlineStr">
        <is>
          <t>（首年）</t>
        </is>
      </c>
      <c r="G17" s="3" t="inlineStr">
        <is>
          <t>📌 首次贊助年應為 2018（先前 file 誤標 2019）</t>
        </is>
      </c>
    </row>
    <row r="18">
      <c r="A18" s="3" t="inlineStr">
        <is>
          <t>D0042</t>
        </is>
      </c>
      <c r="B18" s="3" t="inlineStr">
        <is>
          <t>Grindr</t>
        </is>
      </c>
      <c r="C18" s="3" t="inlineStr">
        <is>
          <t>—</t>
        </is>
      </c>
      <c r="D18" s="3" t="inlineStr">
        <is>
          <t>—</t>
        </is>
      </c>
      <c r="E18" s="3" t="n">
        <v>90000</v>
      </c>
      <c r="F18" s="3" t="inlineStr">
        <is>
          <t>（首年）</t>
        </is>
      </c>
      <c r="G18" s="3" t="inlineStr">
        <is>
          <t>📌 首次贊助年應為 2018（先前 file 誤標 2019）</t>
        </is>
      </c>
    </row>
    <row r="19">
      <c r="A19" s="3" t="inlineStr">
        <is>
          <t>D0045</t>
        </is>
      </c>
      <c r="B19" s="3" t="inlineStr">
        <is>
          <t>YAHOO</t>
        </is>
      </c>
      <c r="C19" s="3" t="inlineStr">
        <is>
          <t>—</t>
        </is>
      </c>
      <c r="D19" s="3" t="inlineStr">
        <is>
          <t>—</t>
        </is>
      </c>
      <c r="E19" s="3" t="n">
        <v>110000</v>
      </c>
      <c r="F19" s="3" t="inlineStr">
        <is>
          <t>（首年）</t>
        </is>
      </c>
      <c r="G19" s="3" t="inlineStr">
        <is>
          <t>📌 首次贊助年應為 2018（先前 file 誤標 2019）</t>
        </is>
      </c>
    </row>
    <row r="20"/>
    <row r="21">
      <c r="A21" s="6" t="inlineStr">
        <is>
          <t>💔 自 2017 後流失廠商（未在 2018 出現）— 9 家</t>
        </is>
      </c>
    </row>
    <row r="22">
      <c r="A22" s="7" t="inlineStr">
        <is>
          <t>廠商編號</t>
        </is>
      </c>
      <c r="B22" s="7" t="inlineStr">
        <is>
          <t>廠商</t>
        </is>
      </c>
      <c r="C22" s="7" t="inlineStr">
        <is>
          <t>備註</t>
        </is>
      </c>
    </row>
    <row r="23">
      <c r="A23" s="9" t="inlineStr">
        <is>
          <t>D0002</t>
        </is>
      </c>
      <c r="B23" s="9" t="inlineStr">
        <is>
          <t>Par.T</t>
        </is>
      </c>
      <c r="C23" s="9" t="inlineStr">
        <is>
          <t>2016+2017 連 2 年贊助後流失</t>
        </is>
      </c>
    </row>
    <row r="24">
      <c r="A24" s="9" t="inlineStr">
        <is>
          <t>D0003</t>
        </is>
      </c>
      <c r="B24" s="9" t="inlineStr">
        <is>
          <t>Blue</t>
        </is>
      </c>
      <c r="C24" s="9" t="inlineStr"/>
    </row>
    <row r="25">
      <c r="A25" s="9" t="inlineStr">
        <is>
          <t>D0016</t>
        </is>
      </c>
      <c r="B25" s="9" t="inlineStr">
        <is>
          <t>觸控科技</t>
        </is>
      </c>
      <c r="C25" s="9" t="inlineStr">
        <is>
          <t>2017 報價 315k 未付款後消失</t>
        </is>
      </c>
    </row>
    <row r="26">
      <c r="A26" s="9" t="inlineStr">
        <is>
          <t>D0018</t>
        </is>
      </c>
      <c r="B26" s="9" t="inlineStr">
        <is>
          <t>達博企業社(大龜)</t>
        </is>
      </c>
      <c r="C26" s="9" t="inlineStr"/>
    </row>
    <row r="27">
      <c r="A27" s="9" t="inlineStr">
        <is>
          <t>D0019</t>
        </is>
      </c>
      <c r="B27" s="9" t="inlineStr">
        <is>
          <t>雪豹科技</t>
        </is>
      </c>
      <c r="C27" s="9" t="inlineStr">
        <is>
          <t>2017 一年贊助後流失</t>
        </is>
      </c>
    </row>
    <row r="28">
      <c r="A28" s="9" t="inlineStr">
        <is>
          <t>D0021</t>
        </is>
      </c>
      <c r="B28" s="9" t="inlineStr">
        <is>
          <t>Sunpride Foundation 驕陽基金會</t>
        </is>
      </c>
      <c r="C28" s="9" t="inlineStr"/>
    </row>
    <row r="29">
      <c r="A29" s="9" t="inlineStr">
        <is>
          <t>D0023</t>
        </is>
      </c>
      <c r="B29" s="9" t="inlineStr">
        <is>
          <t>艾緦整合行銷</t>
        </is>
      </c>
      <c r="C29" s="9" t="inlineStr"/>
    </row>
    <row r="30">
      <c r="A30" s="9" t="inlineStr">
        <is>
          <t>D0024</t>
        </is>
      </c>
      <c r="B30" s="9" t="inlineStr">
        <is>
          <t>ESHA</t>
        </is>
      </c>
      <c r="C30" s="9" t="inlineStr"/>
    </row>
    <row r="31">
      <c r="A31" s="9" t="inlineStr">
        <is>
          <t>D0027</t>
        </is>
      </c>
      <c r="B31" s="9" t="inlineStr">
        <is>
          <t>花旗商銀</t>
        </is>
      </c>
      <c r="C31" s="9" t="inlineStr"/>
    </row>
    <row r="32"/>
    <row r="33">
      <c r="A33" s="6" t="inlineStr">
        <is>
          <t>🆕 新進廠商 — 3 家</t>
        </is>
      </c>
    </row>
    <row r="34">
      <c r="A34" s="7" t="inlineStr">
        <is>
          <t>廠商編號</t>
        </is>
      </c>
      <c r="B34" s="7" t="inlineStr">
        <is>
          <t>廠商</t>
        </is>
      </c>
      <c r="C34" s="7" t="inlineStr">
        <is>
          <t>金額</t>
        </is>
      </c>
      <c r="D34" s="7" t="inlineStr">
        <is>
          <t>主級別</t>
        </is>
      </c>
      <c r="E34" s="7" t="inlineStr">
        <is>
          <t>產業</t>
        </is>
      </c>
    </row>
    <row r="35">
      <c r="A35" s="10" t="inlineStr">
        <is>
          <t>D0076</t>
        </is>
      </c>
      <c r="B35" s="10" t="inlineStr">
        <is>
          <t>Lifewonders</t>
        </is>
      </c>
      <c r="C35" s="10" t="n">
        <v>160000</v>
      </c>
      <c r="D35" s="10" t="inlineStr">
        <is>
          <t>T4</t>
        </is>
      </c>
      <c r="E35" s="10" t="inlineStr">
        <is>
          <t>社交軟體（gay）</t>
        </is>
      </c>
    </row>
    <row r="36">
      <c r="A36" s="10" t="inlineStr">
        <is>
          <t>D0077</t>
        </is>
      </c>
      <c r="B36" s="10" t="inlineStr">
        <is>
          <t>Blued</t>
        </is>
      </c>
      <c r="C36" s="10" t="n">
        <v>120000</v>
      </c>
      <c r="D36" s="10" t="inlineStr">
        <is>
          <t>T5</t>
        </is>
      </c>
      <c r="E36" s="10" t="inlineStr">
        <is>
          <t>社交軟體（gay）</t>
        </is>
      </c>
    </row>
    <row r="37">
      <c r="A37" s="10" t="inlineStr">
        <is>
          <t>D0078</t>
        </is>
      </c>
      <c r="B37" s="10" t="inlineStr">
        <is>
          <t>COOL GUY</t>
        </is>
      </c>
      <c r="C37" s="10" t="n">
        <v>30000</v>
      </c>
      <c r="D37" s="10" t="inlineStr">
        <is>
          <t>T6</t>
        </is>
      </c>
      <c r="E37" s="10" t="inlineStr">
        <is>
          <t>生活／文創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0" customWidth="1" min="3" max="3"/>
  </cols>
  <sheetData>
    <row r="1">
      <c r="A1" s="1" t="inlineStr">
        <is>
          <t>修訂紀錄</t>
        </is>
      </c>
    </row>
    <row r="2">
      <c r="A2" s="7" t="inlineStr">
        <is>
          <t>版本</t>
        </is>
      </c>
      <c r="B2" s="7" t="inlineStr">
        <is>
          <t>日期</t>
        </is>
      </c>
      <c r="C2" s="7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初版擷取，使用新提供的 2018洽談廠商進度表.xlsx 取代先前無資料的 2018_1070610。4 個 ID 需更新「首次贊助年」（D0034、D0036、D0042、D0045）。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2026-04-29T18:29:13Z</dcterms:created>
  <dcterms:modified xmlns:dcterms="http://purl.org/dc/terms/" xmlns:xsi="http://www.w3.org/2001/XMLSchema-instance" xsi:type="dcterms:W3CDTF">2026-04-29T18:29:13Z</dcterms:modified>
</cp:coreProperties>
</file>