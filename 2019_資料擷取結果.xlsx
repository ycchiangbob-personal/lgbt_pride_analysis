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19_dim_donor (新增)" sheetId="2" state="visible" r:id="rId2"/>
    <sheet xmlns:r="http://schemas.openxmlformats.org/officeDocument/2006/relationships" name="2019_dim_year" sheetId="3" state="visible" r:id="rId3"/>
    <sheet xmlns:r="http://schemas.openxmlformats.org/officeDocument/2006/relationships" name="2019_map_tier_year" sheetId="4" state="visible" r:id="rId4"/>
    <sheet xmlns:r="http://schemas.openxmlformats.org/officeDocument/2006/relationships" name="2019_map_item_year" sheetId="5" state="visible" r:id="rId5"/>
    <sheet xmlns:r="http://schemas.openxmlformats.org/officeDocument/2006/relationships" name="2019_fact_sponsorship" sheetId="6" state="visible" r:id="rId6"/>
    <sheet xmlns:r="http://schemas.openxmlformats.org/officeDocument/2006/relationships" name="2019_fact_item_pick" sheetId="7" state="visible" r:id="rId7"/>
    <sheet xmlns:r="http://schemas.openxmlformats.org/officeDocument/2006/relationships" name="2019_fact_market_booth" sheetId="8" state="visible" r:id="rId8"/>
    <sheet xmlns:r="http://schemas.openxmlformats.org/officeDocument/2006/relationships" name="回流分析" sheetId="9" state="visible" r:id="rId9"/>
    <sheet xmlns:r="http://schemas.openxmlformats.org/officeDocument/2006/relationships" name="修訂紀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2019 年贊助資料擷取結果</t>
        </is>
      </c>
    </row>
    <row r="3">
      <c r="A3" t="inlineStr">
        <is>
          <t>來源檔案</t>
        </is>
      </c>
      <c r="B3" t="inlineStr">
        <is>
          <t>2019_贊助廠商名單及清單WIP0814.xlsx</t>
        </is>
      </c>
    </row>
    <row r="4">
      <c r="A4" t="inlineStr">
        <is>
          <t>採用分頁</t>
        </is>
      </c>
      <c r="B4" t="inlineStr">
        <is>
          <t>廠商別（唯一分頁）</t>
        </is>
      </c>
    </row>
    <row r="5">
      <c r="A5" t="inlineStr"/>
      <c r="B5" t="inlineStr"/>
    </row>
    <row r="6">
      <c r="A6" s="2">
        <f>== 重大里程碑 ===</f>
        <v/>
      </c>
      <c r="B6" t="inlineStr"/>
    </row>
    <row r="7">
      <c r="A7" t="inlineStr">
        <is>
          <t>級別制度</t>
        </is>
      </c>
      <c r="B7" t="inlineStr">
        <is>
          <t>✅ 2019 是【第一個正式分級年】</t>
        </is>
      </c>
    </row>
    <row r="8">
      <c r="A8" t="inlineStr">
        <is>
          <t>該年級別</t>
        </is>
      </c>
      <c r="B8" t="inlineStr">
        <is>
          <t>黃金級（500k）+ 銀級（150-175k）+ 未分級</t>
        </is>
      </c>
    </row>
    <row r="9">
      <c r="A9" t="inlineStr">
        <is>
          <t>級別映射</t>
        </is>
      </c>
      <c r="B9" t="inlineStr">
        <is>
          <t>黃金級 → T2（500-799k），銀級 → T4（150-299k）</t>
        </is>
      </c>
    </row>
    <row r="10">
      <c r="A10" t="inlineStr"/>
      <c r="B10" t="inlineStr"/>
    </row>
    <row r="11">
      <c r="A11" s="2">
        <f>== 統計 ===</f>
        <v/>
      </c>
      <c r="B11" t="inlineStr"/>
    </row>
    <row r="12">
      <c r="A12" t="inlineStr">
        <is>
          <t>總廠商數</t>
        </is>
      </c>
      <c r="B12" t="inlineStr">
        <is>
          <t>28 家</t>
        </is>
      </c>
    </row>
    <row r="13">
      <c r="A13" t="inlineStr">
        <is>
          <t xml:space="preserve">  回流（之前年份也有贊助）</t>
        </is>
      </c>
      <c r="B13" t="inlineStr">
        <is>
          <t>5 家</t>
        </is>
      </c>
    </row>
    <row r="14">
      <c r="A14" t="inlineStr">
        <is>
          <t xml:space="preserve">  新增</t>
        </is>
      </c>
      <c r="B14" t="inlineStr">
        <is>
          <t>23 家</t>
        </is>
      </c>
    </row>
    <row r="15">
      <c r="A15" t="inlineStr">
        <is>
          <t>總贊助金額</t>
        </is>
      </c>
      <c r="B15" t="inlineStr">
        <is>
          <t>NTD 3,328,642</t>
        </is>
      </c>
    </row>
    <row r="16">
      <c r="A16" t="inlineStr"/>
      <c r="B16" t="inlineStr"/>
    </row>
    <row r="17">
      <c r="A17" s="2">
        <f>== 分類結果 ===</f>
        <v/>
      </c>
      <c r="B17" t="inlineStr"/>
    </row>
    <row r="18">
      <c r="A18" t="inlineStr">
        <is>
          <t xml:space="preserve">  fact_sponsorship</t>
        </is>
      </c>
      <c r="B18" t="inlineStr">
        <is>
          <t>27 家</t>
        </is>
      </c>
    </row>
    <row r="19">
      <c r="A19" t="inlineStr">
        <is>
          <t xml:space="preserve">  fact_market_booth</t>
        </is>
      </c>
      <c r="B19" t="inlineStr">
        <is>
          <t>1 家（艿緦服裝 8k 純攤位）</t>
        </is>
      </c>
    </row>
    <row r="20">
      <c r="A20" t="inlineStr"/>
      <c r="B20" t="inlineStr"/>
    </row>
    <row r="21">
      <c r="A21" s="2">
        <f>== 主級別分布 ===</f>
        <v/>
      </c>
      <c r="B21" t="inlineStr"/>
    </row>
    <row r="22">
      <c r="A22" t="inlineStr">
        <is>
          <t xml:space="preserve">  T1 (≥800k)</t>
        </is>
      </c>
      <c r="B22" t="inlineStr">
        <is>
          <t>0 家</t>
        </is>
      </c>
    </row>
    <row r="23">
      <c r="A23" t="inlineStr">
        <is>
          <t xml:space="preserve">  T2 (500-799k)</t>
        </is>
      </c>
      <c r="B23" t="inlineStr">
        <is>
          <t>1 家（GILEAD）</t>
        </is>
      </c>
    </row>
    <row r="24">
      <c r="A24" t="inlineStr">
        <is>
          <t xml:space="preserve">  T3 (300-499k)</t>
        </is>
      </c>
      <c r="B24" t="inlineStr">
        <is>
          <t>1 家（戶戶送）</t>
        </is>
      </c>
    </row>
    <row r="25">
      <c r="A25" t="inlineStr">
        <is>
          <t xml:space="preserve">  T4 (150-299k)</t>
        </is>
      </c>
      <c r="B25" t="inlineStr">
        <is>
          <t>10 家</t>
        </is>
      </c>
    </row>
    <row r="26">
      <c r="A26" t="inlineStr">
        <is>
          <t xml:space="preserve">  T5 (40-149k)</t>
        </is>
      </c>
      <c r="B26" t="inlineStr">
        <is>
          <t>13 家</t>
        </is>
      </c>
    </row>
    <row r="27">
      <c r="A27" t="inlineStr">
        <is>
          <t xml:space="preserve">  T6 (&lt;40k)</t>
        </is>
      </c>
      <c r="B27" t="inlineStr">
        <is>
          <t>2 家</t>
        </is>
      </c>
    </row>
    <row r="28">
      <c r="A28" t="inlineStr"/>
      <c r="B28" t="inlineStr"/>
    </row>
    <row r="29">
      <c r="A29" s="2">
        <f>== 名稱對應（已自動套用）===</f>
        <v/>
      </c>
      <c r="B29" t="inlineStr"/>
    </row>
    <row r="30">
      <c r="A30" t="inlineStr">
        <is>
          <t>UBER → UBer</t>
        </is>
      </c>
      <c r="B30" t="inlineStr">
        <is>
          <t>同一公司 D0017</t>
        </is>
      </c>
    </row>
    <row r="31">
      <c r="A31" t="inlineStr">
        <is>
          <t>驕陽基金會 → Sunpride Foundation 驕陽基金會</t>
        </is>
      </c>
      <c r="B31" t="inlineStr">
        <is>
          <t>同一機構 D0021</t>
        </is>
      </c>
    </row>
    <row r="32">
      <c r="A32" t="inlineStr">
        <is>
          <t>LES park → 拉拉公園</t>
        </is>
      </c>
      <c r="B32" t="inlineStr">
        <is>
          <t>LesPark App 中英文 D0006</t>
        </is>
      </c>
    </row>
    <row r="33">
      <c r="A33" t="inlineStr">
        <is>
          <t>彩虹酷兒 → 彩虹酷兒健康文化中心</t>
        </is>
      </c>
      <c r="B33" t="inlineStr">
        <is>
          <t>同一 NGO 簡稱 D0022</t>
        </is>
      </c>
    </row>
    <row r="34">
      <c r="A34" t="inlineStr"/>
      <c r="B34" t="inlineStr"/>
    </row>
    <row r="35">
      <c r="A35" s="2">
        <f>== ⚠️ 需你確認的廠商身分 ===</f>
        <v/>
      </c>
      <c r="B35" t="inlineStr"/>
    </row>
    <row r="36">
      <c r="A36" t="inlineStr">
        <is>
          <t>DES (100k)</t>
        </is>
      </c>
      <c r="B36" t="inlineStr">
        <is>
          <t>可能是 Destination,Beijing (D0004)？目前【視為新進】，請確認</t>
        </is>
      </c>
    </row>
    <row r="37">
      <c r="A37" t="inlineStr">
        <is>
          <t>茶鋪 (50k)</t>
        </is>
      </c>
      <c r="B37" t="inlineStr">
        <is>
          <t>可能是 辻利茶舖 (D0001) 簡稱？目前【視為新進】，請確認</t>
        </is>
      </c>
    </row>
    <row r="38">
      <c r="A38" t="inlineStr">
        <is>
          <t>艿緦服裝有限公司 (8k)</t>
        </is>
      </c>
      <c r="B38" t="inlineStr">
        <is>
          <t>與 2017 艾緦整合行銷 (D0023) 名稱不同，視為新進</t>
        </is>
      </c>
    </row>
    <row r="39">
      <c r="A39" t="inlineStr"/>
      <c r="B39" t="inlineStr"/>
    </row>
    <row r="40">
      <c r="A40" s="2">
        <f>== 已忽略的資料 ===</f>
        <v/>
      </c>
      <c r="B40" t="inlineStr"/>
    </row>
    <row r="41">
      <c r="A41" t="inlineStr">
        <is>
          <t>R32-R34 NGO/商業攤位</t>
        </is>
      </c>
      <c r="B41" t="inlineStr">
        <is>
          <t>聚合資料（5台NGO車100k、NGO攤位30個150k、商業攤位40個370k），無個別廠商記錄，未納入</t>
        </is>
      </c>
    </row>
    <row r="42">
      <c r="A42" t="inlineStr">
        <is>
          <t>R37-R42 洽談中</t>
        </is>
      </c>
      <c r="B42" t="inlineStr">
        <is>
          <t>PINKOI、EXPEDIA、東南亞航空 等 status=洽/談/中，未確認簽約</t>
        </is>
      </c>
    </row>
    <row r="43">
      <c r="A43" t="inlineStr">
        <is>
          <t>R43-R46 統計列</t>
        </is>
      </c>
      <c r="B43" t="inlineStr">
        <is>
          <t>已簽約／彩虹市集／社運車／洽談中等聚合金額，非個別廠商</t>
        </is>
      </c>
    </row>
    <row r="44">
      <c r="A44" t="inlineStr">
        <is>
          <t>0 金額紀錄</t>
        </is>
      </c>
      <c r="B44" t="inlineStr">
        <is>
          <t>東南亞航空、戶戶送(早期)、PINKOI(早期) 為被接觸但未簽約，已排除</t>
        </is>
      </c>
    </row>
    <row r="45">
      <c r="A45" t="inlineStr"/>
      <c r="B45" t="inlineStr"/>
    </row>
    <row r="46">
      <c r="A46" s="2">
        <f>== 注意事項 ===</f>
        <v/>
      </c>
      <c r="B46" t="inlineStr"/>
    </row>
    <row r="47">
      <c r="A47" t="inlineStr">
        <is>
          <t>單品項金額</t>
        </is>
      </c>
      <c r="B47" t="inlineStr">
        <is>
          <t>2019 資料只有總金額，無分項報價，fact_item_pick 的單價欄留白</t>
        </is>
      </c>
    </row>
    <row r="48">
      <c r="A48" t="inlineStr">
        <is>
          <t>紅樓友善商家聯盟</t>
        </is>
      </c>
      <c r="B48" t="inlineStr">
        <is>
          <t>250k 為商圈聯盟整批簽約，視為單一贊助記錄</t>
        </is>
      </c>
    </row>
    <row r="49">
      <c r="A49" t="inlineStr">
        <is>
          <t>GILEAD</t>
        </is>
      </c>
      <c r="B49" t="inlineStr">
        <is>
          <t>首次贊助即進入【黃金級】，2019-2025 將密切觀察其升級軌跡</t>
        </is>
      </c>
    </row>
    <row r="50">
      <c r="A50" t="inlineStr">
        <is>
          <t>Google/FACEBOOK/Mozilla/EY</t>
        </is>
      </c>
      <c r="B50" t="inlineStr">
        <is>
          <t>國際科技／專業服務首次進入，象徵 DEI 議題擴散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7" customWidth="1" min="6" max="6"/>
    <col width="9" customWidth="1" min="7" max="7"/>
    <col width="9" customWidth="1" min="8" max="8"/>
    <col width="10" customWidth="1" min="9" max="9"/>
    <col width="17" customWidth="1" min="10" max="10"/>
    <col width="10" customWidth="1" min="11" max="11"/>
    <col width="10" customWidth="1" min="12" max="12"/>
    <col width="43" customWidth="1" min="13" max="13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英文名稱</t>
        </is>
      </c>
      <c r="D1" s="3" t="inlineStr">
        <is>
          <t>別名清單</t>
        </is>
      </c>
      <c r="E1" s="3" t="inlineStr">
        <is>
          <t>產業分類</t>
        </is>
      </c>
      <c r="F1" s="3" t="inlineStr">
        <is>
          <t>母公司</t>
        </is>
      </c>
      <c r="G1" s="3" t="inlineStr">
        <is>
          <t>首次贊助年</t>
        </is>
      </c>
      <c r="H1" s="3" t="inlineStr">
        <is>
          <t>最近贊助年</t>
        </is>
      </c>
      <c r="I1" s="3" t="inlineStr">
        <is>
          <t>累積贊助金額</t>
        </is>
      </c>
      <c r="J1" s="3" t="inlineStr">
        <is>
          <t>客戶生命週期階段</t>
        </is>
      </c>
      <c r="K1" s="3" t="inlineStr">
        <is>
          <t>曾為級別廠商</t>
        </is>
      </c>
      <c r="L1" s="3" t="inlineStr">
        <is>
          <t>曾為市集攤位</t>
        </is>
      </c>
      <c r="M1" s="3" t="inlineStr">
        <is>
          <t>備註</t>
        </is>
      </c>
    </row>
    <row r="2">
      <c r="A2" t="inlineStr">
        <is>
          <t>D0028</t>
        </is>
      </c>
      <c r="B2" t="inlineStr">
        <is>
          <t>GILEAD</t>
        </is>
      </c>
      <c r="C2" t="inlineStr">
        <is>
          <t>GILEAD</t>
        </is>
      </c>
      <c r="D2" t="inlineStr"/>
      <c r="E2" t="inlineStr">
        <is>
          <t>醫藥（HIV）</t>
        </is>
      </c>
      <c r="F2" t="inlineStr"/>
      <c r="G2" t="n">
        <v>2019</v>
      </c>
      <c r="H2" t="n">
        <v>2019</v>
      </c>
      <c r="I2" t="n">
        <v>500000</v>
      </c>
      <c r="J2" t="inlineStr">
        <is>
          <t>🆕 Acquisition</t>
        </is>
      </c>
      <c r="K2" t="inlineStr">
        <is>
          <t>是</t>
        </is>
      </c>
      <c r="L2" t="inlineStr">
        <is>
          <t>否</t>
        </is>
      </c>
      <c r="M2" t="inlineStr"/>
    </row>
    <row r="3">
      <c r="A3" t="inlineStr">
        <is>
          <t>D0029</t>
        </is>
      </c>
      <c r="B3" t="inlineStr">
        <is>
          <t>戶戶送</t>
        </is>
      </c>
      <c r="C3" t="inlineStr"/>
      <c r="D3" t="inlineStr"/>
      <c r="E3" t="inlineStr">
        <is>
          <t>科技／外送</t>
        </is>
      </c>
      <c r="F3" t="inlineStr"/>
      <c r="G3" t="n">
        <v>2019</v>
      </c>
      <c r="H3" t="n">
        <v>2019</v>
      </c>
      <c r="I3" t="n">
        <v>300000</v>
      </c>
      <c r="J3" t="inlineStr">
        <is>
          <t>🆕 Acquisition</t>
        </is>
      </c>
      <c r="K3" t="inlineStr">
        <is>
          <t>是</t>
        </is>
      </c>
      <c r="L3" t="inlineStr">
        <is>
          <t>否</t>
        </is>
      </c>
      <c r="M3" t="inlineStr"/>
    </row>
    <row r="4">
      <c r="A4" t="inlineStr">
        <is>
          <t>D0030</t>
        </is>
      </c>
      <c r="B4" t="inlineStr">
        <is>
          <t>紅樓友善商家聯盟</t>
        </is>
      </c>
      <c r="C4" t="inlineStr"/>
      <c r="D4" t="inlineStr"/>
      <c r="E4" t="inlineStr">
        <is>
          <t>商圈聯盟（西門紅樓）</t>
        </is>
      </c>
      <c r="F4" t="inlineStr"/>
      <c r="G4" t="n">
        <v>2019</v>
      </c>
      <c r="H4" t="n">
        <v>2019</v>
      </c>
      <c r="I4" t="n">
        <v>250000</v>
      </c>
      <c r="J4" t="inlineStr">
        <is>
          <t>🆕 Acquisition</t>
        </is>
      </c>
      <c r="K4" t="inlineStr">
        <is>
          <t>是</t>
        </is>
      </c>
      <c r="L4" t="inlineStr">
        <is>
          <t>否</t>
        </is>
      </c>
      <c r="M4" t="inlineStr"/>
    </row>
    <row r="5">
      <c r="A5" t="inlineStr">
        <is>
          <t>D0031</t>
        </is>
      </c>
      <c r="B5" t="inlineStr">
        <is>
          <t>美生國際</t>
        </is>
      </c>
      <c r="C5" t="inlineStr"/>
      <c r="D5" t="inlineStr"/>
      <c r="E5" t="inlineStr">
        <is>
          <t>保健／生技</t>
        </is>
      </c>
      <c r="F5" t="inlineStr"/>
      <c r="G5" t="n">
        <v>2019</v>
      </c>
      <c r="H5" t="n">
        <v>2019</v>
      </c>
      <c r="I5" t="n">
        <v>175000</v>
      </c>
      <c r="J5" t="inlineStr">
        <is>
          <t>🆕 Acquisition</t>
        </is>
      </c>
      <c r="K5" t="inlineStr">
        <is>
          <t>是</t>
        </is>
      </c>
      <c r="L5" t="inlineStr">
        <is>
          <t>否</t>
        </is>
      </c>
      <c r="M5" t="inlineStr"/>
    </row>
    <row r="6">
      <c r="A6" t="inlineStr">
        <is>
          <t>D0032</t>
        </is>
      </c>
      <c r="B6" t="inlineStr">
        <is>
          <t>G-Star</t>
        </is>
      </c>
      <c r="C6" t="inlineStr">
        <is>
          <t>G-Star</t>
        </is>
      </c>
      <c r="D6" t="inlineStr"/>
      <c r="E6" t="inlineStr">
        <is>
          <t>服飾（牛仔）</t>
        </is>
      </c>
      <c r="F6" t="inlineStr"/>
      <c r="G6" t="n">
        <v>2019</v>
      </c>
      <c r="H6" t="n">
        <v>2019</v>
      </c>
      <c r="I6" t="n">
        <v>150000</v>
      </c>
      <c r="J6" t="inlineStr">
        <is>
          <t>🆕 Acquisition</t>
        </is>
      </c>
      <c r="K6" t="inlineStr">
        <is>
          <t>是</t>
        </is>
      </c>
      <c r="L6" t="inlineStr">
        <is>
          <t>否</t>
        </is>
      </c>
      <c r="M6" t="inlineStr"/>
    </row>
    <row r="7">
      <c r="A7" t="inlineStr">
        <is>
          <t>D0033</t>
        </is>
      </c>
      <c r="B7" t="inlineStr">
        <is>
          <t>杰德影音</t>
        </is>
      </c>
      <c r="C7" t="inlineStr"/>
      <c r="D7" t="inlineStr"/>
      <c r="E7" t="inlineStr">
        <is>
          <t>影音媒體</t>
        </is>
      </c>
      <c r="F7" t="inlineStr"/>
      <c r="G7" t="n">
        <v>2019</v>
      </c>
      <c r="H7" t="n">
        <v>2019</v>
      </c>
      <c r="I7" t="n">
        <v>150000</v>
      </c>
      <c r="J7" t="inlineStr">
        <is>
          <t>🆕 Acquisition</t>
        </is>
      </c>
      <c r="K7" t="inlineStr">
        <is>
          <t>是</t>
        </is>
      </c>
      <c r="L7" t="inlineStr">
        <is>
          <t>否</t>
        </is>
      </c>
      <c r="M7" t="inlineStr"/>
    </row>
    <row r="8">
      <c r="A8" t="inlineStr">
        <is>
          <t>D0034</t>
        </is>
      </c>
      <c r="B8" t="inlineStr">
        <is>
          <t>Tstudio</t>
        </is>
      </c>
      <c r="C8" t="inlineStr">
        <is>
          <t>Tstudio</t>
        </is>
      </c>
      <c r="D8" t="inlineStr"/>
      <c r="E8" t="inlineStr">
        <is>
          <t>攝影／媒體</t>
        </is>
      </c>
      <c r="F8" t="inlineStr"/>
      <c r="G8" t="n">
        <v>2019</v>
      </c>
      <c r="H8" t="n">
        <v>2019</v>
      </c>
      <c r="I8" t="n">
        <v>150000</v>
      </c>
      <c r="J8" t="inlineStr">
        <is>
          <t>🆕 Acquisition</t>
        </is>
      </c>
      <c r="K8" t="inlineStr">
        <is>
          <t>是</t>
        </is>
      </c>
      <c r="L8" t="inlineStr">
        <is>
          <t>否</t>
        </is>
      </c>
      <c r="M8" t="inlineStr"/>
    </row>
    <row r="9">
      <c r="A9" t="inlineStr">
        <is>
          <t>D0035</t>
        </is>
      </c>
      <c r="B9" t="inlineStr">
        <is>
          <t>臺灣酷蓋</t>
        </is>
      </c>
      <c r="C9" t="inlineStr"/>
      <c r="D9" t="inlineStr"/>
      <c r="E9" t="inlineStr">
        <is>
          <t>LGBT 媒體</t>
        </is>
      </c>
      <c r="F9" t="inlineStr"/>
      <c r="G9" t="n">
        <v>2019</v>
      </c>
      <c r="H9" t="n">
        <v>2019</v>
      </c>
      <c r="I9" t="n">
        <v>150000</v>
      </c>
      <c r="J9" t="inlineStr">
        <is>
          <t>🆕 Acquisition</t>
        </is>
      </c>
      <c r="K9" t="inlineStr">
        <is>
          <t>是</t>
        </is>
      </c>
      <c r="L9" t="inlineStr">
        <is>
          <t>否</t>
        </is>
      </c>
      <c r="M9" t="inlineStr"/>
    </row>
    <row r="10">
      <c r="A10" t="inlineStr">
        <is>
          <t>D0036</t>
        </is>
      </c>
      <c r="B10" t="inlineStr">
        <is>
          <t>Double APP</t>
        </is>
      </c>
      <c r="C10" t="inlineStr">
        <is>
          <t>Double APP</t>
        </is>
      </c>
      <c r="D10" t="inlineStr"/>
      <c r="E10" t="inlineStr">
        <is>
          <t>社交軟體</t>
        </is>
      </c>
      <c r="F10" t="inlineStr"/>
      <c r="G10" t="n">
        <v>2019</v>
      </c>
      <c r="H10" t="n">
        <v>2019</v>
      </c>
      <c r="I10" t="n">
        <v>150000</v>
      </c>
      <c r="J10" t="inlineStr">
        <is>
          <t>🆕 Acquisition</t>
        </is>
      </c>
      <c r="K10" t="inlineStr">
        <is>
          <t>是</t>
        </is>
      </c>
      <c r="L10" t="inlineStr">
        <is>
          <t>否</t>
        </is>
      </c>
      <c r="M10" t="inlineStr"/>
    </row>
    <row r="11">
      <c r="A11" t="inlineStr">
        <is>
          <t>D0037</t>
        </is>
      </c>
      <c r="B11" t="inlineStr">
        <is>
          <t>Google</t>
        </is>
      </c>
      <c r="C11" t="inlineStr">
        <is>
          <t>Google</t>
        </is>
      </c>
      <c r="D11" t="inlineStr"/>
      <c r="E11" t="inlineStr">
        <is>
          <t>科技／網路</t>
        </is>
      </c>
      <c r="F11" t="inlineStr"/>
      <c r="G11" t="n">
        <v>2019</v>
      </c>
      <c r="H11" t="n">
        <v>2019</v>
      </c>
      <c r="I11" t="n">
        <v>150000</v>
      </c>
      <c r="J11" t="inlineStr">
        <is>
          <t>🆕 Acquisition</t>
        </is>
      </c>
      <c r="K11" t="inlineStr">
        <is>
          <t>是</t>
        </is>
      </c>
      <c r="L11" t="inlineStr">
        <is>
          <t>否</t>
        </is>
      </c>
      <c r="M11" t="inlineStr"/>
    </row>
    <row r="12">
      <c r="A12" t="inlineStr">
        <is>
          <t>D0038</t>
        </is>
      </c>
      <c r="B12" t="inlineStr">
        <is>
          <t>Mozilla</t>
        </is>
      </c>
      <c r="C12" t="inlineStr">
        <is>
          <t>Mozilla</t>
        </is>
      </c>
      <c r="D12" t="inlineStr"/>
      <c r="E12" t="inlineStr">
        <is>
          <t>科技／網路</t>
        </is>
      </c>
      <c r="F12" t="inlineStr"/>
      <c r="G12" t="n">
        <v>2019</v>
      </c>
      <c r="H12" t="n">
        <v>2019</v>
      </c>
      <c r="I12" t="n">
        <v>150000</v>
      </c>
      <c r="J12" t="inlineStr">
        <is>
          <t>🆕 Acquisition</t>
        </is>
      </c>
      <c r="K12" t="inlineStr">
        <is>
          <t>是</t>
        </is>
      </c>
      <c r="L12" t="inlineStr">
        <is>
          <t>否</t>
        </is>
      </c>
      <c r="M12" t="inlineStr"/>
    </row>
    <row r="13">
      <c r="A13" t="inlineStr">
        <is>
          <t>D0039</t>
        </is>
      </c>
      <c r="B13" t="inlineStr">
        <is>
          <t>FACEBOOK</t>
        </is>
      </c>
      <c r="C13" t="inlineStr">
        <is>
          <t>FACEBOOK</t>
        </is>
      </c>
      <c r="D13" t="inlineStr"/>
      <c r="E13" t="inlineStr">
        <is>
          <t>科技／社群</t>
        </is>
      </c>
      <c r="F13" t="inlineStr"/>
      <c r="G13" t="n">
        <v>2019</v>
      </c>
      <c r="H13" t="n">
        <v>2019</v>
      </c>
      <c r="I13" t="n">
        <v>150000</v>
      </c>
      <c r="J13" t="inlineStr">
        <is>
          <t>🆕 Acquisition</t>
        </is>
      </c>
      <c r="K13" t="inlineStr">
        <is>
          <t>是</t>
        </is>
      </c>
      <c r="L13" t="inlineStr">
        <is>
          <t>否</t>
        </is>
      </c>
      <c r="M13" t="inlineStr"/>
    </row>
    <row r="14">
      <c r="A14" t="inlineStr">
        <is>
          <t>D0040</t>
        </is>
      </c>
      <c r="B14" t="inlineStr">
        <is>
          <t>DES</t>
        </is>
      </c>
      <c r="C14" t="inlineStr">
        <is>
          <t>DES</t>
        </is>
      </c>
      <c r="D14" t="inlineStr"/>
      <c r="E14" t="inlineStr">
        <is>
          <t>夜店／娛樂（待確認是否為 Destination,Beijing）</t>
        </is>
      </c>
      <c r="F14" t="inlineStr"/>
      <c r="G14" t="n">
        <v>2019</v>
      </c>
      <c r="H14" t="n">
        <v>2019</v>
      </c>
      <c r="I14" t="n">
        <v>100000</v>
      </c>
      <c r="J14" t="inlineStr">
        <is>
          <t>🆕 Acquisition</t>
        </is>
      </c>
      <c r="K14" t="inlineStr">
        <is>
          <t>是</t>
        </is>
      </c>
      <c r="L14" t="inlineStr">
        <is>
          <t>否</t>
        </is>
      </c>
      <c r="M14" t="inlineStr">
        <is>
          <t>⚠️ 可能是 D0004 Destination,Beijing 縮寫，待確認</t>
        </is>
      </c>
    </row>
    <row r="15">
      <c r="A15" t="inlineStr">
        <is>
          <t>D0041</t>
        </is>
      </c>
      <c r="B15" t="inlineStr">
        <is>
          <t>英諾美生物科技</t>
        </is>
      </c>
      <c r="C15" t="inlineStr"/>
      <c r="D15" t="inlineStr"/>
      <c r="E15" t="inlineStr">
        <is>
          <t>生技／醫療</t>
        </is>
      </c>
      <c r="F15" t="inlineStr"/>
      <c r="G15" t="n">
        <v>2019</v>
      </c>
      <c r="H15" t="n">
        <v>2019</v>
      </c>
      <c r="I15" t="n">
        <v>96232</v>
      </c>
      <c r="J15" t="inlineStr">
        <is>
          <t>🆕 Acquisition</t>
        </is>
      </c>
      <c r="K15" t="inlineStr">
        <is>
          <t>是</t>
        </is>
      </c>
      <c r="L15" t="inlineStr">
        <is>
          <t>否</t>
        </is>
      </c>
      <c r="M15" t="inlineStr"/>
    </row>
    <row r="16">
      <c r="A16" t="inlineStr">
        <is>
          <t>D0042</t>
        </is>
      </c>
      <c r="B16" t="inlineStr">
        <is>
          <t>Grindr</t>
        </is>
      </c>
      <c r="C16" t="inlineStr">
        <is>
          <t>Grindr</t>
        </is>
      </c>
      <c r="D16" t="inlineStr"/>
      <c r="E16" t="inlineStr">
        <is>
          <t>社交軟體</t>
        </is>
      </c>
      <c r="F16" t="inlineStr"/>
      <c r="G16" t="n">
        <v>2019</v>
      </c>
      <c r="H16" t="n">
        <v>2019</v>
      </c>
      <c r="I16" t="n">
        <v>70000</v>
      </c>
      <c r="J16" t="inlineStr">
        <is>
          <t>🆕 Acquisition</t>
        </is>
      </c>
      <c r="K16" t="inlineStr">
        <is>
          <t>是</t>
        </is>
      </c>
      <c r="L16" t="inlineStr">
        <is>
          <t>否</t>
        </is>
      </c>
      <c r="M16" t="inlineStr"/>
    </row>
    <row r="17">
      <c r="A17" t="inlineStr">
        <is>
          <t>D0043</t>
        </is>
      </c>
      <c r="B17" t="inlineStr">
        <is>
          <t>哈利男孩</t>
        </is>
      </c>
      <c r="C17" t="inlineStr"/>
      <c r="D17" t="inlineStr"/>
      <c r="E17" t="inlineStr">
        <is>
          <t>文創／個人品牌</t>
        </is>
      </c>
      <c r="F17" t="inlineStr"/>
      <c r="G17" t="n">
        <v>2019</v>
      </c>
      <c r="H17" t="n">
        <v>2019</v>
      </c>
      <c r="I17" t="n">
        <v>53200</v>
      </c>
      <c r="J17" t="inlineStr">
        <is>
          <t>🆕 Acquisition</t>
        </is>
      </c>
      <c r="K17" t="inlineStr">
        <is>
          <t>是</t>
        </is>
      </c>
      <c r="L17" t="inlineStr">
        <is>
          <t>否</t>
        </is>
      </c>
      <c r="M17" t="inlineStr"/>
    </row>
    <row r="18">
      <c r="A18" t="inlineStr">
        <is>
          <t>D0044</t>
        </is>
      </c>
      <c r="B18" t="inlineStr">
        <is>
          <t>茶鋪</t>
        </is>
      </c>
      <c r="C18" t="inlineStr"/>
      <c r="D18" t="inlineStr"/>
      <c r="E18" t="inlineStr">
        <is>
          <t>餐飲（待確認是否為 辻利茶舖 縮寫）</t>
        </is>
      </c>
      <c r="F18" t="inlineStr"/>
      <c r="G18" t="n">
        <v>2019</v>
      </c>
      <c r="H18" t="n">
        <v>2019</v>
      </c>
      <c r="I18" t="n">
        <v>50000</v>
      </c>
      <c r="J18" t="inlineStr">
        <is>
          <t>🆕 Acquisition</t>
        </is>
      </c>
      <c r="K18" t="inlineStr">
        <is>
          <t>是</t>
        </is>
      </c>
      <c r="L18" t="inlineStr">
        <is>
          <t>否</t>
        </is>
      </c>
      <c r="M18" t="inlineStr">
        <is>
          <t>⚠️ 可能是 D0001 辻利茶舖 縮寫，待確認</t>
        </is>
      </c>
    </row>
    <row r="19">
      <c r="A19" t="inlineStr">
        <is>
          <t>D0045</t>
        </is>
      </c>
      <c r="B19" t="inlineStr">
        <is>
          <t>YAHOO</t>
        </is>
      </c>
      <c r="C19" t="inlineStr">
        <is>
          <t>YAHOO</t>
        </is>
      </c>
      <c r="D19" t="inlineStr"/>
      <c r="E19" t="inlineStr">
        <is>
          <t>科技／網路</t>
        </is>
      </c>
      <c r="F19" t="inlineStr"/>
      <c r="G19" t="n">
        <v>2019</v>
      </c>
      <c r="H19" t="n">
        <v>2019</v>
      </c>
      <c r="I19" t="n">
        <v>50000</v>
      </c>
      <c r="J19" t="inlineStr">
        <is>
          <t>🆕 Acquisition</t>
        </is>
      </c>
      <c r="K19" t="inlineStr">
        <is>
          <t>是</t>
        </is>
      </c>
      <c r="L19" t="inlineStr">
        <is>
          <t>否</t>
        </is>
      </c>
      <c r="M19" t="inlineStr"/>
    </row>
    <row r="20">
      <c r="A20" t="inlineStr">
        <is>
          <t>D0046</t>
        </is>
      </c>
      <c r="B20" t="inlineStr">
        <is>
          <t>熱海</t>
        </is>
      </c>
      <c r="C20" t="inlineStr"/>
      <c r="D20" t="inlineStr"/>
      <c r="E20" t="inlineStr">
        <is>
          <t>餐飲／娛樂</t>
        </is>
      </c>
      <c r="F20" t="inlineStr"/>
      <c r="G20" t="n">
        <v>2019</v>
      </c>
      <c r="H20" t="n">
        <v>2019</v>
      </c>
      <c r="I20" t="n">
        <v>45000</v>
      </c>
      <c r="J20" t="inlineStr">
        <is>
          <t>🆕 Acquisition</t>
        </is>
      </c>
      <c r="K20" t="inlineStr">
        <is>
          <t>是</t>
        </is>
      </c>
      <c r="L20" t="inlineStr">
        <is>
          <t>否</t>
        </is>
      </c>
      <c r="M20" t="inlineStr"/>
    </row>
    <row r="21">
      <c r="A21" t="inlineStr">
        <is>
          <t>D0047</t>
        </is>
      </c>
      <c r="B21" t="inlineStr">
        <is>
          <t>質男幫</t>
        </is>
      </c>
      <c r="C21" t="inlineStr"/>
      <c r="D21" t="inlineStr"/>
      <c r="E21" t="inlineStr">
        <is>
          <t>LGBT 媒體／社群</t>
        </is>
      </c>
      <c r="F21" t="inlineStr"/>
      <c r="G21" t="n">
        <v>2019</v>
      </c>
      <c r="H21" t="n">
        <v>2019</v>
      </c>
      <c r="I21" t="n">
        <v>40000</v>
      </c>
      <c r="J21" t="inlineStr">
        <is>
          <t>🆕 Acquisition</t>
        </is>
      </c>
      <c r="K21" t="inlineStr">
        <is>
          <t>是</t>
        </is>
      </c>
      <c r="L21" t="inlineStr">
        <is>
          <t>否</t>
        </is>
      </c>
      <c r="M21" t="inlineStr"/>
    </row>
    <row r="22">
      <c r="A22" t="inlineStr">
        <is>
          <t>D0048</t>
        </is>
      </c>
      <c r="B22" t="inlineStr">
        <is>
          <t>EY</t>
        </is>
      </c>
      <c r="C22" t="inlineStr">
        <is>
          <t>EY</t>
        </is>
      </c>
      <c r="D22" t="inlineStr"/>
      <c r="E22" t="inlineStr">
        <is>
          <t>專業服務（會計）</t>
        </is>
      </c>
      <c r="F22" t="inlineStr"/>
      <c r="G22" t="n">
        <v>2019</v>
      </c>
      <c r="H22" t="n">
        <v>2019</v>
      </c>
      <c r="I22" t="n">
        <v>40000</v>
      </c>
      <c r="J22" t="inlineStr">
        <is>
          <t>🆕 Acquisition</t>
        </is>
      </c>
      <c r="K22" t="inlineStr">
        <is>
          <t>是</t>
        </is>
      </c>
      <c r="L22" t="inlineStr">
        <is>
          <t>否</t>
        </is>
      </c>
      <c r="M22" t="inlineStr"/>
    </row>
    <row r="23">
      <c r="A23" t="inlineStr">
        <is>
          <t>D0049</t>
        </is>
      </c>
      <c r="B23" t="inlineStr">
        <is>
          <t>基島科技</t>
        </is>
      </c>
      <c r="C23" t="inlineStr"/>
      <c r="D23" t="inlineStr"/>
      <c r="E23" t="inlineStr">
        <is>
          <t>科技</t>
        </is>
      </c>
      <c r="F23" t="inlineStr"/>
      <c r="G23" t="n">
        <v>2019</v>
      </c>
      <c r="H23" t="n">
        <v>2019</v>
      </c>
      <c r="I23" t="n">
        <v>15200</v>
      </c>
      <c r="J23" t="inlineStr">
        <is>
          <t>🆕 Acquisition</t>
        </is>
      </c>
      <c r="K23" t="inlineStr">
        <is>
          <t>是</t>
        </is>
      </c>
      <c r="L23" t="inlineStr">
        <is>
          <t>否</t>
        </is>
      </c>
      <c r="M23" t="inlineStr"/>
    </row>
    <row r="24">
      <c r="A24" t="inlineStr">
        <is>
          <t>D0050</t>
        </is>
      </c>
      <c r="B24" t="inlineStr">
        <is>
          <t>艿緦服裝有限公司</t>
        </is>
      </c>
      <c r="C24" t="inlineStr"/>
      <c r="D24" t="inlineStr"/>
      <c r="E24" t="inlineStr">
        <is>
          <t>服飾</t>
        </is>
      </c>
      <c r="F24" t="inlineStr"/>
      <c r="G24" t="n">
        <v>2019</v>
      </c>
      <c r="H24" t="n">
        <v>2019</v>
      </c>
      <c r="I24" t="n">
        <v>8000</v>
      </c>
      <c r="J24" t="inlineStr">
        <is>
          <t>🆕 Acquisition</t>
        </is>
      </c>
      <c r="K24" t="inlineStr">
        <is>
          <t>否</t>
        </is>
      </c>
      <c r="L24" t="inlineStr">
        <is>
          <t>是</t>
        </is>
      </c>
      <c r="M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4" customWidth="1" min="4" max="4"/>
    <col width="10" customWidth="1" min="5" max="5"/>
    <col width="13" customWidth="1" min="6" max="6"/>
    <col width="9" customWidth="1" min="7" max="7"/>
    <col width="10" customWidth="1" min="8" max="8"/>
    <col width="39" customWidth="1" min="9" max="9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總贊助金額（報價）</t>
        </is>
      </c>
      <c r="G1" s="3" t="inlineStr">
        <is>
          <t>該年級別數</t>
        </is>
      </c>
      <c r="H1" s="3" t="inlineStr">
        <is>
          <t>該年品項總數</t>
        </is>
      </c>
      <c r="I1" s="3" t="inlineStr">
        <is>
          <t>備註</t>
        </is>
      </c>
    </row>
    <row r="2">
      <c r="A2" t="n">
        <v>2019</v>
      </c>
      <c r="B2" t="n">
        <v>17</v>
      </c>
      <c r="C2" t="inlineStr">
        <is>
          <t>同志好厝邊</t>
        </is>
      </c>
      <c r="D2" t="inlineStr">
        <is>
          <t>2019-10-26</t>
        </is>
      </c>
      <c r="E2" t="n">
        <v>28</v>
      </c>
      <c r="F2" t="n">
        <v>3328642</v>
      </c>
      <c r="G2" t="n">
        <v>2</v>
      </c>
      <c r="H2" t="n">
        <v>12</v>
      </c>
      <c r="I2" t="inlineStr">
        <is>
          <t>⭐ 第一個正式分級年（黃金 500k、銀級 150k+），其餘為未分級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15" customWidth="1" min="4" max="4"/>
    <col width="24" customWidth="1" min="5" max="5"/>
    <col width="24" customWidth="1" min="6" max="6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該年價格</t>
        </is>
      </c>
      <c r="D1" s="3" t="inlineStr">
        <is>
          <t>主級別代碼</t>
        </is>
      </c>
      <c r="E1" s="3" t="inlineStr">
        <is>
          <t>該年實際是否為最高級</t>
        </is>
      </c>
      <c r="F1" s="3" t="inlineStr">
        <is>
          <t>備註</t>
        </is>
      </c>
    </row>
    <row r="2">
      <c r="A2" t="n">
        <v>2019</v>
      </c>
      <c r="B2" t="inlineStr">
        <is>
          <t>黃金級</t>
        </is>
      </c>
      <c r="C2" t="n">
        <v>500000</v>
      </c>
      <c r="D2" t="inlineStr">
        <is>
          <t>T2</t>
        </is>
      </c>
      <c r="E2" t="inlineStr">
        <is>
          <t>是（實際最高，僅 1 名 GILEAD）</t>
        </is>
      </c>
      <c r="F2" t="inlineStr"/>
    </row>
    <row r="3">
      <c r="A3" t="n">
        <v>2019</v>
      </c>
      <c r="B3" t="inlineStr">
        <is>
          <t>銀級</t>
        </is>
      </c>
      <c r="C3" t="inlineStr">
        <is>
          <t>150000-175000</t>
        </is>
      </c>
      <c r="D3" t="inlineStr">
        <is>
          <t>T4</t>
        </is>
      </c>
      <c r="E3" t="inlineStr">
        <is>
          <t>否</t>
        </is>
      </c>
      <c r="F3" t="inlineStr">
        <is>
          <t>美生國際 175k 略高於標準 150k</t>
        </is>
      </c>
    </row>
    <row r="4">
      <c r="A4" t="n">
        <v>2019</v>
      </c>
      <c r="B4" t="inlineStr">
        <is>
          <t>未分級</t>
        </is>
      </c>
      <c r="C4" t="inlineStr">
        <is>
          <t>8000-300000</t>
        </is>
      </c>
      <c r="D4" t="inlineStr">
        <is>
          <t>依金額對應 T3-T6</t>
        </is>
      </c>
      <c r="E4" t="inlineStr">
        <is>
          <t>—</t>
        </is>
      </c>
      <c r="F4" t="inlineStr">
        <is>
          <t>尚有 17 家廠商在分級制度外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6" customWidth="1" min="4" max="4"/>
  </cols>
  <sheetData>
    <row r="1">
      <c r="A1" s="3" t="inlineStr">
        <is>
          <t>年度</t>
        </is>
      </c>
      <c r="B1" s="3" t="inlineStr">
        <is>
          <t>原始品項名稱</t>
        </is>
      </c>
      <c r="C1" s="3" t="inlineStr">
        <is>
          <t>主品項分類</t>
        </is>
      </c>
      <c r="D1" s="3" t="inlineStr">
        <is>
          <t>備註</t>
        </is>
      </c>
    </row>
    <row r="2">
      <c r="A2" t="n">
        <v>2019</v>
      </c>
      <c r="B2" t="inlineStr">
        <is>
          <t>車權</t>
        </is>
      </c>
      <c r="C2" t="inlineStr">
        <is>
          <t>花車</t>
        </is>
      </c>
      <c r="D2" t="inlineStr"/>
    </row>
    <row r="3">
      <c r="A3" t="n">
        <v>2019</v>
      </c>
      <c r="B3" t="inlineStr">
        <is>
          <t>官網廣告</t>
        </is>
      </c>
      <c r="C3" t="inlineStr">
        <is>
          <t>線上版位露出</t>
        </is>
      </c>
      <c r="D3" t="inlineStr"/>
    </row>
    <row r="4">
      <c r="A4" t="n">
        <v>2019</v>
      </c>
      <c r="B4" t="inlineStr">
        <is>
          <t>DM廣告</t>
        </is>
      </c>
      <c r="C4" t="inlineStr">
        <is>
          <t>印刷品贊助</t>
        </is>
      </c>
      <c r="D4" t="inlineStr"/>
    </row>
    <row r="5">
      <c r="A5" t="n">
        <v>2019</v>
      </c>
      <c r="B5" t="inlineStr">
        <is>
          <t>臉書橫幅</t>
        </is>
      </c>
      <c r="C5" t="inlineStr">
        <is>
          <t>線上版位露出</t>
        </is>
      </c>
      <c r="D5" t="inlineStr"/>
    </row>
    <row r="6">
      <c r="A6" t="n">
        <v>2019</v>
      </c>
      <c r="B6" t="inlineStr">
        <is>
          <t>大螢幕橫幅</t>
        </is>
      </c>
      <c r="C6" t="inlineStr">
        <is>
          <t>現場版位露出</t>
        </is>
      </c>
      <c r="D6" t="inlineStr"/>
    </row>
    <row r="7">
      <c r="A7" t="n">
        <v>2019</v>
      </c>
      <c r="B7" t="inlineStr">
        <is>
          <t>主舞台廣告</t>
        </is>
      </c>
      <c r="C7" t="inlineStr">
        <is>
          <t>現場版位露出</t>
        </is>
      </c>
      <c r="D7" t="inlineStr"/>
    </row>
    <row r="8">
      <c r="A8" t="n">
        <v>2019</v>
      </c>
      <c r="B8" t="inlineStr">
        <is>
          <t>市集入口</t>
        </is>
      </c>
      <c r="C8" t="inlineStr">
        <is>
          <t>現場版位露出</t>
        </is>
      </c>
      <c r="D8" t="inlineStr"/>
    </row>
    <row r="9">
      <c r="A9" t="n">
        <v>2019</v>
      </c>
      <c r="B9" t="inlineStr">
        <is>
          <t>終點廣告</t>
        </is>
      </c>
      <c r="C9" t="inlineStr">
        <is>
          <t>現場版位露出</t>
        </is>
      </c>
      <c r="D9" t="inlineStr"/>
    </row>
    <row r="10">
      <c r="A10" t="n">
        <v>2019</v>
      </c>
      <c r="B10" t="inlineStr">
        <is>
          <t>30秒廣告</t>
        </is>
      </c>
      <c r="C10" t="inlineStr">
        <is>
          <t>現場版位露出</t>
        </is>
      </c>
      <c r="D10" t="inlineStr"/>
    </row>
    <row r="11">
      <c r="A11" t="n">
        <v>2019</v>
      </c>
      <c r="B11" t="inlineStr">
        <is>
          <t>彩虹市集</t>
        </is>
      </c>
      <c r="C11" t="inlineStr">
        <is>
          <t>市集帳篷</t>
        </is>
      </c>
      <c r="D11" t="inlineStr"/>
    </row>
    <row r="12">
      <c r="A12" t="n">
        <v>2019</v>
      </c>
      <c r="B12" t="inlineStr">
        <is>
          <t>路線小舞台</t>
        </is>
      </c>
      <c r="C12" t="inlineStr">
        <is>
          <t>現場版位露出</t>
        </is>
      </c>
      <c r="D12" t="inlineStr"/>
    </row>
    <row r="13">
      <c r="A13" t="n">
        <v>2019</v>
      </c>
      <c r="B13" t="inlineStr">
        <is>
          <t>飯店方案</t>
        </is>
      </c>
      <c r="C13" t="inlineStr">
        <is>
          <t>其他合作</t>
        </is>
      </c>
      <c r="D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8" customWidth="1" min="4" max="4"/>
    <col width="10" customWidth="1" min="5" max="5"/>
    <col width="9" customWidth="1" min="6" max="6"/>
    <col width="10" customWidth="1" min="7" max="7"/>
    <col width="8" customWidth="1" min="8" max="8"/>
    <col width="8" customWidth="1" min="9" max="9"/>
    <col width="9" customWidth="1" min="10" max="10"/>
    <col width="43" customWidth="1" min="11" max="11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業務窗口</t>
        </is>
      </c>
      <c r="I1" s="3" t="inlineStr">
        <is>
          <t>付款狀態</t>
        </is>
      </c>
      <c r="J1" s="3" t="inlineStr">
        <is>
          <t>是否為新進</t>
        </is>
      </c>
      <c r="K1" s="3" t="inlineStr">
        <is>
          <t>備註</t>
        </is>
      </c>
    </row>
    <row r="2">
      <c r="A2" t="inlineStr">
        <is>
          <t>2019-D0028-01</t>
        </is>
      </c>
      <c r="B2" t="inlineStr">
        <is>
          <t>D0028</t>
        </is>
      </c>
      <c r="C2" t="inlineStr">
        <is>
          <t>GILEAD</t>
        </is>
      </c>
      <c r="D2" t="n">
        <v>2019</v>
      </c>
      <c r="E2" t="inlineStr">
        <is>
          <t>黃金級</t>
        </is>
      </c>
      <c r="F2" t="inlineStr">
        <is>
          <t>T2</t>
        </is>
      </c>
      <c r="G2" t="n">
        <v>500000</v>
      </c>
      <c r="H2" t="inlineStr">
        <is>
          <t>KIRK</t>
        </is>
      </c>
      <c r="I2" t="inlineStr">
        <is>
          <t>已付款</t>
        </is>
      </c>
      <c r="J2" t="inlineStr">
        <is>
          <t>是</t>
        </is>
      </c>
      <c r="K2" t="inlineStr">
        <is>
          <t>🌟 2019 唯一黃金級，首次贊助即達頂級</t>
        </is>
      </c>
    </row>
    <row r="3">
      <c r="A3" t="inlineStr">
        <is>
          <t>2019-D0029-01</t>
        </is>
      </c>
      <c r="B3" t="inlineStr">
        <is>
          <t>D0029</t>
        </is>
      </c>
      <c r="C3" t="inlineStr">
        <is>
          <t>戶戶送</t>
        </is>
      </c>
      <c r="D3" t="n">
        <v>2019</v>
      </c>
      <c r="E3" t="inlineStr">
        <is>
          <t>未分級</t>
        </is>
      </c>
      <c r="F3" t="inlineStr">
        <is>
          <t>T3</t>
        </is>
      </c>
      <c r="G3" t="n">
        <v>300000</v>
      </c>
      <c r="H3" t="inlineStr"/>
      <c r="I3" t="inlineStr">
        <is>
          <t>已付款</t>
        </is>
      </c>
      <c r="J3" t="inlineStr">
        <is>
          <t>是</t>
        </is>
      </c>
      <c r="K3" t="inlineStr"/>
    </row>
    <row r="4">
      <c r="A4" t="inlineStr">
        <is>
          <t>2019-D0030-01</t>
        </is>
      </c>
      <c r="B4" t="inlineStr">
        <is>
          <t>D0030</t>
        </is>
      </c>
      <c r="C4" t="inlineStr">
        <is>
          <t>紅樓友善商家聯盟</t>
        </is>
      </c>
      <c r="D4" t="n">
        <v>2019</v>
      </c>
      <c r="E4" t="inlineStr">
        <is>
          <t>未分級</t>
        </is>
      </c>
      <c r="F4" t="inlineStr">
        <is>
          <t>T4</t>
        </is>
      </c>
      <c r="G4" t="n">
        <v>250000</v>
      </c>
      <c r="H4" t="inlineStr"/>
      <c r="I4" t="inlineStr">
        <is>
          <t>已付款</t>
        </is>
      </c>
      <c r="J4" t="inlineStr">
        <is>
          <t>是</t>
        </is>
      </c>
      <c r="K4" t="inlineStr">
        <is>
          <t>商圈聯盟整批簽約，250k</t>
        </is>
      </c>
    </row>
    <row r="5">
      <c r="A5" t="inlineStr">
        <is>
          <t>2019-D0031-01</t>
        </is>
      </c>
      <c r="B5" t="inlineStr">
        <is>
          <t>D0031</t>
        </is>
      </c>
      <c r="C5" t="inlineStr">
        <is>
          <t>美生國際</t>
        </is>
      </c>
      <c r="D5" t="n">
        <v>2019</v>
      </c>
      <c r="E5" t="inlineStr">
        <is>
          <t>銀級</t>
        </is>
      </c>
      <c r="F5" t="inlineStr">
        <is>
          <t>T4</t>
        </is>
      </c>
      <c r="G5" t="n">
        <v>175000</v>
      </c>
      <c r="H5" t="inlineStr">
        <is>
          <t>美嬴</t>
        </is>
      </c>
      <c r="I5" t="inlineStr">
        <is>
          <t>已付款</t>
        </is>
      </c>
      <c r="J5" t="inlineStr">
        <is>
          <t>是</t>
        </is>
      </c>
      <c r="K5" t="inlineStr"/>
    </row>
    <row r="6">
      <c r="A6" t="inlineStr">
        <is>
          <t>2019-D0032-01</t>
        </is>
      </c>
      <c r="B6" t="inlineStr">
        <is>
          <t>D0032</t>
        </is>
      </c>
      <c r="C6" t="inlineStr">
        <is>
          <t>G-Star</t>
        </is>
      </c>
      <c r="D6" t="n">
        <v>2019</v>
      </c>
      <c r="E6" t="inlineStr">
        <is>
          <t>銀級</t>
        </is>
      </c>
      <c r="F6" t="inlineStr">
        <is>
          <t>T4</t>
        </is>
      </c>
      <c r="G6" t="n">
        <v>150000</v>
      </c>
      <c r="H6" t="inlineStr">
        <is>
          <t>文斌</t>
        </is>
      </c>
      <c r="I6" t="inlineStr">
        <is>
          <t>已付款</t>
        </is>
      </c>
      <c r="J6" t="inlineStr">
        <is>
          <t>是</t>
        </is>
      </c>
      <c r="K6" t="inlineStr"/>
    </row>
    <row r="7">
      <c r="A7" t="inlineStr">
        <is>
          <t>2019-D0033-01</t>
        </is>
      </c>
      <c r="B7" t="inlineStr">
        <is>
          <t>D0033</t>
        </is>
      </c>
      <c r="C7" t="inlineStr">
        <is>
          <t>杰德影音</t>
        </is>
      </c>
      <c r="D7" t="n">
        <v>2019</v>
      </c>
      <c r="E7" t="inlineStr">
        <is>
          <t>銀級</t>
        </is>
      </c>
      <c r="F7" t="inlineStr">
        <is>
          <t>T4</t>
        </is>
      </c>
      <c r="G7" t="n">
        <v>150000</v>
      </c>
      <c r="H7" t="inlineStr">
        <is>
          <t>美嬴</t>
        </is>
      </c>
      <c r="I7" t="inlineStr">
        <is>
          <t>已付款</t>
        </is>
      </c>
      <c r="J7" t="inlineStr">
        <is>
          <t>是</t>
        </is>
      </c>
      <c r="K7" t="inlineStr"/>
    </row>
    <row r="8">
      <c r="A8" t="inlineStr">
        <is>
          <t>2019-D0034-01</t>
        </is>
      </c>
      <c r="B8" t="inlineStr">
        <is>
          <t>D0034</t>
        </is>
      </c>
      <c r="C8" t="inlineStr">
        <is>
          <t>Tstudio</t>
        </is>
      </c>
      <c r="D8" t="n">
        <v>2019</v>
      </c>
      <c r="E8" t="inlineStr">
        <is>
          <t>銀級</t>
        </is>
      </c>
      <c r="F8" t="inlineStr">
        <is>
          <t>T4</t>
        </is>
      </c>
      <c r="G8" t="n">
        <v>150000</v>
      </c>
      <c r="H8" t="inlineStr">
        <is>
          <t>梅子</t>
        </is>
      </c>
      <c r="I8" t="inlineStr">
        <is>
          <t>已付款</t>
        </is>
      </c>
      <c r="J8" t="inlineStr">
        <is>
          <t>是</t>
        </is>
      </c>
      <c r="K8" t="inlineStr"/>
    </row>
    <row r="9">
      <c r="A9" t="inlineStr">
        <is>
          <t>2019-D0035-01</t>
        </is>
      </c>
      <c r="B9" t="inlineStr">
        <is>
          <t>D0035</t>
        </is>
      </c>
      <c r="C9" t="inlineStr">
        <is>
          <t>臺灣酷蓋</t>
        </is>
      </c>
      <c r="D9" t="n">
        <v>2019</v>
      </c>
      <c r="E9" t="inlineStr">
        <is>
          <t>銀級</t>
        </is>
      </c>
      <c r="F9" t="inlineStr">
        <is>
          <t>T4</t>
        </is>
      </c>
      <c r="G9" t="n">
        <v>150000</v>
      </c>
      <c r="H9" t="inlineStr"/>
      <c r="I9" t="inlineStr">
        <is>
          <t>已付款</t>
        </is>
      </c>
      <c r="J9" t="inlineStr">
        <is>
          <t>是</t>
        </is>
      </c>
      <c r="K9" t="inlineStr"/>
    </row>
    <row r="10">
      <c r="A10" t="inlineStr">
        <is>
          <t>2019-D0036-01</t>
        </is>
      </c>
      <c r="B10" t="inlineStr">
        <is>
          <t>D0036</t>
        </is>
      </c>
      <c r="C10" t="inlineStr">
        <is>
          <t>Double APP</t>
        </is>
      </c>
      <c r="D10" t="n">
        <v>2019</v>
      </c>
      <c r="E10" t="inlineStr">
        <is>
          <t>銀級</t>
        </is>
      </c>
      <c r="F10" t="inlineStr">
        <is>
          <t>T4</t>
        </is>
      </c>
      <c r="G10" t="n">
        <v>150000</v>
      </c>
      <c r="H10" t="inlineStr"/>
      <c r="I10" t="inlineStr">
        <is>
          <t>已付款</t>
        </is>
      </c>
      <c r="J10" t="inlineStr">
        <is>
          <t>是</t>
        </is>
      </c>
      <c r="K10" t="inlineStr"/>
    </row>
    <row r="11">
      <c r="A11" t="inlineStr">
        <is>
          <t>2019-D0037-01</t>
        </is>
      </c>
      <c r="B11" t="inlineStr">
        <is>
          <t>D0037</t>
        </is>
      </c>
      <c r="C11" t="inlineStr">
        <is>
          <t>Google</t>
        </is>
      </c>
      <c r="D11" t="n">
        <v>2019</v>
      </c>
      <c r="E11" t="inlineStr">
        <is>
          <t>銀級</t>
        </is>
      </c>
      <c r="F11" t="inlineStr">
        <is>
          <t>T4</t>
        </is>
      </c>
      <c r="G11" t="n">
        <v>150000</v>
      </c>
      <c r="H11" t="inlineStr">
        <is>
          <t>KIRK</t>
        </is>
      </c>
      <c r="I11" t="inlineStr">
        <is>
          <t>已付款</t>
        </is>
      </c>
      <c r="J11" t="inlineStr">
        <is>
          <t>是</t>
        </is>
      </c>
      <c r="K11" t="inlineStr"/>
    </row>
    <row r="12">
      <c r="A12" t="inlineStr">
        <is>
          <t>2019-D0038-01</t>
        </is>
      </c>
      <c r="B12" t="inlineStr">
        <is>
          <t>D0038</t>
        </is>
      </c>
      <c r="C12" t="inlineStr">
        <is>
          <t>Mozilla</t>
        </is>
      </c>
      <c r="D12" t="n">
        <v>2019</v>
      </c>
      <c r="E12" t="inlineStr">
        <is>
          <t>銀級</t>
        </is>
      </c>
      <c r="F12" t="inlineStr">
        <is>
          <t>T4</t>
        </is>
      </c>
      <c r="G12" t="n">
        <v>150000</v>
      </c>
      <c r="H12" t="inlineStr">
        <is>
          <t>維尼</t>
        </is>
      </c>
      <c r="I12" t="inlineStr">
        <is>
          <t>已付款</t>
        </is>
      </c>
      <c r="J12" t="inlineStr">
        <is>
          <t>是</t>
        </is>
      </c>
      <c r="K12" t="inlineStr"/>
    </row>
    <row r="13">
      <c r="A13" t="inlineStr">
        <is>
          <t>2019-D0039-01</t>
        </is>
      </c>
      <c r="B13" t="inlineStr">
        <is>
          <t>D0039</t>
        </is>
      </c>
      <c r="C13" t="inlineStr">
        <is>
          <t>FACEBOOK</t>
        </is>
      </c>
      <c r="D13" t="n">
        <v>2019</v>
      </c>
      <c r="E13" t="inlineStr">
        <is>
          <t>銀級</t>
        </is>
      </c>
      <c r="F13" t="inlineStr">
        <is>
          <t>T4</t>
        </is>
      </c>
      <c r="G13" t="n">
        <v>150000</v>
      </c>
      <c r="H13" t="inlineStr"/>
      <c r="I13" t="inlineStr">
        <is>
          <t>已付款</t>
        </is>
      </c>
      <c r="J13" t="inlineStr">
        <is>
          <t>是</t>
        </is>
      </c>
      <c r="K13" t="inlineStr"/>
    </row>
    <row r="14">
      <c r="A14" t="inlineStr">
        <is>
          <t>2019-D0021-01</t>
        </is>
      </c>
      <c r="B14" t="inlineStr">
        <is>
          <t>D0021</t>
        </is>
      </c>
      <c r="C14" t="inlineStr">
        <is>
          <t>驕陽基金會</t>
        </is>
      </c>
      <c r="D14" t="n">
        <v>2019</v>
      </c>
      <c r="E14" t="inlineStr">
        <is>
          <t>未分級</t>
        </is>
      </c>
      <c r="F14" t="inlineStr">
        <is>
          <t>T5</t>
        </is>
      </c>
      <c r="G14" t="n">
        <v>104500</v>
      </c>
      <c r="H14" t="inlineStr">
        <is>
          <t>美嬴</t>
        </is>
      </c>
      <c r="I14" t="inlineStr">
        <is>
          <t>已付款</t>
        </is>
      </c>
      <c r="J14" t="inlineStr">
        <is>
          <t>否</t>
        </is>
      </c>
      <c r="K14" t="inlineStr"/>
    </row>
    <row r="15">
      <c r="A15" t="inlineStr">
        <is>
          <t>2019-D0040-01</t>
        </is>
      </c>
      <c r="B15" t="inlineStr">
        <is>
          <t>D0040</t>
        </is>
      </c>
      <c r="C15" t="inlineStr">
        <is>
          <t>DES</t>
        </is>
      </c>
      <c r="D15" t="n">
        <v>2019</v>
      </c>
      <c r="E15" t="inlineStr">
        <is>
          <t>未分級</t>
        </is>
      </c>
      <c r="F15" t="inlineStr">
        <is>
          <t>T5</t>
        </is>
      </c>
      <c r="G15" t="n">
        <v>100000</v>
      </c>
      <c r="H15" t="inlineStr">
        <is>
          <t>文斌</t>
        </is>
      </c>
      <c r="I15" t="inlineStr">
        <is>
          <t>已付款</t>
        </is>
      </c>
      <c r="J15" t="inlineStr">
        <is>
          <t>是</t>
        </is>
      </c>
      <c r="K15" t="inlineStr">
        <is>
          <t>⚠️ 可能是 D0004 Destination,Beijing 縮寫，待確認</t>
        </is>
      </c>
    </row>
    <row r="16">
      <c r="A16" t="inlineStr">
        <is>
          <t>2019-D0041-01</t>
        </is>
      </c>
      <c r="B16" t="inlineStr">
        <is>
          <t>D0041</t>
        </is>
      </c>
      <c r="C16" t="inlineStr">
        <is>
          <t>英諾美生物科技</t>
        </is>
      </c>
      <c r="D16" t="n">
        <v>2019</v>
      </c>
      <c r="E16" t="inlineStr">
        <is>
          <t>未分級</t>
        </is>
      </c>
      <c r="F16" t="inlineStr">
        <is>
          <t>T5</t>
        </is>
      </c>
      <c r="G16" t="n">
        <v>96232</v>
      </c>
      <c r="H16" t="inlineStr">
        <is>
          <t>MING</t>
        </is>
      </c>
      <c r="I16" t="inlineStr">
        <is>
          <t>已付款</t>
        </is>
      </c>
      <c r="J16" t="inlineStr">
        <is>
          <t>是</t>
        </is>
      </c>
      <c r="K16" t="inlineStr"/>
    </row>
    <row r="17">
      <c r="A17" t="inlineStr">
        <is>
          <t>2019-D0006-01</t>
        </is>
      </c>
      <c r="B17" t="inlineStr">
        <is>
          <t>D0006</t>
        </is>
      </c>
      <c r="C17" t="inlineStr">
        <is>
          <t>LES park</t>
        </is>
      </c>
      <c r="D17" t="n">
        <v>2019</v>
      </c>
      <c r="E17" t="inlineStr">
        <is>
          <t>未分級</t>
        </is>
      </c>
      <c r="F17" t="inlineStr">
        <is>
          <t>T5</t>
        </is>
      </c>
      <c r="G17" t="n">
        <v>90160</v>
      </c>
      <c r="H17" t="inlineStr">
        <is>
          <t>梅子</t>
        </is>
      </c>
      <c r="I17" t="inlineStr">
        <is>
          <t>已付款</t>
        </is>
      </c>
      <c r="J17" t="inlineStr">
        <is>
          <t>否</t>
        </is>
      </c>
      <c r="K17" t="inlineStr"/>
    </row>
    <row r="18">
      <c r="A18" t="inlineStr">
        <is>
          <t>2019-D0042-01</t>
        </is>
      </c>
      <c r="B18" t="inlineStr">
        <is>
          <t>D0042</t>
        </is>
      </c>
      <c r="C18" t="inlineStr">
        <is>
          <t>Grindr</t>
        </is>
      </c>
      <c r="D18" t="n">
        <v>2019</v>
      </c>
      <c r="E18" t="inlineStr">
        <is>
          <t>未分級</t>
        </is>
      </c>
      <c r="F18" t="inlineStr">
        <is>
          <t>T5</t>
        </is>
      </c>
      <c r="G18" t="n">
        <v>70000</v>
      </c>
      <c r="H18" t="inlineStr">
        <is>
          <t>文斌</t>
        </is>
      </c>
      <c r="I18" t="inlineStr">
        <is>
          <t>已付款</t>
        </is>
      </c>
      <c r="J18" t="inlineStr">
        <is>
          <t>是</t>
        </is>
      </c>
      <c r="K18" t="inlineStr"/>
    </row>
    <row r="19">
      <c r="A19" t="inlineStr">
        <is>
          <t>2019-D0020-01</t>
        </is>
      </c>
      <c r="B19" t="inlineStr">
        <is>
          <t>D0020</t>
        </is>
      </c>
      <c r="C19" t="inlineStr">
        <is>
          <t>GAP</t>
        </is>
      </c>
      <c r="D19" t="n">
        <v>2019</v>
      </c>
      <c r="E19" t="inlineStr">
        <is>
          <t>未分級</t>
        </is>
      </c>
      <c r="F19" t="inlineStr">
        <is>
          <t>T5</t>
        </is>
      </c>
      <c r="G19" t="n">
        <v>70000</v>
      </c>
      <c r="H19" t="inlineStr">
        <is>
          <t>美嬴</t>
        </is>
      </c>
      <c r="I19" t="inlineStr">
        <is>
          <t>已付款</t>
        </is>
      </c>
      <c r="J19" t="inlineStr">
        <is>
          <t>否</t>
        </is>
      </c>
      <c r="K19" t="inlineStr"/>
    </row>
    <row r="20">
      <c r="A20" t="inlineStr">
        <is>
          <t>2019-D0043-01</t>
        </is>
      </c>
      <c r="B20" t="inlineStr">
        <is>
          <t>D0043</t>
        </is>
      </c>
      <c r="C20" t="inlineStr">
        <is>
          <t>哈利男孩</t>
        </is>
      </c>
      <c r="D20" t="n">
        <v>2019</v>
      </c>
      <c r="E20" t="inlineStr">
        <is>
          <t>未分級</t>
        </is>
      </c>
      <c r="F20" t="inlineStr">
        <is>
          <t>T5</t>
        </is>
      </c>
      <c r="G20" t="n">
        <v>53200</v>
      </c>
      <c r="H20" t="inlineStr">
        <is>
          <t>MING</t>
        </is>
      </c>
      <c r="I20" t="inlineStr">
        <is>
          <t>已付款</t>
        </is>
      </c>
      <c r="J20" t="inlineStr">
        <is>
          <t>是</t>
        </is>
      </c>
      <c r="K20" t="inlineStr"/>
    </row>
    <row r="21">
      <c r="A21" t="inlineStr">
        <is>
          <t>2019-D0044-01</t>
        </is>
      </c>
      <c r="B21" t="inlineStr">
        <is>
          <t>D0044</t>
        </is>
      </c>
      <c r="C21" t="inlineStr">
        <is>
          <t>茶鋪</t>
        </is>
      </c>
      <c r="D21" t="n">
        <v>2019</v>
      </c>
      <c r="E21" t="inlineStr">
        <is>
          <t>未分級</t>
        </is>
      </c>
      <c r="F21" t="inlineStr">
        <is>
          <t>T5</t>
        </is>
      </c>
      <c r="G21" t="n">
        <v>50000</v>
      </c>
      <c r="H21" t="inlineStr"/>
      <c r="I21" t="inlineStr">
        <is>
          <t>已付款</t>
        </is>
      </c>
      <c r="J21" t="inlineStr">
        <is>
          <t>是</t>
        </is>
      </c>
      <c r="K21" t="inlineStr">
        <is>
          <t>⚠️ 可能是 D0001 辻利茶舖 縮寫，待確認</t>
        </is>
      </c>
    </row>
    <row r="22">
      <c r="A22" t="inlineStr">
        <is>
          <t>2019-D0045-01</t>
        </is>
      </c>
      <c r="B22" t="inlineStr">
        <is>
          <t>D0045</t>
        </is>
      </c>
      <c r="C22" t="inlineStr">
        <is>
          <t>YAHOO</t>
        </is>
      </c>
      <c r="D22" t="n">
        <v>2019</v>
      </c>
      <c r="E22" t="inlineStr">
        <is>
          <t>未分級</t>
        </is>
      </c>
      <c r="F22" t="inlineStr">
        <is>
          <t>T5</t>
        </is>
      </c>
      <c r="G22" t="n">
        <v>50000</v>
      </c>
      <c r="H22" t="inlineStr"/>
      <c r="I22" t="inlineStr">
        <is>
          <t>已付款</t>
        </is>
      </c>
      <c r="J22" t="inlineStr">
        <is>
          <t>是</t>
        </is>
      </c>
      <c r="K22" t="inlineStr"/>
    </row>
    <row r="23">
      <c r="A23" t="inlineStr">
        <is>
          <t>2019-D0046-01</t>
        </is>
      </c>
      <c r="B23" t="inlineStr">
        <is>
          <t>D0046</t>
        </is>
      </c>
      <c r="C23" t="inlineStr">
        <is>
          <t>熱海</t>
        </is>
      </c>
      <c r="D23" t="n">
        <v>2019</v>
      </c>
      <c r="E23" t="inlineStr">
        <is>
          <t>未分級</t>
        </is>
      </c>
      <c r="F23" t="inlineStr">
        <is>
          <t>T5</t>
        </is>
      </c>
      <c r="G23" t="n">
        <v>45000</v>
      </c>
      <c r="H23" t="inlineStr"/>
      <c r="I23" t="inlineStr">
        <is>
          <t>已付款</t>
        </is>
      </c>
      <c r="J23" t="inlineStr">
        <is>
          <t>是</t>
        </is>
      </c>
      <c r="K23" t="inlineStr"/>
    </row>
    <row r="24">
      <c r="A24" t="inlineStr">
        <is>
          <t>2019-D0022-01</t>
        </is>
      </c>
      <c r="B24" t="inlineStr">
        <is>
          <t>D0022</t>
        </is>
      </c>
      <c r="C24" t="inlineStr">
        <is>
          <t>彩虹酷兒</t>
        </is>
      </c>
      <c r="D24" t="n">
        <v>2019</v>
      </c>
      <c r="E24" t="inlineStr">
        <is>
          <t>未分級</t>
        </is>
      </c>
      <c r="F24" t="inlineStr">
        <is>
          <t>T5</t>
        </is>
      </c>
      <c r="G24" t="n">
        <v>40000</v>
      </c>
      <c r="H24" t="inlineStr">
        <is>
          <t>文斌</t>
        </is>
      </c>
      <c r="I24" t="inlineStr">
        <is>
          <t>已付款</t>
        </is>
      </c>
      <c r="J24" t="inlineStr">
        <is>
          <t>否</t>
        </is>
      </c>
      <c r="K24" t="inlineStr"/>
    </row>
    <row r="25">
      <c r="A25" t="inlineStr">
        <is>
          <t>2019-D0047-01</t>
        </is>
      </c>
      <c r="B25" t="inlineStr">
        <is>
          <t>D0047</t>
        </is>
      </c>
      <c r="C25" t="inlineStr">
        <is>
          <t>質男幫</t>
        </is>
      </c>
      <c r="D25" t="n">
        <v>2019</v>
      </c>
      <c r="E25" t="inlineStr">
        <is>
          <t>未分級</t>
        </is>
      </c>
      <c r="F25" t="inlineStr">
        <is>
          <t>T5</t>
        </is>
      </c>
      <c r="G25" t="n">
        <v>40000</v>
      </c>
      <c r="H25" t="inlineStr">
        <is>
          <t>KIRK</t>
        </is>
      </c>
      <c r="I25" t="inlineStr">
        <is>
          <t>已付款</t>
        </is>
      </c>
      <c r="J25" t="inlineStr">
        <is>
          <t>是</t>
        </is>
      </c>
      <c r="K25" t="inlineStr"/>
    </row>
    <row r="26">
      <c r="A26" t="inlineStr">
        <is>
          <t>2019-D0048-01</t>
        </is>
      </c>
      <c r="B26" t="inlineStr">
        <is>
          <t>D0048</t>
        </is>
      </c>
      <c r="C26" t="inlineStr">
        <is>
          <t>EY</t>
        </is>
      </c>
      <c r="D26" t="n">
        <v>2019</v>
      </c>
      <c r="E26" t="inlineStr">
        <is>
          <t>未分級</t>
        </is>
      </c>
      <c r="F26" t="inlineStr">
        <is>
          <t>T5</t>
        </is>
      </c>
      <c r="G26" t="n">
        <v>40000</v>
      </c>
      <c r="H26" t="inlineStr">
        <is>
          <t>KIRK</t>
        </is>
      </c>
      <c r="I26" t="inlineStr">
        <is>
          <t>已付款</t>
        </is>
      </c>
      <c r="J26" t="inlineStr">
        <is>
          <t>是</t>
        </is>
      </c>
      <c r="K26" t="inlineStr"/>
    </row>
    <row r="27">
      <c r="A27" t="inlineStr">
        <is>
          <t>2019-D0017-01</t>
        </is>
      </c>
      <c r="B27" t="inlineStr">
        <is>
          <t>D0017</t>
        </is>
      </c>
      <c r="C27" t="inlineStr">
        <is>
          <t>UBER</t>
        </is>
      </c>
      <c r="D27" t="n">
        <v>2019</v>
      </c>
      <c r="E27" t="inlineStr">
        <is>
          <t>未分級</t>
        </is>
      </c>
      <c r="F27" t="inlineStr">
        <is>
          <t>T6</t>
        </is>
      </c>
      <c r="G27" t="n">
        <v>31350</v>
      </c>
      <c r="H27" t="inlineStr"/>
      <c r="I27" t="inlineStr">
        <is>
          <t>已付款</t>
        </is>
      </c>
      <c r="J27" t="inlineStr">
        <is>
          <t>否</t>
        </is>
      </c>
      <c r="K27" t="inlineStr"/>
    </row>
    <row r="28">
      <c r="A28" t="inlineStr">
        <is>
          <t>2019-D0049-01</t>
        </is>
      </c>
      <c r="B28" t="inlineStr">
        <is>
          <t>D0049</t>
        </is>
      </c>
      <c r="C28" t="inlineStr">
        <is>
          <t>基島科技</t>
        </is>
      </c>
      <c r="D28" t="n">
        <v>2019</v>
      </c>
      <c r="E28" t="inlineStr">
        <is>
          <t>未分級</t>
        </is>
      </c>
      <c r="F28" t="inlineStr">
        <is>
          <t>T6</t>
        </is>
      </c>
      <c r="G28" t="n">
        <v>15200</v>
      </c>
      <c r="H28" t="inlineStr">
        <is>
          <t>MING</t>
        </is>
      </c>
      <c r="I28" t="inlineStr">
        <is>
          <t>已付款</t>
        </is>
      </c>
      <c r="J28" t="inlineStr">
        <is>
          <t>是</t>
        </is>
      </c>
      <c r="K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14" customWidth="1" min="4" max="4"/>
    <col width="8" customWidth="1" min="5" max="5"/>
    <col width="10" customWidth="1" min="6" max="6"/>
    <col width="10" customWidth="1" min="7" max="7"/>
    <col width="16" customWidth="1" min="8" max="8"/>
    <col width="6" customWidth="1" min="9" max="9"/>
  </cols>
  <sheetData>
    <row r="1">
      <c r="A1" s="3" t="inlineStr">
        <is>
          <t>品項紀錄編號</t>
        </is>
      </c>
      <c r="B1" s="3" t="inlineStr">
        <is>
          <t>合約編號</t>
        </is>
      </c>
      <c r="C1" s="3" t="inlineStr">
        <is>
          <t>廠商編號</t>
        </is>
      </c>
      <c r="D1" s="3" t="inlineStr">
        <is>
          <t>廠商名稱</t>
        </is>
      </c>
      <c r="E1" s="3" t="inlineStr">
        <is>
          <t>年度</t>
        </is>
      </c>
      <c r="F1" s="3" t="inlineStr">
        <is>
          <t>原始品項名稱</t>
        </is>
      </c>
      <c r="G1" s="3" t="inlineStr">
        <is>
          <t>主品項分類</t>
        </is>
      </c>
      <c r="H1" s="3" t="inlineStr">
        <is>
          <t>品項細節（如顏色／等級）</t>
        </is>
      </c>
      <c r="I1" s="3" t="inlineStr">
        <is>
          <t>備註</t>
        </is>
      </c>
    </row>
    <row r="2">
      <c r="A2" t="inlineStr">
        <is>
          <t>2019-D0028-01-P001</t>
        </is>
      </c>
      <c r="B2" t="inlineStr">
        <is>
          <t>2019-D0028-01</t>
        </is>
      </c>
      <c r="C2" t="inlineStr">
        <is>
          <t>D0028</t>
        </is>
      </c>
      <c r="D2" t="inlineStr">
        <is>
          <t>GILEAD</t>
        </is>
      </c>
      <c r="E2" t="n">
        <v>2019</v>
      </c>
      <c r="F2" t="inlineStr">
        <is>
          <t>車權</t>
        </is>
      </c>
      <c r="G2" t="inlineStr">
        <is>
          <t>花車</t>
        </is>
      </c>
      <c r="H2" t="inlineStr">
        <is>
          <t>紅</t>
        </is>
      </c>
      <c r="I2" t="inlineStr"/>
    </row>
    <row r="3">
      <c r="A3" t="inlineStr">
        <is>
          <t>2019-D0028-01-P002</t>
        </is>
      </c>
      <c r="B3" t="inlineStr">
        <is>
          <t>2019-D0028-01</t>
        </is>
      </c>
      <c r="C3" t="inlineStr">
        <is>
          <t>D0028</t>
        </is>
      </c>
      <c r="D3" t="inlineStr">
        <is>
          <t>GILEAD</t>
        </is>
      </c>
      <c r="E3" t="n">
        <v>2019</v>
      </c>
      <c r="F3" t="inlineStr">
        <is>
          <t>官網廣告</t>
        </is>
      </c>
      <c r="G3" t="inlineStr">
        <is>
          <t>線上版位露出</t>
        </is>
      </c>
      <c r="H3" t="inlineStr">
        <is>
          <t>B</t>
        </is>
      </c>
      <c r="I3" t="inlineStr"/>
    </row>
    <row r="4">
      <c r="A4" t="inlineStr">
        <is>
          <t>2019-D0028-01-P003</t>
        </is>
      </c>
      <c r="B4" t="inlineStr">
        <is>
          <t>2019-D0028-01</t>
        </is>
      </c>
      <c r="C4" t="inlineStr">
        <is>
          <t>D0028</t>
        </is>
      </c>
      <c r="D4" t="inlineStr">
        <is>
          <t>GILEAD</t>
        </is>
      </c>
      <c r="E4" t="n">
        <v>2019</v>
      </c>
      <c r="F4" t="inlineStr">
        <is>
          <t>大螢幕橫幅</t>
        </is>
      </c>
      <c r="G4" t="inlineStr">
        <is>
          <t>現場版位露出</t>
        </is>
      </c>
      <c r="H4" t="inlineStr">
        <is>
          <t>市府起點</t>
        </is>
      </c>
      <c r="I4" t="inlineStr"/>
    </row>
    <row r="5">
      <c r="A5" t="inlineStr">
        <is>
          <t>2019-D0028-01-P004</t>
        </is>
      </c>
      <c r="B5" t="inlineStr">
        <is>
          <t>2019-D0028-01</t>
        </is>
      </c>
      <c r="C5" t="inlineStr">
        <is>
          <t>D0028</t>
        </is>
      </c>
      <c r="D5" t="inlineStr">
        <is>
          <t>GILEAD</t>
        </is>
      </c>
      <c r="E5" t="n">
        <v>2019</v>
      </c>
      <c r="F5" t="inlineStr">
        <is>
          <t>30秒廣告</t>
        </is>
      </c>
      <c r="G5" t="inlineStr">
        <is>
          <t>現場版位露出</t>
        </is>
      </c>
      <c r="H5" t="inlineStr">
        <is>
          <t>V</t>
        </is>
      </c>
      <c r="I5" t="inlineStr"/>
    </row>
    <row r="6">
      <c r="A6" t="inlineStr">
        <is>
          <t>2019-D0028-01-P005</t>
        </is>
      </c>
      <c r="B6" t="inlineStr">
        <is>
          <t>2019-D0028-01</t>
        </is>
      </c>
      <c r="C6" t="inlineStr">
        <is>
          <t>D0028</t>
        </is>
      </c>
      <c r="D6" t="inlineStr">
        <is>
          <t>GILEAD</t>
        </is>
      </c>
      <c r="E6" t="n">
        <v>2019</v>
      </c>
      <c r="F6" t="inlineStr">
        <is>
          <t>彩虹市集</t>
        </is>
      </c>
      <c r="G6" t="inlineStr">
        <is>
          <t>市集帳篷</t>
        </is>
      </c>
      <c r="H6" t="inlineStr">
        <is>
          <t>獨立棚</t>
        </is>
      </c>
      <c r="I6" t="inlineStr"/>
    </row>
    <row r="7">
      <c r="A7" t="inlineStr">
        <is>
          <t>2019-D0031-01-P001</t>
        </is>
      </c>
      <c r="B7" t="inlineStr">
        <is>
          <t>2019-D0031-01</t>
        </is>
      </c>
      <c r="C7" t="inlineStr">
        <is>
          <t>D0031</t>
        </is>
      </c>
      <c r="D7" t="inlineStr">
        <is>
          <t>美生國際</t>
        </is>
      </c>
      <c r="E7" t="n">
        <v>2019</v>
      </c>
      <c r="F7" t="inlineStr">
        <is>
          <t>車權</t>
        </is>
      </c>
      <c r="G7" t="inlineStr">
        <is>
          <t>花車</t>
        </is>
      </c>
      <c r="H7" t="inlineStr">
        <is>
          <t>綠</t>
        </is>
      </c>
      <c r="I7" t="inlineStr"/>
    </row>
    <row r="8">
      <c r="A8" t="inlineStr">
        <is>
          <t>2019-D0031-01-P002</t>
        </is>
      </c>
      <c r="B8" t="inlineStr">
        <is>
          <t>2019-D0031-01</t>
        </is>
      </c>
      <c r="C8" t="inlineStr">
        <is>
          <t>D0031</t>
        </is>
      </c>
      <c r="D8" t="inlineStr">
        <is>
          <t>美生國際</t>
        </is>
      </c>
      <c r="E8" t="n">
        <v>2019</v>
      </c>
      <c r="F8" t="inlineStr">
        <is>
          <t>官網廣告</t>
        </is>
      </c>
      <c r="G8" t="inlineStr">
        <is>
          <t>線上版位露出</t>
        </is>
      </c>
      <c r="H8" t="inlineStr">
        <is>
          <t>C</t>
        </is>
      </c>
      <c r="I8" t="inlineStr"/>
    </row>
    <row r="9">
      <c r="A9" t="inlineStr">
        <is>
          <t>2019-D0031-01-P003</t>
        </is>
      </c>
      <c r="B9" t="inlineStr">
        <is>
          <t>2019-D0031-01</t>
        </is>
      </c>
      <c r="C9" t="inlineStr">
        <is>
          <t>D0031</t>
        </is>
      </c>
      <c r="D9" t="inlineStr">
        <is>
          <t>美生國際</t>
        </is>
      </c>
      <c r="E9" t="n">
        <v>2019</v>
      </c>
      <c r="F9" t="inlineStr">
        <is>
          <t>DM廣告</t>
        </is>
      </c>
      <c r="G9" t="inlineStr">
        <is>
          <t>印刷品贊助</t>
        </is>
      </c>
      <c r="H9" t="inlineStr">
        <is>
          <t>A</t>
        </is>
      </c>
      <c r="I9" t="inlineStr"/>
    </row>
    <row r="10">
      <c r="A10" t="inlineStr">
        <is>
          <t>2019-D0031-01-P004</t>
        </is>
      </c>
      <c r="B10" t="inlineStr">
        <is>
          <t>2019-D0031-01</t>
        </is>
      </c>
      <c r="C10" t="inlineStr">
        <is>
          <t>D0031</t>
        </is>
      </c>
      <c r="D10" t="inlineStr">
        <is>
          <t>美生國際</t>
        </is>
      </c>
      <c r="E10" t="n">
        <v>2019</v>
      </c>
      <c r="F10" t="inlineStr">
        <is>
          <t>市集入口</t>
        </is>
      </c>
      <c r="G10" t="inlineStr">
        <is>
          <t>現場版位露出</t>
        </is>
      </c>
      <c r="H10" t="inlineStr">
        <is>
          <t>V</t>
        </is>
      </c>
      <c r="I10" t="inlineStr"/>
    </row>
    <row r="11">
      <c r="A11" t="inlineStr">
        <is>
          <t>2019-D0031-01-P005</t>
        </is>
      </c>
      <c r="B11" t="inlineStr">
        <is>
          <t>2019-D0031-01</t>
        </is>
      </c>
      <c r="C11" t="inlineStr">
        <is>
          <t>D0031</t>
        </is>
      </c>
      <c r="D11" t="inlineStr">
        <is>
          <t>美生國際</t>
        </is>
      </c>
      <c r="E11" t="n">
        <v>2019</v>
      </c>
      <c r="F11" t="inlineStr">
        <is>
          <t>終點廣告</t>
        </is>
      </c>
      <c r="G11" t="inlineStr">
        <is>
          <t>現場版位露出</t>
        </is>
      </c>
      <c r="H11" t="inlineStr">
        <is>
          <t>V</t>
        </is>
      </c>
      <c r="I11" t="inlineStr"/>
    </row>
    <row r="12">
      <c r="A12" t="inlineStr">
        <is>
          <t>2019-D0031-01-P006</t>
        </is>
      </c>
      <c r="B12" t="inlineStr">
        <is>
          <t>2019-D0031-01</t>
        </is>
      </c>
      <c r="C12" t="inlineStr">
        <is>
          <t>D0031</t>
        </is>
      </c>
      <c r="D12" t="inlineStr">
        <is>
          <t>美生國際</t>
        </is>
      </c>
      <c r="E12" t="n">
        <v>2019</v>
      </c>
      <c r="F12" t="inlineStr">
        <is>
          <t>30秒廣告</t>
        </is>
      </c>
      <c r="G12" t="inlineStr">
        <is>
          <t>現場版位露出</t>
        </is>
      </c>
      <c r="H12" t="inlineStr">
        <is>
          <t>V</t>
        </is>
      </c>
      <c r="I12" t="inlineStr"/>
    </row>
    <row r="13">
      <c r="A13" t="inlineStr">
        <is>
          <t>2019-D0031-01-P007</t>
        </is>
      </c>
      <c r="B13" t="inlineStr">
        <is>
          <t>2019-D0031-01</t>
        </is>
      </c>
      <c r="C13" t="inlineStr">
        <is>
          <t>D0031</t>
        </is>
      </c>
      <c r="D13" t="inlineStr">
        <is>
          <t>美生國際</t>
        </is>
      </c>
      <c r="E13" t="n">
        <v>2019</v>
      </c>
      <c r="F13" t="inlineStr">
        <is>
          <t>彩虹市集</t>
        </is>
      </c>
      <c r="G13" t="inlineStr">
        <is>
          <t>市集帳篷</t>
        </is>
      </c>
      <c r="H13" t="inlineStr">
        <is>
          <t>獨立棚</t>
        </is>
      </c>
      <c r="I13" t="inlineStr"/>
    </row>
    <row r="14">
      <c r="A14" t="inlineStr">
        <is>
          <t>2019-D0032-01-P001</t>
        </is>
      </c>
      <c r="B14" t="inlineStr">
        <is>
          <t>2019-D0032-01</t>
        </is>
      </c>
      <c r="C14" t="inlineStr">
        <is>
          <t>D0032</t>
        </is>
      </c>
      <c r="D14" t="inlineStr">
        <is>
          <t>G-Star</t>
        </is>
      </c>
      <c r="E14" t="n">
        <v>2019</v>
      </c>
      <c r="F14" t="inlineStr">
        <is>
          <t>車權</t>
        </is>
      </c>
      <c r="G14" t="inlineStr">
        <is>
          <t>花車</t>
        </is>
      </c>
      <c r="H14" t="inlineStr">
        <is>
          <t>橙</t>
        </is>
      </c>
      <c r="I14" t="inlineStr"/>
    </row>
    <row r="15">
      <c r="A15" t="inlineStr">
        <is>
          <t>2019-D0032-01-P002</t>
        </is>
      </c>
      <c r="B15" t="inlineStr">
        <is>
          <t>2019-D0032-01</t>
        </is>
      </c>
      <c r="C15" t="inlineStr">
        <is>
          <t>D0032</t>
        </is>
      </c>
      <c r="D15" t="inlineStr">
        <is>
          <t>G-Star</t>
        </is>
      </c>
      <c r="E15" t="n">
        <v>2019</v>
      </c>
      <c r="F15" t="inlineStr">
        <is>
          <t>官網廣告</t>
        </is>
      </c>
      <c r="G15" t="inlineStr">
        <is>
          <t>線上版位露出</t>
        </is>
      </c>
      <c r="H15" t="inlineStr">
        <is>
          <t>C</t>
        </is>
      </c>
      <c r="I15" t="inlineStr"/>
    </row>
    <row r="16">
      <c r="A16" t="inlineStr">
        <is>
          <t>2019-D0032-01-P003</t>
        </is>
      </c>
      <c r="B16" t="inlineStr">
        <is>
          <t>2019-D0032-01</t>
        </is>
      </c>
      <c r="C16" t="inlineStr">
        <is>
          <t>D0032</t>
        </is>
      </c>
      <c r="D16" t="inlineStr">
        <is>
          <t>G-Star</t>
        </is>
      </c>
      <c r="E16" t="n">
        <v>2019</v>
      </c>
      <c r="F16" t="inlineStr">
        <is>
          <t>市集入口</t>
        </is>
      </c>
      <c r="G16" t="inlineStr">
        <is>
          <t>現場版位露出</t>
        </is>
      </c>
      <c r="H16" t="inlineStr">
        <is>
          <t>V</t>
        </is>
      </c>
      <c r="I16" t="inlineStr"/>
    </row>
    <row r="17">
      <c r="A17" t="inlineStr">
        <is>
          <t>2019-D0032-01-P004</t>
        </is>
      </c>
      <c r="B17" t="inlineStr">
        <is>
          <t>2019-D0032-01</t>
        </is>
      </c>
      <c r="C17" t="inlineStr">
        <is>
          <t>D0032</t>
        </is>
      </c>
      <c r="D17" t="inlineStr">
        <is>
          <t>G-Star</t>
        </is>
      </c>
      <c r="E17" t="n">
        <v>2019</v>
      </c>
      <c r="F17" t="inlineStr">
        <is>
          <t>終點廣告</t>
        </is>
      </c>
      <c r="G17" t="inlineStr">
        <is>
          <t>現場版位露出</t>
        </is>
      </c>
      <c r="H17" t="inlineStr">
        <is>
          <t>V</t>
        </is>
      </c>
      <c r="I17" t="inlineStr"/>
    </row>
    <row r="18">
      <c r="A18" t="inlineStr">
        <is>
          <t>2019-D0032-01-P005</t>
        </is>
      </c>
      <c r="B18" t="inlineStr">
        <is>
          <t>2019-D0032-01</t>
        </is>
      </c>
      <c r="C18" t="inlineStr">
        <is>
          <t>D0032</t>
        </is>
      </c>
      <c r="D18" t="inlineStr">
        <is>
          <t>G-Star</t>
        </is>
      </c>
      <c r="E18" t="n">
        <v>2019</v>
      </c>
      <c r="F18" t="inlineStr">
        <is>
          <t>30秒廣告</t>
        </is>
      </c>
      <c r="G18" t="inlineStr">
        <is>
          <t>現場版位露出</t>
        </is>
      </c>
      <c r="H18" t="inlineStr">
        <is>
          <t>V</t>
        </is>
      </c>
      <c r="I18" t="inlineStr"/>
    </row>
    <row r="19">
      <c r="A19" t="inlineStr">
        <is>
          <t>2019-D0032-01-P006</t>
        </is>
      </c>
      <c r="B19" t="inlineStr">
        <is>
          <t>2019-D0032-01</t>
        </is>
      </c>
      <c r="C19" t="inlineStr">
        <is>
          <t>D0032</t>
        </is>
      </c>
      <c r="D19" t="inlineStr">
        <is>
          <t>G-Star</t>
        </is>
      </c>
      <c r="E19" t="n">
        <v>2019</v>
      </c>
      <c r="F19" t="inlineStr">
        <is>
          <t>彩虹市集</t>
        </is>
      </c>
      <c r="G19" t="inlineStr">
        <is>
          <t>市集帳篷</t>
        </is>
      </c>
      <c r="H19" t="inlineStr">
        <is>
          <t>獨立棚</t>
        </is>
      </c>
      <c r="I19" t="inlineStr"/>
    </row>
    <row r="20">
      <c r="A20" t="inlineStr">
        <is>
          <t>2019-D0033-01-P001</t>
        </is>
      </c>
      <c r="B20" t="inlineStr">
        <is>
          <t>2019-D0033-01</t>
        </is>
      </c>
      <c r="C20" t="inlineStr">
        <is>
          <t>D0033</t>
        </is>
      </c>
      <c r="D20" t="inlineStr">
        <is>
          <t>杰德影音</t>
        </is>
      </c>
      <c r="E20" t="n">
        <v>2019</v>
      </c>
      <c r="F20" t="inlineStr">
        <is>
          <t>車權</t>
        </is>
      </c>
      <c r="G20" t="inlineStr">
        <is>
          <t>花車</t>
        </is>
      </c>
      <c r="H20" t="inlineStr">
        <is>
          <t>紅</t>
        </is>
      </c>
      <c r="I20" t="inlineStr"/>
    </row>
    <row r="21">
      <c r="A21" t="inlineStr">
        <is>
          <t>2019-D0033-01-P002</t>
        </is>
      </c>
      <c r="B21" t="inlineStr">
        <is>
          <t>2019-D0033-01</t>
        </is>
      </c>
      <c r="C21" t="inlineStr">
        <is>
          <t>D0033</t>
        </is>
      </c>
      <c r="D21" t="inlineStr">
        <is>
          <t>杰德影音</t>
        </is>
      </c>
      <c r="E21" t="n">
        <v>2019</v>
      </c>
      <c r="F21" t="inlineStr">
        <is>
          <t>官網廣告</t>
        </is>
      </c>
      <c r="G21" t="inlineStr">
        <is>
          <t>線上版位露出</t>
        </is>
      </c>
      <c r="H21" t="inlineStr">
        <is>
          <t>C</t>
        </is>
      </c>
      <c r="I21" t="inlineStr"/>
    </row>
    <row r="22">
      <c r="A22" t="inlineStr">
        <is>
          <t>2019-D0033-01-P003</t>
        </is>
      </c>
      <c r="B22" t="inlineStr">
        <is>
          <t>2019-D0033-01</t>
        </is>
      </c>
      <c r="C22" t="inlineStr">
        <is>
          <t>D0033</t>
        </is>
      </c>
      <c r="D22" t="inlineStr">
        <is>
          <t>杰德影音</t>
        </is>
      </c>
      <c r="E22" t="n">
        <v>2019</v>
      </c>
      <c r="F22" t="inlineStr">
        <is>
          <t>DM廣告</t>
        </is>
      </c>
      <c r="G22" t="inlineStr">
        <is>
          <t>印刷品贊助</t>
        </is>
      </c>
      <c r="H22" t="inlineStr">
        <is>
          <t>B</t>
        </is>
      </c>
      <c r="I22" t="inlineStr"/>
    </row>
    <row r="23">
      <c r="A23" t="inlineStr">
        <is>
          <t>2019-D0033-01-P004</t>
        </is>
      </c>
      <c r="B23" t="inlineStr">
        <is>
          <t>2019-D0033-01</t>
        </is>
      </c>
      <c r="C23" t="inlineStr">
        <is>
          <t>D0033</t>
        </is>
      </c>
      <c r="D23" t="inlineStr">
        <is>
          <t>杰德影音</t>
        </is>
      </c>
      <c r="E23" t="n">
        <v>2019</v>
      </c>
      <c r="F23" t="inlineStr">
        <is>
          <t>市集入口</t>
        </is>
      </c>
      <c r="G23" t="inlineStr">
        <is>
          <t>現場版位露出</t>
        </is>
      </c>
      <c r="H23" t="inlineStr">
        <is>
          <t>V</t>
        </is>
      </c>
      <c r="I23" t="inlineStr"/>
    </row>
    <row r="24">
      <c r="A24" t="inlineStr">
        <is>
          <t>2019-D0033-01-P005</t>
        </is>
      </c>
      <c r="B24" t="inlineStr">
        <is>
          <t>2019-D0033-01</t>
        </is>
      </c>
      <c r="C24" t="inlineStr">
        <is>
          <t>D0033</t>
        </is>
      </c>
      <c r="D24" t="inlineStr">
        <is>
          <t>杰德影音</t>
        </is>
      </c>
      <c r="E24" t="n">
        <v>2019</v>
      </c>
      <c r="F24" t="inlineStr">
        <is>
          <t>終點廣告</t>
        </is>
      </c>
      <c r="G24" t="inlineStr">
        <is>
          <t>現場版位露出</t>
        </is>
      </c>
      <c r="H24" t="inlineStr">
        <is>
          <t>V</t>
        </is>
      </c>
      <c r="I24" t="inlineStr"/>
    </row>
    <row r="25">
      <c r="A25" t="inlineStr">
        <is>
          <t>2019-D0033-01-P006</t>
        </is>
      </c>
      <c r="B25" t="inlineStr">
        <is>
          <t>2019-D0033-01</t>
        </is>
      </c>
      <c r="C25" t="inlineStr">
        <is>
          <t>D0033</t>
        </is>
      </c>
      <c r="D25" t="inlineStr">
        <is>
          <t>杰德影音</t>
        </is>
      </c>
      <c r="E25" t="n">
        <v>2019</v>
      </c>
      <c r="F25" t="inlineStr">
        <is>
          <t>30秒廣告</t>
        </is>
      </c>
      <c r="G25" t="inlineStr">
        <is>
          <t>現場版位露出</t>
        </is>
      </c>
      <c r="H25" t="inlineStr">
        <is>
          <t>V</t>
        </is>
      </c>
      <c r="I25" t="inlineStr"/>
    </row>
    <row r="26">
      <c r="A26" t="inlineStr">
        <is>
          <t>2019-D0033-01-P007</t>
        </is>
      </c>
      <c r="B26" t="inlineStr">
        <is>
          <t>2019-D0033-01</t>
        </is>
      </c>
      <c r="C26" t="inlineStr">
        <is>
          <t>D0033</t>
        </is>
      </c>
      <c r="D26" t="inlineStr">
        <is>
          <t>杰德影音</t>
        </is>
      </c>
      <c r="E26" t="n">
        <v>2019</v>
      </c>
      <c r="F26" t="inlineStr">
        <is>
          <t>彩虹市集</t>
        </is>
      </c>
      <c r="G26" t="inlineStr">
        <is>
          <t>市集帳篷</t>
        </is>
      </c>
      <c r="H26" t="inlineStr">
        <is>
          <t>獨立棚</t>
        </is>
      </c>
      <c r="I26" t="inlineStr"/>
    </row>
    <row r="27">
      <c r="A27" t="inlineStr">
        <is>
          <t>2019-D0034-01-P001</t>
        </is>
      </c>
      <c r="B27" t="inlineStr">
        <is>
          <t>2019-D0034-01</t>
        </is>
      </c>
      <c r="C27" t="inlineStr">
        <is>
          <t>D0034</t>
        </is>
      </c>
      <c r="D27" t="inlineStr">
        <is>
          <t>Tstudio</t>
        </is>
      </c>
      <c r="E27" t="n">
        <v>2019</v>
      </c>
      <c r="F27" t="inlineStr">
        <is>
          <t>車權</t>
        </is>
      </c>
      <c r="G27" t="inlineStr">
        <is>
          <t>花車</t>
        </is>
      </c>
      <c r="H27" t="inlineStr">
        <is>
          <t>黃</t>
        </is>
      </c>
      <c r="I27" t="inlineStr"/>
    </row>
    <row r="28">
      <c r="A28" t="inlineStr">
        <is>
          <t>2019-D0034-01-P002</t>
        </is>
      </c>
      <c r="B28" t="inlineStr">
        <is>
          <t>2019-D0034-01</t>
        </is>
      </c>
      <c r="C28" t="inlineStr">
        <is>
          <t>D0034</t>
        </is>
      </c>
      <c r="D28" t="inlineStr">
        <is>
          <t>Tstudio</t>
        </is>
      </c>
      <c r="E28" t="n">
        <v>2019</v>
      </c>
      <c r="F28" t="inlineStr">
        <is>
          <t>DM廣告</t>
        </is>
      </c>
      <c r="G28" t="inlineStr">
        <is>
          <t>印刷品贊助</t>
        </is>
      </c>
      <c r="H28" t="inlineStr">
        <is>
          <t>B</t>
        </is>
      </c>
      <c r="I28" t="inlineStr"/>
    </row>
    <row r="29">
      <c r="A29" t="inlineStr">
        <is>
          <t>2019-D0034-01-P003</t>
        </is>
      </c>
      <c r="B29" t="inlineStr">
        <is>
          <t>2019-D0034-01</t>
        </is>
      </c>
      <c r="C29" t="inlineStr">
        <is>
          <t>D0034</t>
        </is>
      </c>
      <c r="D29" t="inlineStr">
        <is>
          <t>Tstudio</t>
        </is>
      </c>
      <c r="E29" t="n">
        <v>2019</v>
      </c>
      <c r="F29" t="inlineStr">
        <is>
          <t>市集入口</t>
        </is>
      </c>
      <c r="G29" t="inlineStr">
        <is>
          <t>現場版位露出</t>
        </is>
      </c>
      <c r="H29" t="inlineStr">
        <is>
          <t>V</t>
        </is>
      </c>
      <c r="I29" t="inlineStr"/>
    </row>
    <row r="30">
      <c r="A30" t="inlineStr">
        <is>
          <t>2019-D0034-01-P004</t>
        </is>
      </c>
      <c r="B30" t="inlineStr">
        <is>
          <t>2019-D0034-01</t>
        </is>
      </c>
      <c r="C30" t="inlineStr">
        <is>
          <t>D0034</t>
        </is>
      </c>
      <c r="D30" t="inlineStr">
        <is>
          <t>Tstudio</t>
        </is>
      </c>
      <c r="E30" t="n">
        <v>2019</v>
      </c>
      <c r="F30" t="inlineStr">
        <is>
          <t>彩虹市集</t>
        </is>
      </c>
      <c r="G30" t="inlineStr">
        <is>
          <t>市集帳篷</t>
        </is>
      </c>
      <c r="H30" t="inlineStr">
        <is>
          <t>獨立棚</t>
        </is>
      </c>
      <c r="I30" t="inlineStr"/>
    </row>
    <row r="31">
      <c r="A31" t="inlineStr">
        <is>
          <t>2019-D0035-01-P001</t>
        </is>
      </c>
      <c r="B31" t="inlineStr">
        <is>
          <t>2019-D0035-01</t>
        </is>
      </c>
      <c r="C31" t="inlineStr">
        <is>
          <t>D0035</t>
        </is>
      </c>
      <c r="D31" t="inlineStr">
        <is>
          <t>臺灣酷蓋</t>
        </is>
      </c>
      <c r="E31" t="n">
        <v>2019</v>
      </c>
      <c r="F31" t="inlineStr">
        <is>
          <t>車權</t>
        </is>
      </c>
      <c r="G31" t="inlineStr">
        <is>
          <t>花車</t>
        </is>
      </c>
      <c r="H31" t="inlineStr">
        <is>
          <t>橙</t>
        </is>
      </c>
      <c r="I31" t="inlineStr"/>
    </row>
    <row r="32">
      <c r="A32" t="inlineStr">
        <is>
          <t>2019-D0036-01-P001</t>
        </is>
      </c>
      <c r="B32" t="inlineStr">
        <is>
          <t>2019-D0036-01</t>
        </is>
      </c>
      <c r="C32" t="inlineStr">
        <is>
          <t>D0036</t>
        </is>
      </c>
      <c r="D32" t="inlineStr">
        <is>
          <t>Double APP</t>
        </is>
      </c>
      <c r="E32" t="n">
        <v>2019</v>
      </c>
      <c r="F32" t="inlineStr">
        <is>
          <t>車權</t>
        </is>
      </c>
      <c r="G32" t="inlineStr">
        <is>
          <t>花車</t>
        </is>
      </c>
      <c r="H32" t="inlineStr">
        <is>
          <t>橙</t>
        </is>
      </c>
      <c r="I32" t="inlineStr"/>
    </row>
    <row r="33">
      <c r="A33" t="inlineStr">
        <is>
          <t>2019-D0037-01-P001</t>
        </is>
      </c>
      <c r="B33" t="inlineStr">
        <is>
          <t>2019-D0037-01</t>
        </is>
      </c>
      <c r="C33" t="inlineStr">
        <is>
          <t>D0037</t>
        </is>
      </c>
      <c r="D33" t="inlineStr">
        <is>
          <t>Google</t>
        </is>
      </c>
      <c r="E33" t="n">
        <v>2019</v>
      </c>
      <c r="F33" t="inlineStr">
        <is>
          <t>車權</t>
        </is>
      </c>
      <c r="G33" t="inlineStr">
        <is>
          <t>花車</t>
        </is>
      </c>
      <c r="H33" t="inlineStr">
        <is>
          <t>紫</t>
        </is>
      </c>
      <c r="I33" t="inlineStr"/>
    </row>
    <row r="34">
      <c r="A34" t="inlineStr">
        <is>
          <t>2019-D0037-01-P002</t>
        </is>
      </c>
      <c r="B34" t="inlineStr">
        <is>
          <t>2019-D0037-01</t>
        </is>
      </c>
      <c r="C34" t="inlineStr">
        <is>
          <t>D0037</t>
        </is>
      </c>
      <c r="D34" t="inlineStr">
        <is>
          <t>Google</t>
        </is>
      </c>
      <c r="E34" t="n">
        <v>2019</v>
      </c>
      <c r="F34" t="inlineStr">
        <is>
          <t>官網廣告</t>
        </is>
      </c>
      <c r="G34" t="inlineStr">
        <is>
          <t>線上版位露出</t>
        </is>
      </c>
      <c r="H34" t="inlineStr">
        <is>
          <t>C</t>
        </is>
      </c>
      <c r="I34" t="inlineStr"/>
    </row>
    <row r="35">
      <c r="A35" t="inlineStr">
        <is>
          <t>2019-D0037-01-P003</t>
        </is>
      </c>
      <c r="B35" t="inlineStr">
        <is>
          <t>2019-D0037-01</t>
        </is>
      </c>
      <c r="C35" t="inlineStr">
        <is>
          <t>D0037</t>
        </is>
      </c>
      <c r="D35" t="inlineStr">
        <is>
          <t>Google</t>
        </is>
      </c>
      <c r="E35" t="n">
        <v>2019</v>
      </c>
      <c r="F35" t="inlineStr">
        <is>
          <t>市集入口</t>
        </is>
      </c>
      <c r="G35" t="inlineStr">
        <is>
          <t>現場版位露出</t>
        </is>
      </c>
      <c r="H35" t="inlineStr">
        <is>
          <t>V</t>
        </is>
      </c>
      <c r="I35" t="inlineStr"/>
    </row>
    <row r="36">
      <c r="A36" t="inlineStr">
        <is>
          <t>2019-D0037-01-P004</t>
        </is>
      </c>
      <c r="B36" t="inlineStr">
        <is>
          <t>2019-D0037-01</t>
        </is>
      </c>
      <c r="C36" t="inlineStr">
        <is>
          <t>D0037</t>
        </is>
      </c>
      <c r="D36" t="inlineStr">
        <is>
          <t>Google</t>
        </is>
      </c>
      <c r="E36" t="n">
        <v>2019</v>
      </c>
      <c r="F36" t="inlineStr">
        <is>
          <t>終點廣告</t>
        </is>
      </c>
      <c r="G36" t="inlineStr">
        <is>
          <t>現場版位露出</t>
        </is>
      </c>
      <c r="H36" t="inlineStr">
        <is>
          <t>V</t>
        </is>
      </c>
      <c r="I36" t="inlineStr"/>
    </row>
    <row r="37">
      <c r="A37" t="inlineStr">
        <is>
          <t>2019-D0037-01-P005</t>
        </is>
      </c>
      <c r="B37" t="inlineStr">
        <is>
          <t>2019-D0037-01</t>
        </is>
      </c>
      <c r="C37" t="inlineStr">
        <is>
          <t>D0037</t>
        </is>
      </c>
      <c r="D37" t="inlineStr">
        <is>
          <t>Google</t>
        </is>
      </c>
      <c r="E37" t="n">
        <v>2019</v>
      </c>
      <c r="F37" t="inlineStr">
        <is>
          <t>30秒廣告</t>
        </is>
      </c>
      <c r="G37" t="inlineStr">
        <is>
          <t>現場版位露出</t>
        </is>
      </c>
      <c r="H37" t="inlineStr">
        <is>
          <t>V</t>
        </is>
      </c>
      <c r="I37" t="inlineStr"/>
    </row>
    <row r="38">
      <c r="A38" t="inlineStr">
        <is>
          <t>2019-D0037-01-P006</t>
        </is>
      </c>
      <c r="B38" t="inlineStr">
        <is>
          <t>2019-D0037-01</t>
        </is>
      </c>
      <c r="C38" t="inlineStr">
        <is>
          <t>D0037</t>
        </is>
      </c>
      <c r="D38" t="inlineStr">
        <is>
          <t>Google</t>
        </is>
      </c>
      <c r="E38" t="n">
        <v>2019</v>
      </c>
      <c r="F38" t="inlineStr">
        <is>
          <t>彩虹市集</t>
        </is>
      </c>
      <c r="G38" t="inlineStr">
        <is>
          <t>市集帳篷</t>
        </is>
      </c>
      <c r="H38" t="inlineStr">
        <is>
          <t>獨立棚</t>
        </is>
      </c>
      <c r="I38" t="inlineStr"/>
    </row>
    <row r="39">
      <c r="A39" t="inlineStr">
        <is>
          <t>2019-D0038-01-P001</t>
        </is>
      </c>
      <c r="B39" t="inlineStr">
        <is>
          <t>2019-D0038-01</t>
        </is>
      </c>
      <c r="C39" t="inlineStr">
        <is>
          <t>D0038</t>
        </is>
      </c>
      <c r="D39" t="inlineStr">
        <is>
          <t>Mozilla</t>
        </is>
      </c>
      <c r="E39" t="n">
        <v>2019</v>
      </c>
      <c r="F39" t="inlineStr">
        <is>
          <t>車權</t>
        </is>
      </c>
      <c r="G39" t="inlineStr">
        <is>
          <t>花車</t>
        </is>
      </c>
      <c r="H39" t="inlineStr">
        <is>
          <t>綠</t>
        </is>
      </c>
      <c r="I39" t="inlineStr"/>
    </row>
    <row r="40">
      <c r="A40" t="inlineStr">
        <is>
          <t>2019-D0021-01-P001</t>
        </is>
      </c>
      <c r="B40" t="inlineStr">
        <is>
          <t>2019-D0021-01</t>
        </is>
      </c>
      <c r="C40" t="inlineStr">
        <is>
          <t>D0021</t>
        </is>
      </c>
      <c r="D40" t="inlineStr">
        <is>
          <t>驕陽基金會</t>
        </is>
      </c>
      <c r="E40" t="n">
        <v>2019</v>
      </c>
      <c r="F40" t="inlineStr">
        <is>
          <t>臉書橫幅</t>
        </is>
      </c>
      <c r="G40" t="inlineStr">
        <is>
          <t>線上版位露出</t>
        </is>
      </c>
      <c r="H40" t="inlineStr">
        <is>
          <t>V</t>
        </is>
      </c>
      <c r="I40" t="inlineStr"/>
    </row>
    <row r="41">
      <c r="A41" t="inlineStr">
        <is>
          <t>2019-D0021-01-P002</t>
        </is>
      </c>
      <c r="B41" t="inlineStr">
        <is>
          <t>2019-D0021-01</t>
        </is>
      </c>
      <c r="C41" t="inlineStr">
        <is>
          <t>D0021</t>
        </is>
      </c>
      <c r="D41" t="inlineStr">
        <is>
          <t>驕陽基金會</t>
        </is>
      </c>
      <c r="E41" t="n">
        <v>2019</v>
      </c>
      <c r="F41" t="inlineStr">
        <is>
          <t>主舞台廣告</t>
        </is>
      </c>
      <c r="G41" t="inlineStr">
        <is>
          <t>現場版位露出</t>
        </is>
      </c>
      <c r="H41" t="inlineStr">
        <is>
          <t>凱道終點左</t>
        </is>
      </c>
      <c r="I41" t="inlineStr"/>
    </row>
    <row r="42">
      <c r="A42" t="inlineStr">
        <is>
          <t>2019-D0040-01-P001</t>
        </is>
      </c>
      <c r="B42" t="inlineStr">
        <is>
          <t>2019-D0040-01</t>
        </is>
      </c>
      <c r="C42" t="inlineStr">
        <is>
          <t>D0040</t>
        </is>
      </c>
      <c r="D42" t="inlineStr">
        <is>
          <t>DES</t>
        </is>
      </c>
      <c r="E42" t="n">
        <v>2019</v>
      </c>
      <c r="F42" t="inlineStr">
        <is>
          <t>車權</t>
        </is>
      </c>
      <c r="G42" t="inlineStr">
        <is>
          <t>花車</t>
        </is>
      </c>
      <c r="H42" t="inlineStr">
        <is>
          <t>紅</t>
        </is>
      </c>
      <c r="I42" t="inlineStr"/>
    </row>
    <row r="43">
      <c r="A43" t="inlineStr">
        <is>
          <t>2019-D0041-01-P001</t>
        </is>
      </c>
      <c r="B43" t="inlineStr">
        <is>
          <t>2019-D0041-01</t>
        </is>
      </c>
      <c r="C43" t="inlineStr">
        <is>
          <t>D0041</t>
        </is>
      </c>
      <c r="D43" t="inlineStr">
        <is>
          <t>英諾美生物科技</t>
        </is>
      </c>
      <c r="E43" t="n">
        <v>2019</v>
      </c>
      <c r="F43" t="inlineStr">
        <is>
          <t>主舞台廣告</t>
        </is>
      </c>
      <c r="G43" t="inlineStr">
        <is>
          <t>現場版位露出</t>
        </is>
      </c>
      <c r="H43" t="inlineStr">
        <is>
          <t>市府起點左</t>
        </is>
      </c>
      <c r="I43" t="inlineStr"/>
    </row>
    <row r="44">
      <c r="A44" t="inlineStr">
        <is>
          <t>2019-D0041-01-P002</t>
        </is>
      </c>
      <c r="B44" t="inlineStr">
        <is>
          <t>2019-D0041-01</t>
        </is>
      </c>
      <c r="C44" t="inlineStr">
        <is>
          <t>D0041</t>
        </is>
      </c>
      <c r="D44" t="inlineStr">
        <is>
          <t>英諾美生物科技</t>
        </is>
      </c>
      <c r="E44" t="n">
        <v>2019</v>
      </c>
      <c r="F44" t="inlineStr">
        <is>
          <t>30秒廣告</t>
        </is>
      </c>
      <c r="G44" t="inlineStr">
        <is>
          <t>現場版位露出</t>
        </is>
      </c>
      <c r="H44" t="inlineStr">
        <is>
          <t>V</t>
        </is>
      </c>
      <c r="I44" t="inlineStr"/>
    </row>
    <row r="45">
      <c r="A45" t="inlineStr">
        <is>
          <t>2019-D0041-01-P003</t>
        </is>
      </c>
      <c r="B45" t="inlineStr">
        <is>
          <t>2019-D0041-01</t>
        </is>
      </c>
      <c r="C45" t="inlineStr">
        <is>
          <t>D0041</t>
        </is>
      </c>
      <c r="D45" t="inlineStr">
        <is>
          <t>英諾美生物科技</t>
        </is>
      </c>
      <c r="E45" t="n">
        <v>2019</v>
      </c>
      <c r="F45" t="inlineStr">
        <is>
          <t>彩虹市集</t>
        </is>
      </c>
      <c r="G45" t="inlineStr">
        <is>
          <t>市集帳篷</t>
        </is>
      </c>
      <c r="H45" t="inlineStr">
        <is>
          <t>獨立棚</t>
        </is>
      </c>
      <c r="I45" t="inlineStr"/>
    </row>
    <row r="46">
      <c r="A46" t="inlineStr">
        <is>
          <t>2019-D0006-01-P001</t>
        </is>
      </c>
      <c r="B46" t="inlineStr">
        <is>
          <t>2019-D0006-01</t>
        </is>
      </c>
      <c r="C46" t="inlineStr">
        <is>
          <t>D0006</t>
        </is>
      </c>
      <c r="D46" t="inlineStr">
        <is>
          <t>LES park</t>
        </is>
      </c>
      <c r="E46" t="n">
        <v>2019</v>
      </c>
      <c r="F46" t="inlineStr">
        <is>
          <t>車權</t>
        </is>
      </c>
      <c r="G46" t="inlineStr">
        <is>
          <t>花車</t>
        </is>
      </c>
      <c r="H46" t="inlineStr">
        <is>
          <t>黃</t>
        </is>
      </c>
      <c r="I46" t="inlineStr"/>
    </row>
    <row r="47">
      <c r="A47" t="inlineStr">
        <is>
          <t>2019-D0006-01-P002</t>
        </is>
      </c>
      <c r="B47" t="inlineStr">
        <is>
          <t>2019-D0006-01</t>
        </is>
      </c>
      <c r="C47" t="inlineStr">
        <is>
          <t>D0006</t>
        </is>
      </c>
      <c r="D47" t="inlineStr">
        <is>
          <t>LES park</t>
        </is>
      </c>
      <c r="E47" t="n">
        <v>2019</v>
      </c>
      <c r="F47" t="inlineStr">
        <is>
          <t>臉書橫幅</t>
        </is>
      </c>
      <c r="G47" t="inlineStr">
        <is>
          <t>線上版位露出</t>
        </is>
      </c>
      <c r="H47" t="inlineStr">
        <is>
          <t>V</t>
        </is>
      </c>
      <c r="I47" t="inlineStr"/>
    </row>
    <row r="48">
      <c r="A48" t="inlineStr">
        <is>
          <t>2019-D0006-01-P003</t>
        </is>
      </c>
      <c r="B48" t="inlineStr">
        <is>
          <t>2019-D0006-01</t>
        </is>
      </c>
      <c r="C48" t="inlineStr">
        <is>
          <t>D0006</t>
        </is>
      </c>
      <c r="D48" t="inlineStr">
        <is>
          <t>LES park</t>
        </is>
      </c>
      <c r="E48" t="n">
        <v>2019</v>
      </c>
      <c r="F48" t="inlineStr">
        <is>
          <t>彩虹市集</t>
        </is>
      </c>
      <c r="G48" t="inlineStr">
        <is>
          <t>市集帳篷</t>
        </is>
      </c>
      <c r="H48" t="inlineStr">
        <is>
          <t>獨立棚</t>
        </is>
      </c>
      <c r="I48" t="inlineStr"/>
    </row>
    <row r="49">
      <c r="A49" t="inlineStr">
        <is>
          <t>2019-D0042-01-P001</t>
        </is>
      </c>
      <c r="B49" t="inlineStr">
        <is>
          <t>2019-D0042-01</t>
        </is>
      </c>
      <c r="C49" t="inlineStr">
        <is>
          <t>D0042</t>
        </is>
      </c>
      <c r="D49" t="inlineStr">
        <is>
          <t>Grindr</t>
        </is>
      </c>
      <c r="E49" t="n">
        <v>2019</v>
      </c>
      <c r="F49" t="inlineStr">
        <is>
          <t>車權</t>
        </is>
      </c>
      <c r="G49" t="inlineStr">
        <is>
          <t>花車</t>
        </is>
      </c>
      <c r="H49" t="inlineStr">
        <is>
          <t>黃</t>
        </is>
      </c>
      <c r="I49" t="inlineStr"/>
    </row>
    <row r="50">
      <c r="A50" t="inlineStr">
        <is>
          <t>2019-D0020-01-P001</t>
        </is>
      </c>
      <c r="B50" t="inlineStr">
        <is>
          <t>2019-D0020-01</t>
        </is>
      </c>
      <c r="C50" t="inlineStr">
        <is>
          <t>D0020</t>
        </is>
      </c>
      <c r="D50" t="inlineStr">
        <is>
          <t>GAP</t>
        </is>
      </c>
      <c r="E50" t="n">
        <v>2019</v>
      </c>
      <c r="F50" t="inlineStr">
        <is>
          <t>車權</t>
        </is>
      </c>
      <c r="G50" t="inlineStr">
        <is>
          <t>花車</t>
        </is>
      </c>
      <c r="H50" t="inlineStr">
        <is>
          <t>綠</t>
        </is>
      </c>
      <c r="I50" t="inlineStr"/>
    </row>
    <row r="51">
      <c r="A51" t="inlineStr">
        <is>
          <t>2019-D0020-01-P002</t>
        </is>
      </c>
      <c r="B51" t="inlineStr">
        <is>
          <t>2019-D0020-01</t>
        </is>
      </c>
      <c r="C51" t="inlineStr">
        <is>
          <t>D0020</t>
        </is>
      </c>
      <c r="D51" t="inlineStr">
        <is>
          <t>GAP</t>
        </is>
      </c>
      <c r="E51" t="n">
        <v>2019</v>
      </c>
      <c r="F51" t="inlineStr">
        <is>
          <t>彩虹市集</t>
        </is>
      </c>
      <c r="G51" t="inlineStr">
        <is>
          <t>市集帳篷</t>
        </is>
      </c>
      <c r="H51" t="inlineStr">
        <is>
          <t>獨立棚</t>
        </is>
      </c>
      <c r="I51" t="inlineStr"/>
    </row>
    <row r="52">
      <c r="A52" t="inlineStr">
        <is>
          <t>2019-D0043-01-P001</t>
        </is>
      </c>
      <c r="B52" t="inlineStr">
        <is>
          <t>2019-D0043-01</t>
        </is>
      </c>
      <c r="C52" t="inlineStr">
        <is>
          <t>D0043</t>
        </is>
      </c>
      <c r="D52" t="inlineStr">
        <is>
          <t>哈利男孩</t>
        </is>
      </c>
      <c r="E52" t="n">
        <v>2019</v>
      </c>
      <c r="F52" t="inlineStr">
        <is>
          <t>車權</t>
        </is>
      </c>
      <c r="G52" t="inlineStr">
        <is>
          <t>花車</t>
        </is>
      </c>
      <c r="H52" t="inlineStr">
        <is>
          <t>藍</t>
        </is>
      </c>
      <c r="I52" t="inlineStr"/>
    </row>
    <row r="53">
      <c r="A53" t="inlineStr">
        <is>
          <t>2019-D0043-01-P002</t>
        </is>
      </c>
      <c r="B53" t="inlineStr">
        <is>
          <t>2019-D0043-01</t>
        </is>
      </c>
      <c r="C53" t="inlineStr">
        <is>
          <t>D0043</t>
        </is>
      </c>
      <c r="D53" t="inlineStr">
        <is>
          <t>哈利男孩</t>
        </is>
      </c>
      <c r="E53" t="n">
        <v>2019</v>
      </c>
      <c r="F53" t="inlineStr">
        <is>
          <t>彩虹市集</t>
        </is>
      </c>
      <c r="G53" t="inlineStr">
        <is>
          <t>市集帳篷</t>
        </is>
      </c>
      <c r="H53" t="inlineStr">
        <is>
          <t>合併棚</t>
        </is>
      </c>
      <c r="I53" t="inlineStr"/>
    </row>
    <row r="54">
      <c r="A54" t="inlineStr">
        <is>
          <t>2019-D0022-01-P001</t>
        </is>
      </c>
      <c r="B54" t="inlineStr">
        <is>
          <t>2019-D0022-01</t>
        </is>
      </c>
      <c r="C54" t="inlineStr">
        <is>
          <t>D0022</t>
        </is>
      </c>
      <c r="D54" t="inlineStr">
        <is>
          <t>彩虹酷兒</t>
        </is>
      </c>
      <c r="E54" t="n">
        <v>2019</v>
      </c>
      <c r="F54" t="inlineStr">
        <is>
          <t>車權</t>
        </is>
      </c>
      <c r="G54" t="inlineStr">
        <is>
          <t>花車</t>
        </is>
      </c>
      <c r="H54" t="inlineStr">
        <is>
          <t>藍</t>
        </is>
      </c>
      <c r="I54" t="inlineStr"/>
    </row>
    <row r="55">
      <c r="A55" t="inlineStr">
        <is>
          <t>2019-D0047-01-P001</t>
        </is>
      </c>
      <c r="B55" t="inlineStr">
        <is>
          <t>2019-D0047-01</t>
        </is>
      </c>
      <c r="C55" t="inlineStr">
        <is>
          <t>D0047</t>
        </is>
      </c>
      <c r="D55" t="inlineStr">
        <is>
          <t>質男幫</t>
        </is>
      </c>
      <c r="E55" t="n">
        <v>2019</v>
      </c>
      <c r="F55" t="inlineStr">
        <is>
          <t>車權</t>
        </is>
      </c>
      <c r="G55" t="inlineStr">
        <is>
          <t>花車</t>
        </is>
      </c>
      <c r="H55" t="inlineStr">
        <is>
          <t>紫</t>
        </is>
      </c>
      <c r="I55" t="inlineStr"/>
    </row>
    <row r="56">
      <c r="A56" t="inlineStr">
        <is>
          <t>2019-D0048-01-P001</t>
        </is>
      </c>
      <c r="B56" t="inlineStr">
        <is>
          <t>2019-D0048-01</t>
        </is>
      </c>
      <c r="C56" t="inlineStr">
        <is>
          <t>D0048</t>
        </is>
      </c>
      <c r="D56" t="inlineStr">
        <is>
          <t>EY</t>
        </is>
      </c>
      <c r="E56" t="n">
        <v>2019</v>
      </c>
      <c r="F56" t="inlineStr">
        <is>
          <t>車權</t>
        </is>
      </c>
      <c r="G56" t="inlineStr">
        <is>
          <t>花車</t>
        </is>
      </c>
      <c r="H56" t="inlineStr">
        <is>
          <t>紫</t>
        </is>
      </c>
      <c r="I56" t="inlineStr"/>
    </row>
    <row r="57">
      <c r="A57" t="inlineStr">
        <is>
          <t>2019-D0049-01-P001</t>
        </is>
      </c>
      <c r="B57" t="inlineStr">
        <is>
          <t>2019-D0049-01</t>
        </is>
      </c>
      <c r="C57" t="inlineStr">
        <is>
          <t>D0049</t>
        </is>
      </c>
      <c r="D57" t="inlineStr">
        <is>
          <t>基島科技</t>
        </is>
      </c>
      <c r="E57" t="n">
        <v>2019</v>
      </c>
      <c r="F57" t="inlineStr">
        <is>
          <t>DM廣告</t>
        </is>
      </c>
      <c r="G57" t="inlineStr">
        <is>
          <t>印刷品贊助</t>
        </is>
      </c>
      <c r="H57" t="inlineStr">
        <is>
          <t>B</t>
        </is>
      </c>
      <c r="I57" t="inlineStr"/>
    </row>
    <row r="58">
      <c r="A58" t="inlineStr">
        <is>
          <t>2019-D0049-01-P002</t>
        </is>
      </c>
      <c r="B58" t="inlineStr">
        <is>
          <t>2019-D0049-01</t>
        </is>
      </c>
      <c r="C58" t="inlineStr">
        <is>
          <t>D0049</t>
        </is>
      </c>
      <c r="D58" t="inlineStr">
        <is>
          <t>基島科技</t>
        </is>
      </c>
      <c r="E58" t="n">
        <v>2019</v>
      </c>
      <c r="F58" t="inlineStr">
        <is>
          <t>彩虹市集</t>
        </is>
      </c>
      <c r="G58" t="inlineStr">
        <is>
          <t>市集帳篷</t>
        </is>
      </c>
      <c r="H58" t="inlineStr">
        <is>
          <t>獨立棚</t>
        </is>
      </c>
      <c r="I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8" customWidth="1" min="10" max="10"/>
    <col width="8" customWidth="1" min="11" max="11"/>
    <col width="14" customWidth="1" min="12" max="12"/>
    <col width="9" customWidth="1" min="13" max="13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是否早鳥</t>
        </is>
      </c>
      <c r="G1" s="3" t="inlineStr">
        <is>
          <t>攤位金額</t>
        </is>
      </c>
      <c r="H1" s="3" t="inlineStr">
        <is>
          <t>攤位編號</t>
        </is>
      </c>
      <c r="I1" s="3" t="inlineStr">
        <is>
          <t>是否為公益組織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同年是否亦為級別廠商</t>
        </is>
      </c>
      <c r="M1" s="3" t="inlineStr">
        <is>
          <t>備註</t>
        </is>
      </c>
    </row>
    <row r="2">
      <c r="A2" t="inlineStr">
        <is>
          <t>2019-MB001</t>
        </is>
      </c>
      <c r="B2" t="inlineStr">
        <is>
          <t>D0050</t>
        </is>
      </c>
      <c r="C2" t="inlineStr">
        <is>
          <t>艿緦服裝有限公司</t>
        </is>
      </c>
      <c r="D2" t="n">
        <v>2019</v>
      </c>
      <c r="E2" t="inlineStr">
        <is>
          <t>獨立棚</t>
        </is>
      </c>
      <c r="F2" t="inlineStr">
        <is>
          <t>否</t>
        </is>
      </c>
      <c r="G2" t="n">
        <v>8000</v>
      </c>
      <c r="H2" t="inlineStr"/>
      <c r="I2" t="inlineStr">
        <is>
          <t>否</t>
        </is>
      </c>
      <c r="J2" t="inlineStr">
        <is>
          <t>文斌</t>
        </is>
      </c>
      <c r="K2" t="inlineStr">
        <is>
          <t>已付款</t>
        </is>
      </c>
      <c r="L2" t="inlineStr">
        <is>
          <t>否</t>
        </is>
      </c>
      <c r="M2" t="inlineStr">
        <is>
          <t>純攤位贊助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35" customWidth="1" min="3" max="3"/>
    <col width="10" customWidth="1" min="4" max="4"/>
    <col width="37" customWidth="1" min="5" max="5"/>
    <col width="21" customWidth="1" min="6" max="6"/>
    <col width="35" customWidth="1" min="7" max="7"/>
  </cols>
  <sheetData>
    <row r="1">
      <c r="A1" s="1" t="inlineStr">
        <is>
          <t>2017 → 2019 廠商回流分析（2018 資料缺失）</t>
        </is>
      </c>
    </row>
    <row r="2"/>
    <row r="3">
      <c r="A3" s="4" t="inlineStr">
        <is>
          <t>✅ 回流廠商（先前年份也有贊助）— 5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上次贊助年</t>
        </is>
      </c>
      <c r="D4" s="5" t="inlineStr">
        <is>
          <t>上次金額</t>
        </is>
      </c>
      <c r="E4" s="5" t="inlineStr">
        <is>
          <t>2019 金額</t>
        </is>
      </c>
      <c r="F4" s="5" t="inlineStr">
        <is>
          <t>變化</t>
        </is>
      </c>
      <c r="G4" s="5" t="inlineStr">
        <is>
          <t>備註</t>
        </is>
      </c>
    </row>
    <row r="5">
      <c r="A5" s="6" t="inlineStr">
        <is>
          <t>D0021</t>
        </is>
      </c>
      <c r="B5" s="6" t="inlineStr">
        <is>
          <t>驕陽基金會</t>
        </is>
      </c>
      <c r="C5" s="6" t="n">
        <v>2017</v>
      </c>
      <c r="D5" s="6" t="n">
        <v>60000</v>
      </c>
      <c r="E5" s="6" t="n">
        <v>104500</v>
      </c>
      <c r="F5" s="6" t="inlineStr">
        <is>
          <t>📈 升級（+NTD 44,500）</t>
        </is>
      </c>
      <c r="G5" s="6" t="n"/>
    </row>
    <row r="6">
      <c r="A6" s="6" t="inlineStr">
        <is>
          <t>D0006</t>
        </is>
      </c>
      <c r="B6" s="6" t="inlineStr">
        <is>
          <t>LES park</t>
        </is>
      </c>
      <c r="C6" s="6" t="n">
        <v>2017</v>
      </c>
      <c r="D6" s="6" t="n">
        <v>80000</v>
      </c>
      <c r="E6" s="6" t="n">
        <v>90160</v>
      </c>
      <c r="F6" s="6" t="inlineStr">
        <is>
          <t>📈 升級（+NTD 10,160）</t>
        </is>
      </c>
      <c r="G6" s="6" t="n"/>
    </row>
    <row r="7">
      <c r="A7" s="6" t="inlineStr">
        <is>
          <t>D0020</t>
        </is>
      </c>
      <c r="B7" s="6" t="inlineStr">
        <is>
          <t>GAP</t>
        </is>
      </c>
      <c r="C7" s="6" t="n">
        <v>2017</v>
      </c>
      <c r="D7" s="6" t="n">
        <v>60000</v>
      </c>
      <c r="E7" s="6" t="n">
        <v>70000</v>
      </c>
      <c r="F7" s="6" t="inlineStr">
        <is>
          <t>📈 升級（+NTD 10,000）</t>
        </is>
      </c>
      <c r="G7" s="6" t="n"/>
    </row>
    <row r="8">
      <c r="A8" s="6" t="inlineStr">
        <is>
          <t>D0022</t>
        </is>
      </c>
      <c r="B8" s="6" t="inlineStr">
        <is>
          <t>彩虹酷兒</t>
        </is>
      </c>
      <c r="C8" s="6" t="n">
        <v>2017</v>
      </c>
      <c r="D8" s="6" t="n">
        <v>60000</v>
      </c>
      <c r="E8" s="6" t="n">
        <v>40000</v>
      </c>
      <c r="F8" s="6" t="inlineStr">
        <is>
          <t>📉 降級（NTD -20,000）</t>
        </is>
      </c>
      <c r="G8" s="6" t="n"/>
    </row>
    <row r="9">
      <c r="A9" s="6" t="inlineStr">
        <is>
          <t>D0017</t>
        </is>
      </c>
      <c r="B9" s="6" t="inlineStr">
        <is>
          <t>UBER</t>
        </is>
      </c>
      <c r="C9" s="6" t="n">
        <v>2017</v>
      </c>
      <c r="D9" s="6" t="n">
        <v>100000</v>
      </c>
      <c r="E9" s="6" t="n">
        <v>31350</v>
      </c>
      <c r="F9" s="6" t="inlineStr">
        <is>
          <t>📉 降級（NTD -68,650）</t>
        </is>
      </c>
      <c r="G9" s="6" t="n"/>
    </row>
    <row r="10"/>
    <row r="11">
      <c r="A11" s="4" t="inlineStr">
        <is>
          <t>💔 自 2017 後流失廠商（注意：2018 資料缺失，此分析跳過 2018）— 15 家</t>
        </is>
      </c>
    </row>
    <row r="12">
      <c r="A12" s="5" t="inlineStr">
        <is>
          <t>廠商編號</t>
        </is>
      </c>
      <c r="B12" s="5" t="inlineStr">
        <is>
          <t>廠商</t>
        </is>
      </c>
      <c r="C12" s="5" t="inlineStr">
        <is>
          <t>備註</t>
        </is>
      </c>
    </row>
    <row r="13">
      <c r="A13" s="7" t="inlineStr">
        <is>
          <t>D0001</t>
        </is>
      </c>
      <c r="B13" s="7" t="inlineStr">
        <is>
          <t>辻利茶舖</t>
        </is>
      </c>
      <c r="C13" s="7" t="inlineStr">
        <is>
          <t>⚠️ 2019 有 茶鋪 50k，可能就是此公司縮寫</t>
        </is>
      </c>
    </row>
    <row r="14">
      <c r="A14" s="7" t="inlineStr">
        <is>
          <t>D0002</t>
        </is>
      </c>
      <c r="B14" s="7" t="inlineStr">
        <is>
          <t>Par.T</t>
        </is>
      </c>
      <c r="C14" s="7" t="inlineStr"/>
    </row>
    <row r="15">
      <c r="A15" s="7" t="inlineStr">
        <is>
          <t>D0003</t>
        </is>
      </c>
      <c r="B15" s="7" t="inlineStr">
        <is>
          <t>Blue</t>
        </is>
      </c>
      <c r="C15" s="7" t="inlineStr"/>
    </row>
    <row r="16">
      <c r="A16" s="7" t="inlineStr">
        <is>
          <t>D0004</t>
        </is>
      </c>
      <c r="B16" s="7" t="inlineStr">
        <is>
          <t>Destination,Beijing</t>
        </is>
      </c>
      <c r="C16" s="7" t="inlineStr">
        <is>
          <t>⚠️ 2019 有 DES 廠商 100k，可能就是此公司縮寫</t>
        </is>
      </c>
    </row>
    <row r="17">
      <c r="A17" s="7" t="inlineStr">
        <is>
          <t>D0008</t>
        </is>
      </c>
      <c r="B17" s="7" t="inlineStr">
        <is>
          <t>Hornet</t>
        </is>
      </c>
      <c r="C17" s="7" t="inlineStr"/>
    </row>
    <row r="18">
      <c r="A18" s="7" t="inlineStr">
        <is>
          <t>D0011</t>
        </is>
      </c>
      <c r="B18" s="7" t="inlineStr">
        <is>
          <t>Tokyo RainBow Pride</t>
        </is>
      </c>
      <c r="C18" s="7" t="inlineStr"/>
    </row>
    <row r="19">
      <c r="A19" s="7" t="inlineStr">
        <is>
          <t>D0012</t>
        </is>
      </c>
      <c r="B19" s="7" t="inlineStr">
        <is>
          <t>國際人權特赦組織(AI)</t>
        </is>
      </c>
      <c r="C19" s="7" t="inlineStr"/>
    </row>
    <row r="20">
      <c r="A20" s="7" t="inlineStr">
        <is>
          <t>D0016</t>
        </is>
      </c>
      <c r="B20" s="7" t="inlineStr">
        <is>
          <t>觸控科技</t>
        </is>
      </c>
      <c r="C20" s="7" t="inlineStr"/>
    </row>
    <row r="21">
      <c r="A21" s="7" t="inlineStr">
        <is>
          <t>D0018</t>
        </is>
      </c>
      <c r="B21" s="7" t="inlineStr">
        <is>
          <t>達博企業社(大龜)</t>
        </is>
      </c>
      <c r="C21" s="7" t="inlineStr"/>
    </row>
    <row r="22">
      <c r="A22" s="7" t="inlineStr">
        <is>
          <t>D0019</t>
        </is>
      </c>
      <c r="B22" s="7" t="inlineStr">
        <is>
          <t>雪豹科技</t>
        </is>
      </c>
      <c r="C22" s="7" t="inlineStr"/>
    </row>
    <row r="23">
      <c r="A23" s="7" t="inlineStr">
        <is>
          <t>D0023</t>
        </is>
      </c>
      <c r="B23" s="7" t="inlineStr">
        <is>
          <t>艾緦整合行銷</t>
        </is>
      </c>
      <c r="C23" s="7" t="inlineStr"/>
    </row>
    <row r="24">
      <c r="A24" s="7" t="inlineStr">
        <is>
          <t>D0024</t>
        </is>
      </c>
      <c r="B24" s="7" t="inlineStr">
        <is>
          <t>ESHA</t>
        </is>
      </c>
      <c r="C24" s="7" t="inlineStr"/>
    </row>
    <row r="25">
      <c r="A25" s="7" t="inlineStr">
        <is>
          <t>D0025</t>
        </is>
      </c>
      <c r="B25" s="7" t="inlineStr">
        <is>
          <t>GaGaoLaLa</t>
        </is>
      </c>
      <c r="C25" s="7" t="inlineStr"/>
    </row>
    <row r="26">
      <c r="A26" s="7" t="inlineStr">
        <is>
          <t>D0026</t>
        </is>
      </c>
      <c r="B26" s="7" t="inlineStr">
        <is>
          <t>婚姻大平台</t>
        </is>
      </c>
      <c r="C26" s="7" t="inlineStr"/>
    </row>
    <row r="27">
      <c r="A27" s="7" t="inlineStr">
        <is>
          <t>D0027</t>
        </is>
      </c>
      <c r="B27" s="7" t="inlineStr">
        <is>
          <t>花旗商銀</t>
        </is>
      </c>
      <c r="C27" s="7" t="inlineStr"/>
    </row>
    <row r="28"/>
    <row r="29">
      <c r="A29" s="4" t="inlineStr">
        <is>
          <t>🆕 新進廠商 — 23 家</t>
        </is>
      </c>
    </row>
    <row r="30">
      <c r="A30" s="5" t="inlineStr">
        <is>
          <t>廠商編號</t>
        </is>
      </c>
      <c r="B30" s="5" t="inlineStr">
        <is>
          <t>廠商</t>
        </is>
      </c>
      <c r="C30" s="5" t="inlineStr">
        <is>
          <t>金額</t>
        </is>
      </c>
      <c r="D30" s="5" t="inlineStr">
        <is>
          <t>主級別</t>
        </is>
      </c>
      <c r="E30" s="5" t="inlineStr">
        <is>
          <t>產業</t>
        </is>
      </c>
    </row>
    <row r="31">
      <c r="A31" s="8" t="inlineStr">
        <is>
          <t>D0028</t>
        </is>
      </c>
      <c r="B31" s="8" t="inlineStr">
        <is>
          <t>GILEAD</t>
        </is>
      </c>
      <c r="C31" s="8" t="n">
        <v>500000</v>
      </c>
      <c r="D31" s="8" t="inlineStr">
        <is>
          <t>T2</t>
        </is>
      </c>
      <c r="E31" s="8" t="inlineStr">
        <is>
          <t>醫藥（HIV）</t>
        </is>
      </c>
    </row>
    <row r="32">
      <c r="A32" s="8" t="inlineStr">
        <is>
          <t>D0029</t>
        </is>
      </c>
      <c r="B32" s="8" t="inlineStr">
        <is>
          <t>戶戶送</t>
        </is>
      </c>
      <c r="C32" s="8" t="n">
        <v>300000</v>
      </c>
      <c r="D32" s="8" t="inlineStr">
        <is>
          <t>T3</t>
        </is>
      </c>
      <c r="E32" s="8" t="inlineStr">
        <is>
          <t>科技／外送</t>
        </is>
      </c>
    </row>
    <row r="33">
      <c r="A33" s="8" t="inlineStr">
        <is>
          <t>D0030</t>
        </is>
      </c>
      <c r="B33" s="8" t="inlineStr">
        <is>
          <t>紅樓友善商家聯盟</t>
        </is>
      </c>
      <c r="C33" s="8" t="n">
        <v>250000</v>
      </c>
      <c r="D33" s="8" t="inlineStr">
        <is>
          <t>T4</t>
        </is>
      </c>
      <c r="E33" s="8" t="inlineStr">
        <is>
          <t>商圈聯盟（西門紅樓）</t>
        </is>
      </c>
    </row>
    <row r="34">
      <c r="A34" s="8" t="inlineStr">
        <is>
          <t>D0031</t>
        </is>
      </c>
      <c r="B34" s="8" t="inlineStr">
        <is>
          <t>美生國際</t>
        </is>
      </c>
      <c r="C34" s="8" t="n">
        <v>175000</v>
      </c>
      <c r="D34" s="8" t="inlineStr">
        <is>
          <t>T4</t>
        </is>
      </c>
      <c r="E34" s="8" t="inlineStr">
        <is>
          <t>保健／生技</t>
        </is>
      </c>
    </row>
    <row r="35">
      <c r="A35" s="8" t="inlineStr">
        <is>
          <t>D0032</t>
        </is>
      </c>
      <c r="B35" s="8" t="inlineStr">
        <is>
          <t>G-Star</t>
        </is>
      </c>
      <c r="C35" s="8" t="n">
        <v>150000</v>
      </c>
      <c r="D35" s="8" t="inlineStr">
        <is>
          <t>T4</t>
        </is>
      </c>
      <c r="E35" s="8" t="inlineStr">
        <is>
          <t>服飾（牛仔）</t>
        </is>
      </c>
    </row>
    <row r="36">
      <c r="A36" s="8" t="inlineStr">
        <is>
          <t>D0033</t>
        </is>
      </c>
      <c r="B36" s="8" t="inlineStr">
        <is>
          <t>杰德影音</t>
        </is>
      </c>
      <c r="C36" s="8" t="n">
        <v>150000</v>
      </c>
      <c r="D36" s="8" t="inlineStr">
        <is>
          <t>T4</t>
        </is>
      </c>
      <c r="E36" s="8" t="inlineStr">
        <is>
          <t>影音媒體</t>
        </is>
      </c>
    </row>
    <row r="37">
      <c r="A37" s="8" t="inlineStr">
        <is>
          <t>D0034</t>
        </is>
      </c>
      <c r="B37" s="8" t="inlineStr">
        <is>
          <t>Tstudio</t>
        </is>
      </c>
      <c r="C37" s="8" t="n">
        <v>150000</v>
      </c>
      <c r="D37" s="8" t="inlineStr">
        <is>
          <t>T4</t>
        </is>
      </c>
      <c r="E37" s="8" t="inlineStr">
        <is>
          <t>攝影／媒體</t>
        </is>
      </c>
    </row>
    <row r="38">
      <c r="A38" s="8" t="inlineStr">
        <is>
          <t>D0035</t>
        </is>
      </c>
      <c r="B38" s="8" t="inlineStr">
        <is>
          <t>臺灣酷蓋</t>
        </is>
      </c>
      <c r="C38" s="8" t="n">
        <v>150000</v>
      </c>
      <c r="D38" s="8" t="inlineStr">
        <is>
          <t>T4</t>
        </is>
      </c>
      <c r="E38" s="8" t="inlineStr">
        <is>
          <t>LGBT 媒體</t>
        </is>
      </c>
    </row>
    <row r="39">
      <c r="A39" s="8" t="inlineStr">
        <is>
          <t>D0036</t>
        </is>
      </c>
      <c r="B39" s="8" t="inlineStr">
        <is>
          <t>Double APP</t>
        </is>
      </c>
      <c r="C39" s="8" t="n">
        <v>150000</v>
      </c>
      <c r="D39" s="8" t="inlineStr">
        <is>
          <t>T4</t>
        </is>
      </c>
      <c r="E39" s="8" t="inlineStr">
        <is>
          <t>社交軟體</t>
        </is>
      </c>
    </row>
    <row r="40">
      <c r="A40" s="8" t="inlineStr">
        <is>
          <t>D0037</t>
        </is>
      </c>
      <c r="B40" s="8" t="inlineStr">
        <is>
          <t>Google</t>
        </is>
      </c>
      <c r="C40" s="8" t="n">
        <v>150000</v>
      </c>
      <c r="D40" s="8" t="inlineStr">
        <is>
          <t>T4</t>
        </is>
      </c>
      <c r="E40" s="8" t="inlineStr">
        <is>
          <t>科技／網路</t>
        </is>
      </c>
    </row>
    <row r="41">
      <c r="A41" s="8" t="inlineStr">
        <is>
          <t>D0038</t>
        </is>
      </c>
      <c r="B41" s="8" t="inlineStr">
        <is>
          <t>Mozilla</t>
        </is>
      </c>
      <c r="C41" s="8" t="n">
        <v>150000</v>
      </c>
      <c r="D41" s="8" t="inlineStr">
        <is>
          <t>T4</t>
        </is>
      </c>
      <c r="E41" s="8" t="inlineStr">
        <is>
          <t>科技／網路</t>
        </is>
      </c>
    </row>
    <row r="42">
      <c r="A42" s="8" t="inlineStr">
        <is>
          <t>D0039</t>
        </is>
      </c>
      <c r="B42" s="8" t="inlineStr">
        <is>
          <t>FACEBOOK</t>
        </is>
      </c>
      <c r="C42" s="8" t="n">
        <v>150000</v>
      </c>
      <c r="D42" s="8" t="inlineStr">
        <is>
          <t>T4</t>
        </is>
      </c>
      <c r="E42" s="8" t="inlineStr">
        <is>
          <t>科技／社群</t>
        </is>
      </c>
    </row>
    <row r="43">
      <c r="A43" s="8" t="inlineStr">
        <is>
          <t>D0040</t>
        </is>
      </c>
      <c r="B43" s="8" t="inlineStr">
        <is>
          <t>DES</t>
        </is>
      </c>
      <c r="C43" s="8" t="n">
        <v>100000</v>
      </c>
      <c r="D43" s="8" t="inlineStr">
        <is>
          <t>T5</t>
        </is>
      </c>
      <c r="E43" s="8" t="inlineStr">
        <is>
          <t>夜店／娛樂（待確認是否為 Destination,Beijing）</t>
        </is>
      </c>
    </row>
    <row r="44">
      <c r="A44" s="8" t="inlineStr">
        <is>
          <t>D0041</t>
        </is>
      </c>
      <c r="B44" s="8" t="inlineStr">
        <is>
          <t>英諾美生物科技</t>
        </is>
      </c>
      <c r="C44" s="8" t="n">
        <v>96232</v>
      </c>
      <c r="D44" s="8" t="inlineStr">
        <is>
          <t>T5</t>
        </is>
      </c>
      <c r="E44" s="8" t="inlineStr">
        <is>
          <t>生技／醫療</t>
        </is>
      </c>
    </row>
    <row r="45">
      <c r="A45" s="8" t="inlineStr">
        <is>
          <t>D0042</t>
        </is>
      </c>
      <c r="B45" s="8" t="inlineStr">
        <is>
          <t>Grindr</t>
        </is>
      </c>
      <c r="C45" s="8" t="n">
        <v>70000</v>
      </c>
      <c r="D45" s="8" t="inlineStr">
        <is>
          <t>T5</t>
        </is>
      </c>
      <c r="E45" s="8" t="inlineStr">
        <is>
          <t>社交軟體</t>
        </is>
      </c>
    </row>
    <row r="46">
      <c r="A46" s="8" t="inlineStr">
        <is>
          <t>D0043</t>
        </is>
      </c>
      <c r="B46" s="8" t="inlineStr">
        <is>
          <t>哈利男孩</t>
        </is>
      </c>
      <c r="C46" s="8" t="n">
        <v>53200</v>
      </c>
      <c r="D46" s="8" t="inlineStr">
        <is>
          <t>T5</t>
        </is>
      </c>
      <c r="E46" s="8" t="inlineStr">
        <is>
          <t>文創／個人品牌</t>
        </is>
      </c>
    </row>
    <row r="47">
      <c r="A47" s="8" t="inlineStr">
        <is>
          <t>D0044</t>
        </is>
      </c>
      <c r="B47" s="8" t="inlineStr">
        <is>
          <t>茶鋪</t>
        </is>
      </c>
      <c r="C47" s="8" t="n">
        <v>50000</v>
      </c>
      <c r="D47" s="8" t="inlineStr">
        <is>
          <t>T5</t>
        </is>
      </c>
      <c r="E47" s="8" t="inlineStr">
        <is>
          <t>餐飲（待確認是否為 辻利茶舖 縮寫）</t>
        </is>
      </c>
    </row>
    <row r="48">
      <c r="A48" s="8" t="inlineStr">
        <is>
          <t>D0045</t>
        </is>
      </c>
      <c r="B48" s="8" t="inlineStr">
        <is>
          <t>YAHOO</t>
        </is>
      </c>
      <c r="C48" s="8" t="n">
        <v>50000</v>
      </c>
      <c r="D48" s="8" t="inlineStr">
        <is>
          <t>T5</t>
        </is>
      </c>
      <c r="E48" s="8" t="inlineStr">
        <is>
          <t>科技／網路</t>
        </is>
      </c>
    </row>
    <row r="49">
      <c r="A49" s="8" t="inlineStr">
        <is>
          <t>D0046</t>
        </is>
      </c>
      <c r="B49" s="8" t="inlineStr">
        <is>
          <t>熱海</t>
        </is>
      </c>
      <c r="C49" s="8" t="n">
        <v>45000</v>
      </c>
      <c r="D49" s="8" t="inlineStr">
        <is>
          <t>T5</t>
        </is>
      </c>
      <c r="E49" s="8" t="inlineStr">
        <is>
          <t>餐飲／娛樂</t>
        </is>
      </c>
    </row>
    <row r="50">
      <c r="A50" s="8" t="inlineStr">
        <is>
          <t>D0047</t>
        </is>
      </c>
      <c r="B50" s="8" t="inlineStr">
        <is>
          <t>質男幫</t>
        </is>
      </c>
      <c r="C50" s="8" t="n">
        <v>40000</v>
      </c>
      <c r="D50" s="8" t="inlineStr">
        <is>
          <t>T5</t>
        </is>
      </c>
      <c r="E50" s="8" t="inlineStr">
        <is>
          <t>LGBT 媒體／社群</t>
        </is>
      </c>
    </row>
    <row r="51">
      <c r="A51" s="8" t="inlineStr">
        <is>
          <t>D0048</t>
        </is>
      </c>
      <c r="B51" s="8" t="inlineStr">
        <is>
          <t>EY</t>
        </is>
      </c>
      <c r="C51" s="8" t="n">
        <v>40000</v>
      </c>
      <c r="D51" s="8" t="inlineStr">
        <is>
          <t>T5</t>
        </is>
      </c>
      <c r="E51" s="8" t="inlineStr">
        <is>
          <t>專業服務（會計）</t>
        </is>
      </c>
    </row>
    <row r="52">
      <c r="A52" s="8" t="inlineStr">
        <is>
          <t>D0049</t>
        </is>
      </c>
      <c r="B52" s="8" t="inlineStr">
        <is>
          <t>基島科技</t>
        </is>
      </c>
      <c r="C52" s="8" t="n">
        <v>15200</v>
      </c>
      <c r="D52" s="8" t="inlineStr">
        <is>
          <t>T6</t>
        </is>
      </c>
      <c r="E52" s="8" t="inlineStr">
        <is>
          <t>科技</t>
        </is>
      </c>
    </row>
    <row r="53">
      <c r="A53" s="8" t="inlineStr">
        <is>
          <t>D0050</t>
        </is>
      </c>
      <c r="B53" s="8" t="inlineStr">
        <is>
          <t>艿緦服裝有限公司</t>
        </is>
      </c>
      <c r="C53" s="8" t="n">
        <v>8000</v>
      </c>
      <c r="D53" s="8" t="inlineStr">
        <is>
          <t>T6</t>
        </is>
      </c>
      <c r="E53" s="8" t="inlineStr">
        <is>
          <t>服飾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初版擷取。⭐ 2019 是首個分級年。沿襲 2016/2017 決策。DES、茶鋪 兩家廠商身分待你確認。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2026-04-29T18:14:17Z</dcterms:created>
  <dcterms:modified xmlns:dcterms="http://purl.org/dc/terms/" xmlns:xsi="http://www.w3.org/2001/XMLSchema-instance" xsi:type="dcterms:W3CDTF">2026-04-29T18:14:17Z</dcterms:modified>
</cp:coreProperties>
</file>