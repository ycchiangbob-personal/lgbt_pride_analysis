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0_dim_donor (新增)" sheetId="2" state="visible" r:id="rId2"/>
    <sheet xmlns:r="http://schemas.openxmlformats.org/officeDocument/2006/relationships" name="2020_dim_year" sheetId="3" state="visible" r:id="rId3"/>
    <sheet xmlns:r="http://schemas.openxmlformats.org/officeDocument/2006/relationships" name="2020_map_tier_year" sheetId="4" state="visible" r:id="rId4"/>
    <sheet xmlns:r="http://schemas.openxmlformats.org/officeDocument/2006/relationships" name="2020_map_item_year" sheetId="5" state="visible" r:id="rId5"/>
    <sheet xmlns:r="http://schemas.openxmlformats.org/officeDocument/2006/relationships" name="2020_fact_sponsorship" sheetId="6" state="visible" r:id="rId6"/>
    <sheet xmlns:r="http://schemas.openxmlformats.org/officeDocument/2006/relationships" name="2020_fact_item_pick" sheetId="7" state="visible" r:id="rId7"/>
    <sheet xmlns:r="http://schemas.openxmlformats.org/officeDocument/2006/relationships" name="2020_fact_market_booth" sheetId="8" state="visible" r:id="rId8"/>
    <sheet xmlns:r="http://schemas.openxmlformats.org/officeDocument/2006/relationships" name="回流分析" sheetId="9" state="visible" r:id="rId9"/>
    <sheet xmlns:r="http://schemas.openxmlformats.org/officeDocument/2006/relationships" name="修訂紀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" t="inlineStr">
        <is>
          <t>2020 年贊助資料擷取結果</t>
        </is>
      </c>
    </row>
    <row r="3">
      <c r="A3" t="inlineStr">
        <is>
          <t>來源檔案</t>
        </is>
      </c>
      <c r="B3" t="inlineStr">
        <is>
          <t>2020收入統計表.xlsx</t>
        </is>
      </c>
    </row>
    <row r="4">
      <c r="A4" t="inlineStr">
        <is>
          <t>採用分頁</t>
        </is>
      </c>
      <c r="B4" t="inlineStr">
        <is>
          <t>工作表1（廠商與贊助金額）</t>
        </is>
      </c>
    </row>
    <row r="5">
      <c r="A5" t="inlineStr">
        <is>
          <t>參考分頁</t>
        </is>
      </c>
      <c r="B5" t="inlineStr">
        <is>
          <t>「商業收入」的副本（含品項細項與如期/取消金額）</t>
        </is>
      </c>
    </row>
    <row r="6">
      <c r="A6" t="inlineStr">
        <is>
          <t>忽略分頁</t>
        </is>
      </c>
      <c r="B6" t="inlineStr">
        <is>
          <t>工作表2（小型輔助表）</t>
        </is>
      </c>
    </row>
    <row r="7">
      <c r="A7" t="inlineStr"/>
      <c r="B7" t="inlineStr"/>
    </row>
    <row r="8">
      <c r="A8" s="2">
        <f>== 重要背景 ===</f>
        <v/>
      </c>
      <c r="B8" t="inlineStr"/>
    </row>
    <row r="9">
      <c r="A9" t="inlineStr">
        <is>
          <t>疫情</t>
        </is>
      </c>
      <c r="B9" t="inlineStr">
        <is>
          <t>2020 雖逢 COVID-19，臺灣同志遊行【如期舉行】</t>
        </is>
      </c>
    </row>
    <row r="10">
      <c r="A10" t="inlineStr">
        <is>
          <t>收入認定</t>
        </is>
      </c>
      <c r="B10" t="inlineStr">
        <is>
          <t>「商業收入」副本中有「109年如期舉行」與「109年五天前取消」兩個情境欄位，採前者為實際金額</t>
        </is>
      </c>
    </row>
    <row r="11">
      <c r="A11" t="inlineStr">
        <is>
          <t>資料差異</t>
        </is>
      </c>
      <c r="B11" t="inlineStr">
        <is>
          <t>工作表1（595k GILEAD）與商業收入（500k+60k空飄球=560k GILEAD）有 35k 差異，採工作表1 為主</t>
        </is>
      </c>
    </row>
    <row r="12">
      <c r="A12" t="inlineStr"/>
      <c r="B12" t="inlineStr"/>
    </row>
    <row r="13">
      <c r="A13" s="2">
        <f>== 級別制度演進 ===</f>
        <v/>
      </c>
      <c r="B13" t="inlineStr"/>
    </row>
    <row r="14">
      <c r="A14" t="inlineStr">
        <is>
          <t>黃金級</t>
        </is>
      </c>
      <c r="B14" t="inlineStr">
        <is>
          <t>500k → 595k（+19%）</t>
        </is>
      </c>
    </row>
    <row r="15">
      <c r="A15" t="inlineStr">
        <is>
          <t>銀級</t>
        </is>
      </c>
      <c r="B15" t="inlineStr">
        <is>
          <t>150k-175k → 統一 160k（細部規格化）</t>
        </is>
      </c>
    </row>
    <row r="16">
      <c r="A16" t="inlineStr">
        <is>
          <t>新增層級</t>
        </is>
      </c>
      <c r="B16" t="inlineStr">
        <is>
          <t>頭車（180k）、商業車1-7（70k-80k）、社運車（聚合）</t>
        </is>
      </c>
    </row>
    <row r="17">
      <c r="A17" t="inlineStr">
        <is>
          <t>品項預售</t>
        </is>
      </c>
      <c r="B17" t="inlineStr">
        <is>
          <t>「商業收入」副本顯示已有「黃金級牌價」「銀級牌價」與內含品項細項</t>
        </is>
      </c>
    </row>
    <row r="18">
      <c r="A18" t="inlineStr"/>
      <c r="B18" t="inlineStr"/>
    </row>
    <row r="19">
      <c r="A19" s="2">
        <f>== 統計 ===</f>
        <v/>
      </c>
      <c r="B19" t="inlineStr"/>
    </row>
    <row r="20">
      <c r="A20" t="inlineStr">
        <is>
          <t>總廠商數</t>
        </is>
      </c>
      <c r="B20" t="inlineStr">
        <is>
          <t>35 家（個別贊助商）</t>
        </is>
      </c>
    </row>
    <row r="21">
      <c r="A21" t="inlineStr">
        <is>
          <t xml:space="preserve">  回流</t>
        </is>
      </c>
      <c r="B21" t="inlineStr">
        <is>
          <t>10 家</t>
        </is>
      </c>
    </row>
    <row r="22">
      <c r="A22" t="inlineStr">
        <is>
          <t xml:space="preserve">  新增</t>
        </is>
      </c>
      <c r="B22" t="inlineStr">
        <is>
          <t>25 家</t>
        </is>
      </c>
    </row>
    <row r="23">
      <c r="A23" t="inlineStr">
        <is>
          <t>總贊助金額</t>
        </is>
      </c>
      <c r="B23" t="inlineStr">
        <is>
          <t>NTD 3,627,500（不含市集聚合與台北市政府收入）</t>
        </is>
      </c>
    </row>
    <row r="24">
      <c r="A24" t="inlineStr"/>
      <c r="B24" t="inlineStr"/>
    </row>
    <row r="25">
      <c r="A25" s="2">
        <f>== 主級別分布 ===</f>
        <v/>
      </c>
      <c r="B25" t="inlineStr"/>
    </row>
    <row r="26">
      <c r="A26" t="inlineStr">
        <is>
          <t xml:space="preserve">  T1 (≥800k)</t>
        </is>
      </c>
      <c r="B26" t="inlineStr">
        <is>
          <t>0 家</t>
        </is>
      </c>
    </row>
    <row r="27">
      <c r="A27" t="inlineStr">
        <is>
          <t xml:space="preserve">  T2 (500-799k)</t>
        </is>
      </c>
      <c r="B27" t="inlineStr">
        <is>
          <t>1 家</t>
        </is>
      </c>
    </row>
    <row r="28">
      <c r="A28" t="inlineStr">
        <is>
          <t xml:space="preserve">  T3 (300-499k)</t>
        </is>
      </c>
      <c r="B28" t="inlineStr">
        <is>
          <t>0 家</t>
        </is>
      </c>
    </row>
    <row r="29">
      <c r="A29" t="inlineStr">
        <is>
          <t xml:space="preserve">  T4 (150-299k)</t>
        </is>
      </c>
      <c r="B29" t="inlineStr">
        <is>
          <t>12 家</t>
        </is>
      </c>
    </row>
    <row r="30">
      <c r="A30" t="inlineStr">
        <is>
          <t xml:space="preserve">  T5 (40-149k)</t>
        </is>
      </c>
      <c r="B30" t="inlineStr">
        <is>
          <t>14 家</t>
        </is>
      </c>
    </row>
    <row r="31">
      <c r="A31" t="inlineStr">
        <is>
          <t xml:space="preserve">  T6 (&lt;40k)</t>
        </is>
      </c>
      <c r="B31" t="inlineStr">
        <is>
          <t>8 家</t>
        </is>
      </c>
    </row>
    <row r="32">
      <c r="A32" t="inlineStr"/>
      <c r="B32" t="inlineStr"/>
    </row>
    <row r="33">
      <c r="A33" s="2">
        <f>== 名稱對應（已自動套用）===</f>
        <v/>
      </c>
      <c r="B33" t="inlineStr"/>
    </row>
    <row r="34">
      <c r="A34" t="inlineStr">
        <is>
          <t>Les Park → 拉拉公園 (D0006)</t>
        </is>
      </c>
      <c r="B34" t="inlineStr">
        <is>
          <t>同 LesPark App</t>
        </is>
      </c>
    </row>
    <row r="35">
      <c r="A35" t="inlineStr">
        <is>
          <t>彩虹酷兒 → 彩虹酷兒健康文化中心 (D0022)</t>
        </is>
      </c>
      <c r="B35" t="inlineStr">
        <is>
          <t>同 NGO 簡稱</t>
        </is>
      </c>
    </row>
    <row r="36">
      <c r="A36" t="inlineStr">
        <is>
          <t>英諾美 → 英諾美生物科技 (D0041)</t>
        </is>
      </c>
      <c r="B36" t="inlineStr">
        <is>
          <t>同公司簡稱</t>
        </is>
      </c>
    </row>
    <row r="37">
      <c r="A37" t="inlineStr">
        <is>
          <t>GSTAR → G-Star (D0032)</t>
        </is>
      </c>
      <c r="B37" t="inlineStr">
        <is>
          <t>同品牌不同寫法（有/無連字號）</t>
        </is>
      </c>
    </row>
    <row r="38">
      <c r="A38" t="inlineStr"/>
      <c r="B38" t="inlineStr"/>
    </row>
    <row r="39">
      <c r="A39" s="2">
        <f>== ⚠️ 需你確認的廠商身分 ===</f>
        <v/>
      </c>
      <c r="B39" t="inlineStr"/>
    </row>
    <row r="40">
      <c r="A40" t="inlineStr">
        <is>
          <t>紅樓 (12k) ≠ 紅樓友善商家聯盟 (D0030, 250k 2019)?</t>
        </is>
      </c>
      <c r="B40" t="inlineStr">
        <is>
          <t>名稱不同（聯盟 vs 單一），且金額落差大（250k → 12k）。目前【視為新進】。</t>
        </is>
      </c>
    </row>
    <row r="41">
      <c r="A41" t="inlineStr">
        <is>
          <t>辻利茶舖 (D0001)</t>
        </is>
      </c>
      <c r="B41" t="inlineStr">
        <is>
          <t>2017 後跳過 2018-2019 → 2020 以 20k 回流（2019 的「茶鋪」可能是它）</t>
        </is>
      </c>
    </row>
    <row r="42">
      <c r="A42" t="inlineStr"/>
      <c r="B42" t="inlineStr"/>
    </row>
    <row r="43">
      <c r="A43" s="2">
        <f>== 已忽略的資料（聚合或非個別贊助）===</f>
        <v/>
      </c>
      <c r="B43" t="inlineStr"/>
    </row>
    <row r="44">
      <c r="A44" t="inlineStr">
        <is>
          <t>社運車 6輛 78k</t>
        </is>
      </c>
      <c r="B44" t="inlineStr">
        <is>
          <t>社運團體聚合，無個別廠商記錄</t>
        </is>
      </c>
    </row>
    <row r="45">
      <c r="A45" t="inlineStr">
        <is>
          <t>友善飯店 15k（西門松山維多樂賦世民）</t>
        </is>
      </c>
      <c r="B45" t="inlineStr">
        <is>
          <t>5 家飯店聚合，無個別金額拆分</t>
        </is>
      </c>
    </row>
    <row r="46">
      <c r="A46" t="inlineStr">
        <is>
          <t>台北市政府收入 300k</t>
        </is>
      </c>
      <c r="B46" t="inlineStr">
        <is>
          <t>政府補助，非商業贊助</t>
        </is>
      </c>
    </row>
    <row r="47">
      <c r="A47" t="inlineStr">
        <is>
          <t>市集 獨立300k／合併155k／NGO94.5k</t>
        </is>
      </c>
      <c r="B47" t="inlineStr">
        <is>
          <t>3 種市集棚位類型聚合，無個別攤位記錄</t>
        </is>
      </c>
    </row>
    <row r="48">
      <c r="A48" t="inlineStr">
        <is>
          <t>車8（空欄）</t>
        </is>
      </c>
      <c r="B48" t="inlineStr">
        <is>
          <t>當年第 8 商業車位無人認購</t>
        </is>
      </c>
    </row>
    <row r="49">
      <c r="A49" t="inlineStr"/>
      <c r="B49" t="inlineStr"/>
    </row>
    <row r="50">
      <c r="A50" s="2">
        <f>== 重要備註 ===</f>
        <v/>
      </c>
      <c r="B50" t="inlineStr"/>
    </row>
    <row r="51">
      <c r="A51" t="inlineStr">
        <is>
          <t>GILEAD</t>
        </is>
      </c>
      <c r="B51" t="inlineStr">
        <is>
          <t>🌟 黃金級唯一名額連續 2 年（2019 + 2020），首次升級含空飄球加購 60k</t>
        </is>
      </c>
    </row>
    <row r="52">
      <c r="A52" t="inlineStr">
        <is>
          <t>Google／Foodpanda／Unilever／Microsoft／TINDER</t>
        </is>
      </c>
      <c r="B52" t="inlineStr">
        <is>
          <t>國際科技品牌大量加入銀級，DEI 議題持續擴散</t>
        </is>
      </c>
    </row>
    <row r="53">
      <c r="A53" t="inlineStr">
        <is>
          <t>PINKOI 銀級10</t>
        </is>
      </c>
      <c r="B53" t="inlineStr">
        <is>
          <t>160k「換 15 頂帳篷」— 以服務交換贊助</t>
        </is>
      </c>
    </row>
    <row r="54">
      <c r="A54" t="inlineStr">
        <is>
          <t>Microsoft、GSK</t>
        </is>
      </c>
      <c r="B54" t="inlineStr">
        <is>
          <t>備註「換主舞台廣告」— 表示原本是廣告品項，後升級為銀級</t>
        </is>
      </c>
    </row>
    <row r="55">
      <c r="A55" t="inlineStr">
        <is>
          <t>紅樓 12k</t>
        </is>
      </c>
      <c r="B55" t="inlineStr">
        <is>
          <t>DM A6 廣告升級，可能與 D0030 紅樓友善商家聯盟相關，待你確認</t>
        </is>
      </c>
    </row>
    <row r="56">
      <c r="A56" t="inlineStr">
        <is>
          <t>辻利茶舖回流</t>
        </is>
      </c>
      <c r="B56" t="inlineStr">
        <is>
          <t>2017 → 2020 跳過 2-3 年後再次贊助</t>
        </is>
      </c>
    </row>
    <row r="57">
      <c r="A57" t="inlineStr">
        <is>
          <t>戶戶送流失</t>
        </is>
      </c>
      <c r="B57" t="inlineStr">
        <is>
          <t>2019 報價 300k 後 2020 完全消失（可能受疫情影響）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8" customWidth="1" min="4" max="4"/>
    <col width="12" customWidth="1" min="5" max="5"/>
    <col width="7" customWidth="1" min="6" max="6"/>
    <col width="9" customWidth="1" min="7" max="7"/>
    <col width="9" customWidth="1" min="8" max="8"/>
    <col width="12" customWidth="1" min="9" max="9"/>
    <col width="17" customWidth="1" min="10" max="10"/>
    <col width="10" customWidth="1" min="11" max="11"/>
    <col width="10" customWidth="1" min="12" max="12"/>
    <col width="45" customWidth="1" min="13" max="13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英文名稱</t>
        </is>
      </c>
      <c r="D1" s="3" t="inlineStr">
        <is>
          <t>別名清單</t>
        </is>
      </c>
      <c r="E1" s="3" t="inlineStr">
        <is>
          <t>產業分類</t>
        </is>
      </c>
      <c r="F1" s="3" t="inlineStr">
        <is>
          <t>母公司</t>
        </is>
      </c>
      <c r="G1" s="3" t="inlineStr">
        <is>
          <t>首次贊助年</t>
        </is>
      </c>
      <c r="H1" s="3" t="inlineStr">
        <is>
          <t>最近贊助年</t>
        </is>
      </c>
      <c r="I1" s="3" t="inlineStr">
        <is>
          <t>累積贊助金額</t>
        </is>
      </c>
      <c r="J1" s="3" t="inlineStr">
        <is>
          <t>客戶生命週期階段</t>
        </is>
      </c>
      <c r="K1" s="3" t="inlineStr">
        <is>
          <t>曾為級別廠商</t>
        </is>
      </c>
      <c r="L1" s="3" t="inlineStr">
        <is>
          <t>曾為市集攤位</t>
        </is>
      </c>
      <c r="M1" s="3" t="inlineStr">
        <is>
          <t>備註</t>
        </is>
      </c>
    </row>
    <row r="2">
      <c r="A2" t="inlineStr">
        <is>
          <t>D0051</t>
        </is>
      </c>
      <c r="B2" t="inlineStr">
        <is>
          <t>redbull</t>
        </is>
      </c>
      <c r="C2" t="inlineStr">
        <is>
          <t>redbull</t>
        </is>
      </c>
      <c r="D2" t="inlineStr"/>
      <c r="E2" t="inlineStr">
        <is>
          <t>飲料</t>
        </is>
      </c>
      <c r="F2" t="inlineStr"/>
      <c r="G2" t="n">
        <v>2020</v>
      </c>
      <c r="H2" t="n">
        <v>2020</v>
      </c>
      <c r="I2" t="n">
        <v>180000</v>
      </c>
      <c r="J2" t="inlineStr">
        <is>
          <t>🆕 Acquisition</t>
        </is>
      </c>
      <c r="K2" t="inlineStr">
        <is>
          <t>是</t>
        </is>
      </c>
      <c r="L2" t="inlineStr">
        <is>
          <t>否</t>
        </is>
      </c>
      <c r="M2" t="inlineStr"/>
    </row>
    <row r="3">
      <c r="A3" t="inlineStr">
        <is>
          <t>D0052</t>
        </is>
      </c>
      <c r="B3" t="inlineStr">
        <is>
          <t>GSK</t>
        </is>
      </c>
      <c r="C3" t="inlineStr">
        <is>
          <t>GSK</t>
        </is>
      </c>
      <c r="D3" t="inlineStr"/>
      <c r="E3" t="inlineStr">
        <is>
          <t>醫藥</t>
        </is>
      </c>
      <c r="F3" t="inlineStr"/>
      <c r="G3" t="n">
        <v>2020</v>
      </c>
      <c r="H3" t="n">
        <v>2020</v>
      </c>
      <c r="I3" t="n">
        <v>160000</v>
      </c>
      <c r="J3" t="inlineStr">
        <is>
          <t>🆕 Acquisition</t>
        </is>
      </c>
      <c r="K3" t="inlineStr">
        <is>
          <t>是</t>
        </is>
      </c>
      <c r="L3" t="inlineStr">
        <is>
          <t>否</t>
        </is>
      </c>
      <c r="M3" t="inlineStr"/>
    </row>
    <row r="4">
      <c r="A4" t="inlineStr">
        <is>
          <t>D0053</t>
        </is>
      </c>
      <c r="B4" t="inlineStr">
        <is>
          <t>磊山</t>
        </is>
      </c>
      <c r="C4" t="inlineStr"/>
      <c r="D4" t="inlineStr"/>
      <c r="E4" t="inlineStr">
        <is>
          <t>保險</t>
        </is>
      </c>
      <c r="F4" t="inlineStr"/>
      <c r="G4" t="n">
        <v>2020</v>
      </c>
      <c r="H4" t="n">
        <v>2020</v>
      </c>
      <c r="I4" t="n">
        <v>160000</v>
      </c>
      <c r="J4" t="inlineStr">
        <is>
          <t>🆕 Acquisition</t>
        </is>
      </c>
      <c r="K4" t="inlineStr">
        <is>
          <t>是</t>
        </is>
      </c>
      <c r="L4" t="inlineStr">
        <is>
          <t>否</t>
        </is>
      </c>
      <c r="M4" t="inlineStr"/>
    </row>
    <row r="5">
      <c r="A5" t="inlineStr">
        <is>
          <t>D0054</t>
        </is>
      </c>
      <c r="B5" t="inlineStr">
        <is>
          <t>TINDER</t>
        </is>
      </c>
      <c r="C5" t="inlineStr">
        <is>
          <t>TINDER</t>
        </is>
      </c>
      <c r="D5" t="inlineStr"/>
      <c r="E5" t="inlineStr">
        <is>
          <t>社交軟體</t>
        </is>
      </c>
      <c r="F5" t="inlineStr"/>
      <c r="G5" t="n">
        <v>2020</v>
      </c>
      <c r="H5" t="n">
        <v>2020</v>
      </c>
      <c r="I5" t="n">
        <v>160000</v>
      </c>
      <c r="J5" t="inlineStr">
        <is>
          <t>🆕 Acquisition</t>
        </is>
      </c>
      <c r="K5" t="inlineStr">
        <is>
          <t>是</t>
        </is>
      </c>
      <c r="L5" t="inlineStr">
        <is>
          <t>否</t>
        </is>
      </c>
      <c r="M5" t="inlineStr"/>
    </row>
    <row r="6">
      <c r="A6" t="inlineStr">
        <is>
          <t>D0055</t>
        </is>
      </c>
      <c r="B6" t="inlineStr">
        <is>
          <t>Microsoft</t>
        </is>
      </c>
      <c r="C6" t="inlineStr">
        <is>
          <t>Microsoft</t>
        </is>
      </c>
      <c r="D6" t="inlineStr"/>
      <c r="E6" t="inlineStr">
        <is>
          <t>科技／網路</t>
        </is>
      </c>
      <c r="F6" t="inlineStr"/>
      <c r="G6" t="n">
        <v>2020</v>
      </c>
      <c r="H6" t="n">
        <v>2020</v>
      </c>
      <c r="I6" t="n">
        <v>160000</v>
      </c>
      <c r="J6" t="inlineStr">
        <is>
          <t>🆕 Acquisition</t>
        </is>
      </c>
      <c r="K6" t="inlineStr">
        <is>
          <t>是</t>
        </is>
      </c>
      <c r="L6" t="inlineStr">
        <is>
          <t>否</t>
        </is>
      </c>
      <c r="M6" t="inlineStr"/>
    </row>
    <row r="7">
      <c r="A7" t="inlineStr">
        <is>
          <t>D0056</t>
        </is>
      </c>
      <c r="B7" t="inlineStr">
        <is>
          <t>台灣百健</t>
        </is>
      </c>
      <c r="C7" t="inlineStr"/>
      <c r="D7" t="inlineStr"/>
      <c r="E7" t="inlineStr">
        <is>
          <t>生技醫藥</t>
        </is>
      </c>
      <c r="F7" t="inlineStr"/>
      <c r="G7" t="n">
        <v>2020</v>
      </c>
      <c r="H7" t="n">
        <v>2020</v>
      </c>
      <c r="I7" t="n">
        <v>160000</v>
      </c>
      <c r="J7" t="inlineStr">
        <is>
          <t>🆕 Acquisition</t>
        </is>
      </c>
      <c r="K7" t="inlineStr">
        <is>
          <t>是</t>
        </is>
      </c>
      <c r="L7" t="inlineStr">
        <is>
          <t>否</t>
        </is>
      </c>
      <c r="M7" t="inlineStr"/>
    </row>
    <row r="8">
      <c r="A8" t="inlineStr">
        <is>
          <t>D0057</t>
        </is>
      </c>
      <c r="B8" t="inlineStr">
        <is>
          <t>Foodpanda</t>
        </is>
      </c>
      <c r="C8" t="inlineStr">
        <is>
          <t>Foodpanda</t>
        </is>
      </c>
      <c r="D8" t="inlineStr"/>
      <c r="E8" t="inlineStr">
        <is>
          <t>科技／外送</t>
        </is>
      </c>
      <c r="F8" t="inlineStr"/>
      <c r="G8" t="n">
        <v>2020</v>
      </c>
      <c r="H8" t="n">
        <v>2020</v>
      </c>
      <c r="I8" t="n">
        <v>160000</v>
      </c>
      <c r="J8" t="inlineStr">
        <is>
          <t>🆕 Acquisition</t>
        </is>
      </c>
      <c r="K8" t="inlineStr">
        <is>
          <t>是</t>
        </is>
      </c>
      <c r="L8" t="inlineStr">
        <is>
          <t>否</t>
        </is>
      </c>
      <c r="M8" t="inlineStr"/>
    </row>
    <row r="9">
      <c r="A9" t="inlineStr">
        <is>
          <t>D0058</t>
        </is>
      </c>
      <c r="B9" t="inlineStr">
        <is>
          <t>Unilever</t>
        </is>
      </c>
      <c r="C9" t="inlineStr">
        <is>
          <t>Unilever</t>
        </is>
      </c>
      <c r="D9" t="inlineStr"/>
      <c r="E9" t="inlineStr">
        <is>
          <t>民生消費</t>
        </is>
      </c>
      <c r="F9" t="inlineStr"/>
      <c r="G9" t="n">
        <v>2020</v>
      </c>
      <c r="H9" t="n">
        <v>2020</v>
      </c>
      <c r="I9" t="n">
        <v>160000</v>
      </c>
      <c r="J9" t="inlineStr">
        <is>
          <t>🆕 Acquisition</t>
        </is>
      </c>
      <c r="K9" t="inlineStr">
        <is>
          <t>是</t>
        </is>
      </c>
      <c r="L9" t="inlineStr">
        <is>
          <t>否</t>
        </is>
      </c>
      <c r="M9" t="inlineStr"/>
    </row>
    <row r="10">
      <c r="A10" t="inlineStr">
        <is>
          <t>D0059</t>
        </is>
      </c>
      <c r="B10" t="inlineStr">
        <is>
          <t>PINKOI</t>
        </is>
      </c>
      <c r="C10" t="inlineStr">
        <is>
          <t>PINKOI</t>
        </is>
      </c>
      <c r="D10" t="inlineStr"/>
      <c r="E10" t="inlineStr">
        <is>
          <t>電商／文創</t>
        </is>
      </c>
      <c r="F10" t="inlineStr"/>
      <c r="G10" t="n">
        <v>2020</v>
      </c>
      <c r="H10" t="n">
        <v>2020</v>
      </c>
      <c r="I10" t="n">
        <v>160000</v>
      </c>
      <c r="J10" t="inlineStr">
        <is>
          <t>🆕 Acquisition</t>
        </is>
      </c>
      <c r="K10" t="inlineStr">
        <is>
          <t>是</t>
        </is>
      </c>
      <c r="L10" t="inlineStr">
        <is>
          <t>否</t>
        </is>
      </c>
      <c r="M10" t="inlineStr"/>
    </row>
    <row r="11">
      <c r="A11" t="inlineStr">
        <is>
          <t>D0060</t>
        </is>
      </c>
      <c r="B11" t="inlineStr">
        <is>
          <t>澤豐</t>
        </is>
      </c>
      <c r="C11" t="inlineStr"/>
      <c r="D11" t="inlineStr"/>
      <c r="E11" t="inlineStr">
        <is>
          <t>製造（原物料）</t>
        </is>
      </c>
      <c r="F11" t="inlineStr"/>
      <c r="G11" t="n">
        <v>2020</v>
      </c>
      <c r="H11" t="n">
        <v>2020</v>
      </c>
      <c r="I11" t="n">
        <v>102000</v>
      </c>
      <c r="J11" t="inlineStr">
        <is>
          <t>🆕 Acquisition</t>
        </is>
      </c>
      <c r="K11" t="inlineStr">
        <is>
          <t>是</t>
        </is>
      </c>
      <c r="L11" t="inlineStr">
        <is>
          <t>否</t>
        </is>
      </c>
      <c r="M11" t="inlineStr"/>
    </row>
    <row r="12">
      <c r="A12" t="inlineStr">
        <is>
          <t>D0061</t>
        </is>
      </c>
      <c r="B12" t="inlineStr">
        <is>
          <t>Klook</t>
        </is>
      </c>
      <c r="C12" t="inlineStr">
        <is>
          <t>Klook</t>
        </is>
      </c>
      <c r="D12" t="inlineStr"/>
      <c r="E12" t="inlineStr">
        <is>
          <t>科技／旅遊</t>
        </is>
      </c>
      <c r="F12" t="inlineStr"/>
      <c r="G12" t="n">
        <v>2020</v>
      </c>
      <c r="H12" t="n">
        <v>2020</v>
      </c>
      <c r="I12" t="n">
        <v>80000</v>
      </c>
      <c r="J12" t="inlineStr">
        <is>
          <t>🆕 Acquisition</t>
        </is>
      </c>
      <c r="K12" t="inlineStr">
        <is>
          <t>是</t>
        </is>
      </c>
      <c r="L12" t="inlineStr">
        <is>
          <t>否</t>
        </is>
      </c>
      <c r="M12" t="inlineStr"/>
    </row>
    <row r="13">
      <c r="A13" t="inlineStr">
        <is>
          <t>D0062</t>
        </is>
      </c>
      <c r="B13" t="inlineStr">
        <is>
          <t>台虎</t>
        </is>
      </c>
      <c r="C13" t="inlineStr"/>
      <c r="D13" t="inlineStr"/>
      <c r="E13" t="inlineStr">
        <is>
          <t>餐飲（精釀啤酒）</t>
        </is>
      </c>
      <c r="F13" t="inlineStr"/>
      <c r="G13" t="n">
        <v>2020</v>
      </c>
      <c r="H13" t="n">
        <v>2020</v>
      </c>
      <c r="I13" t="n">
        <v>80000</v>
      </c>
      <c r="J13" t="inlineStr">
        <is>
          <t>🆕 Acquisition</t>
        </is>
      </c>
      <c r="K13" t="inlineStr">
        <is>
          <t>是</t>
        </is>
      </c>
      <c r="L13" t="inlineStr">
        <is>
          <t>否</t>
        </is>
      </c>
      <c r="M13" t="inlineStr"/>
    </row>
    <row r="14">
      <c r="A14" t="inlineStr">
        <is>
          <t>D0063</t>
        </is>
      </c>
      <c r="B14" t="inlineStr">
        <is>
          <t>獨角落</t>
        </is>
      </c>
      <c r="C14" t="inlineStr"/>
      <c r="D14" t="inlineStr"/>
      <c r="E14" t="inlineStr">
        <is>
          <t>文創</t>
        </is>
      </c>
      <c r="F14" t="inlineStr"/>
      <c r="G14" t="n">
        <v>2020</v>
      </c>
      <c r="H14" t="n">
        <v>2020</v>
      </c>
      <c r="I14" t="n">
        <v>70000</v>
      </c>
      <c r="J14" t="inlineStr">
        <is>
          <t>🆕 Acquisition</t>
        </is>
      </c>
      <c r="K14" t="inlineStr">
        <is>
          <t>是</t>
        </is>
      </c>
      <c r="L14" t="inlineStr">
        <is>
          <t>否</t>
        </is>
      </c>
      <c r="M14" t="inlineStr"/>
    </row>
    <row r="15">
      <c r="A15" t="inlineStr">
        <is>
          <t>D0064</t>
        </is>
      </c>
      <c r="B15" t="inlineStr">
        <is>
          <t>瑪莉珍比薩</t>
        </is>
      </c>
      <c r="C15" t="inlineStr"/>
      <c r="D15" t="inlineStr"/>
      <c r="E15" t="inlineStr">
        <is>
          <t>餐飲</t>
        </is>
      </c>
      <c r="F15" t="inlineStr"/>
      <c r="G15" t="n">
        <v>2020</v>
      </c>
      <c r="H15" t="n">
        <v>2020</v>
      </c>
      <c r="I15" t="n">
        <v>70000</v>
      </c>
      <c r="J15" t="inlineStr">
        <is>
          <t>🆕 Acquisition</t>
        </is>
      </c>
      <c r="K15" t="inlineStr">
        <is>
          <t>是</t>
        </is>
      </c>
      <c r="L15" t="inlineStr">
        <is>
          <t>否</t>
        </is>
      </c>
      <c r="M15" t="inlineStr"/>
    </row>
    <row r="16">
      <c r="A16" t="inlineStr">
        <is>
          <t>D0065</t>
        </is>
      </c>
      <c r="B16" t="inlineStr">
        <is>
          <t>SONY</t>
        </is>
      </c>
      <c r="C16" t="inlineStr">
        <is>
          <t>SONY</t>
        </is>
      </c>
      <c r="D16" t="inlineStr"/>
      <c r="E16" t="inlineStr">
        <is>
          <t>電子／娛樂</t>
        </is>
      </c>
      <c r="F16" t="inlineStr"/>
      <c r="G16" t="n">
        <v>2020</v>
      </c>
      <c r="H16" t="n">
        <v>2020</v>
      </c>
      <c r="I16" t="n">
        <v>70000</v>
      </c>
      <c r="J16" t="inlineStr">
        <is>
          <t>🆕 Acquisition</t>
        </is>
      </c>
      <c r="K16" t="inlineStr">
        <is>
          <t>是</t>
        </is>
      </c>
      <c r="L16" t="inlineStr">
        <is>
          <t>否</t>
        </is>
      </c>
      <c r="M16" t="inlineStr"/>
    </row>
    <row r="17">
      <c r="A17" t="inlineStr">
        <is>
          <t>D0066</t>
        </is>
      </c>
      <c r="B17" t="inlineStr">
        <is>
          <t>GOLIN</t>
        </is>
      </c>
      <c r="C17" t="inlineStr">
        <is>
          <t>GOLIN</t>
        </is>
      </c>
      <c r="D17" t="inlineStr"/>
      <c r="E17" t="inlineStr">
        <is>
          <t>公關／行銷</t>
        </is>
      </c>
      <c r="F17" t="inlineStr"/>
      <c r="G17" t="n">
        <v>2020</v>
      </c>
      <c r="H17" t="n">
        <v>2020</v>
      </c>
      <c r="I17" t="n">
        <v>70000</v>
      </c>
      <c r="J17" t="inlineStr">
        <is>
          <t>🆕 Acquisition</t>
        </is>
      </c>
      <c r="K17" t="inlineStr">
        <is>
          <t>是</t>
        </is>
      </c>
      <c r="L17" t="inlineStr">
        <is>
          <t>否</t>
        </is>
      </c>
      <c r="M17" t="inlineStr"/>
    </row>
    <row r="18">
      <c r="A18" t="inlineStr">
        <is>
          <t>D0067</t>
        </is>
      </c>
      <c r="B18" t="inlineStr">
        <is>
          <t>hyve solutions</t>
        </is>
      </c>
      <c r="C18" t="inlineStr">
        <is>
          <t>hyve solutions</t>
        </is>
      </c>
      <c r="D18" t="inlineStr"/>
      <c r="E18" t="inlineStr">
        <is>
          <t>科技</t>
        </is>
      </c>
      <c r="F18" t="inlineStr"/>
      <c r="G18" t="n">
        <v>2020</v>
      </c>
      <c r="H18" t="n">
        <v>2020</v>
      </c>
      <c r="I18" t="n">
        <v>60000</v>
      </c>
      <c r="J18" t="inlineStr">
        <is>
          <t>🆕 Acquisition</t>
        </is>
      </c>
      <c r="K18" t="inlineStr">
        <is>
          <t>是</t>
        </is>
      </c>
      <c r="L18" t="inlineStr">
        <is>
          <t>否</t>
        </is>
      </c>
      <c r="M18" t="inlineStr"/>
    </row>
    <row r="19">
      <c r="A19" t="inlineStr">
        <is>
          <t>D0068</t>
        </is>
      </c>
      <c r="B19" t="inlineStr">
        <is>
          <t>JACK D</t>
        </is>
      </c>
      <c r="C19" t="inlineStr">
        <is>
          <t>JACK D</t>
        </is>
      </c>
      <c r="D19" t="inlineStr"/>
      <c r="E19" t="inlineStr">
        <is>
          <t>社交軟體</t>
        </is>
      </c>
      <c r="F19" t="inlineStr"/>
      <c r="G19" t="n">
        <v>2020</v>
      </c>
      <c r="H19" t="n">
        <v>2020</v>
      </c>
      <c r="I19" t="n">
        <v>40000</v>
      </c>
      <c r="J19" t="inlineStr">
        <is>
          <t>🆕 Acquisition</t>
        </is>
      </c>
      <c r="K19" t="inlineStr">
        <is>
          <t>是</t>
        </is>
      </c>
      <c r="L19" t="inlineStr">
        <is>
          <t>否</t>
        </is>
      </c>
      <c r="M19" t="inlineStr"/>
    </row>
    <row r="20">
      <c r="A20" t="inlineStr">
        <is>
          <t>D0069</t>
        </is>
      </c>
      <c r="B20" t="inlineStr">
        <is>
          <t>熱線藥廠</t>
        </is>
      </c>
      <c r="C20" t="inlineStr"/>
      <c r="D20" t="inlineStr"/>
      <c r="E20" t="inlineStr">
        <is>
          <t>醫藥</t>
        </is>
      </c>
      <c r="F20" t="inlineStr"/>
      <c r="G20" t="n">
        <v>2020</v>
      </c>
      <c r="H20" t="n">
        <v>2020</v>
      </c>
      <c r="I20" t="n">
        <v>40000</v>
      </c>
      <c r="J20" t="inlineStr">
        <is>
          <t>🆕 Acquisition</t>
        </is>
      </c>
      <c r="K20" t="inlineStr">
        <is>
          <t>是</t>
        </is>
      </c>
      <c r="L20" t="inlineStr">
        <is>
          <t>否</t>
        </is>
      </c>
      <c r="M20" t="inlineStr"/>
    </row>
    <row r="21">
      <c r="A21" t="inlineStr">
        <is>
          <t>D0070</t>
        </is>
      </c>
      <c r="B21" t="inlineStr">
        <is>
          <t>HotelCom</t>
        </is>
      </c>
      <c r="C21" t="inlineStr">
        <is>
          <t>HotelCom</t>
        </is>
      </c>
      <c r="D21" t="inlineStr"/>
      <c r="E21" t="inlineStr">
        <is>
          <t>飯店訂房</t>
        </is>
      </c>
      <c r="F21" t="inlineStr"/>
      <c r="G21" t="n">
        <v>2020</v>
      </c>
      <c r="H21" t="n">
        <v>2020</v>
      </c>
      <c r="I21" t="n">
        <v>30000</v>
      </c>
      <c r="J21" t="inlineStr">
        <is>
          <t>🆕 Acquisition</t>
        </is>
      </c>
      <c r="K21" t="inlineStr">
        <is>
          <t>是</t>
        </is>
      </c>
      <c r="L21" t="inlineStr">
        <is>
          <t>否</t>
        </is>
      </c>
      <c r="M21" t="inlineStr"/>
    </row>
    <row r="22">
      <c r="A22" t="inlineStr">
        <is>
          <t>D0071</t>
        </is>
      </c>
      <c r="B22" t="inlineStr">
        <is>
          <t>放駟科技</t>
        </is>
      </c>
      <c r="C22" t="inlineStr"/>
      <c r="D22" t="inlineStr"/>
      <c r="E22" t="inlineStr">
        <is>
          <t>科技</t>
        </is>
      </c>
      <c r="F22" t="inlineStr"/>
      <c r="G22" t="n">
        <v>2020</v>
      </c>
      <c r="H22" t="n">
        <v>2020</v>
      </c>
      <c r="I22" t="n">
        <v>20000</v>
      </c>
      <c r="J22" t="inlineStr">
        <is>
          <t>🆕 Acquisition</t>
        </is>
      </c>
      <c r="K22" t="inlineStr">
        <is>
          <t>是</t>
        </is>
      </c>
      <c r="L22" t="inlineStr">
        <is>
          <t>否</t>
        </is>
      </c>
      <c r="M22" t="inlineStr"/>
    </row>
    <row r="23">
      <c r="A23" t="inlineStr">
        <is>
          <t>D0072</t>
        </is>
      </c>
      <c r="B23" t="inlineStr">
        <is>
          <t>大安金普頓</t>
        </is>
      </c>
      <c r="C23" t="inlineStr"/>
      <c r="D23" t="inlineStr"/>
      <c r="E23" t="inlineStr">
        <is>
          <t>飯店</t>
        </is>
      </c>
      <c r="F23" t="inlineStr"/>
      <c r="G23" t="n">
        <v>2020</v>
      </c>
      <c r="H23" t="n">
        <v>2020</v>
      </c>
      <c r="I23" t="n">
        <v>18000</v>
      </c>
      <c r="J23" t="inlineStr">
        <is>
          <t>🆕 Acquisition</t>
        </is>
      </c>
      <c r="K23" t="inlineStr">
        <is>
          <t>是</t>
        </is>
      </c>
      <c r="L23" t="inlineStr">
        <is>
          <t>否</t>
        </is>
      </c>
      <c r="M23" t="inlineStr"/>
    </row>
    <row r="24">
      <c r="A24" t="inlineStr">
        <is>
          <t>D0073</t>
        </is>
      </c>
      <c r="B24" t="inlineStr">
        <is>
          <t>ANASIUM 艾納舒</t>
        </is>
      </c>
      <c r="C24" t="inlineStr">
        <is>
          <t>ANASIUM 艾納舒</t>
        </is>
      </c>
      <c r="D24" t="inlineStr"/>
      <c r="E24" t="inlineStr">
        <is>
          <t>保健</t>
        </is>
      </c>
      <c r="F24" t="inlineStr"/>
      <c r="G24" t="n">
        <v>2020</v>
      </c>
      <c r="H24" t="n">
        <v>2020</v>
      </c>
      <c r="I24" t="n">
        <v>15000</v>
      </c>
      <c r="J24" t="inlineStr">
        <is>
          <t>🆕 Acquisition</t>
        </is>
      </c>
      <c r="K24" t="inlineStr">
        <is>
          <t>是</t>
        </is>
      </c>
      <c r="L24" t="inlineStr">
        <is>
          <t>否</t>
        </is>
      </c>
      <c r="M24" t="inlineStr"/>
    </row>
    <row r="25">
      <c r="A25" t="inlineStr">
        <is>
          <t>D0074</t>
        </is>
      </c>
      <c r="B25" t="inlineStr">
        <is>
          <t>18歲公民聯盟</t>
        </is>
      </c>
      <c r="C25" t="inlineStr"/>
      <c r="D25" t="inlineStr"/>
      <c r="E25" t="inlineStr">
        <is>
          <t>公益／NGO</t>
        </is>
      </c>
      <c r="F25" t="inlineStr"/>
      <c r="G25" t="n">
        <v>2020</v>
      </c>
      <c r="H25" t="n">
        <v>2020</v>
      </c>
      <c r="I25" t="n">
        <v>15000</v>
      </c>
      <c r="J25" t="inlineStr">
        <is>
          <t>🆕 Acquisition</t>
        </is>
      </c>
      <c r="K25" t="inlineStr">
        <is>
          <t>是</t>
        </is>
      </c>
      <c r="L25" t="inlineStr">
        <is>
          <t>否</t>
        </is>
      </c>
      <c r="M25" t="inlineStr"/>
    </row>
    <row r="26">
      <c r="A26" t="inlineStr">
        <is>
          <t>D0075</t>
        </is>
      </c>
      <c r="B26" t="inlineStr">
        <is>
          <t>紅樓</t>
        </is>
      </c>
      <c r="C26" t="inlineStr"/>
      <c r="D26" t="inlineStr"/>
      <c r="E26" t="inlineStr">
        <is>
          <t>餐飲／商圈</t>
        </is>
      </c>
      <c r="F26" t="inlineStr"/>
      <c r="G26" t="n">
        <v>2020</v>
      </c>
      <c r="H26" t="n">
        <v>2020</v>
      </c>
      <c r="I26" t="n">
        <v>12000</v>
      </c>
      <c r="J26" t="inlineStr">
        <is>
          <t>🆕 Acquisition</t>
        </is>
      </c>
      <c r="K26" t="inlineStr">
        <is>
          <t>是</t>
        </is>
      </c>
      <c r="L26" t="inlineStr">
        <is>
          <t>否</t>
        </is>
      </c>
      <c r="M26" t="inlineStr">
        <is>
          <t>⚠️ 可能與 D0030 紅樓友善商家聯盟同實體，金額差距大（250k vs 12k）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0" customWidth="1" min="5" max="5"/>
    <col width="13" customWidth="1" min="6" max="6"/>
    <col width="9" customWidth="1" min="7" max="7"/>
    <col width="10" customWidth="1" min="8" max="8"/>
    <col width="40" customWidth="1" min="9" max="9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總贊助金額（報價）</t>
        </is>
      </c>
      <c r="G1" s="3" t="inlineStr">
        <is>
          <t>該年級別數</t>
        </is>
      </c>
      <c r="H1" s="3" t="inlineStr">
        <is>
          <t>該年品項總數</t>
        </is>
      </c>
      <c r="I1" s="3" t="inlineStr">
        <is>
          <t>備註</t>
        </is>
      </c>
    </row>
    <row r="2">
      <c r="A2" t="n">
        <v>2020</v>
      </c>
      <c r="B2" t="n">
        <v>18</v>
      </c>
      <c r="C2" t="inlineStr">
        <is>
          <t>成人之美</t>
        </is>
      </c>
      <c r="D2" t="inlineStr">
        <is>
          <t>2020-10-31</t>
        </is>
      </c>
      <c r="E2" t="n">
        <v>35</v>
      </c>
      <c r="F2" t="n">
        <v>3627500</v>
      </c>
      <c r="G2" t="n">
        <v>4</v>
      </c>
      <c r="H2" t="n">
        <v>15</v>
      </c>
      <c r="I2" t="inlineStr">
        <is>
          <t>⭐ 級別制度更完善：黃金/銀級/頭車/商業車。COVID 年仍如期舉行。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5" customWidth="1" min="4" max="4"/>
    <col width="18" customWidth="1" min="5" max="5"/>
    <col width="29" customWidth="1" min="6" max="6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該年價格</t>
        </is>
      </c>
      <c r="D1" s="3" t="inlineStr">
        <is>
          <t>主級別代碼</t>
        </is>
      </c>
      <c r="E1" s="3" t="inlineStr">
        <is>
          <t>該年實際是否為最高級</t>
        </is>
      </c>
      <c r="F1" s="3" t="inlineStr">
        <is>
          <t>備註</t>
        </is>
      </c>
    </row>
    <row r="2">
      <c r="A2" t="n">
        <v>2020</v>
      </c>
      <c r="B2" t="inlineStr">
        <is>
          <t>黃金級</t>
        </is>
      </c>
      <c r="C2" t="n">
        <v>595000</v>
      </c>
      <c r="D2" t="inlineStr">
        <is>
          <t>T2</t>
        </is>
      </c>
      <c r="E2" t="inlineStr">
        <is>
          <t>是（GILEAD 唯一名額）</t>
        </is>
      </c>
      <c r="F2" t="inlineStr">
        <is>
          <t>含空飄球 60k 加購</t>
        </is>
      </c>
    </row>
    <row r="3">
      <c r="A3" t="n">
        <v>2020</v>
      </c>
      <c r="B3" t="inlineStr">
        <is>
          <t>銀級</t>
        </is>
      </c>
      <c r="C3" t="n">
        <v>160000</v>
      </c>
      <c r="D3" t="inlineStr">
        <is>
          <t>T4</t>
        </is>
      </c>
      <c r="E3" t="inlineStr">
        <is>
          <t>否</t>
        </is>
      </c>
      <c r="F3" t="inlineStr">
        <is>
          <t>11 家銀級廠商，2020 年定價統一為 160k</t>
        </is>
      </c>
    </row>
    <row r="4">
      <c r="A4" t="n">
        <v>2020</v>
      </c>
      <c r="B4" t="inlineStr">
        <is>
          <t>頭車</t>
        </is>
      </c>
      <c r="C4" t="n">
        <v>180000</v>
      </c>
      <c r="D4" t="inlineStr">
        <is>
          <t>T4</t>
        </is>
      </c>
      <c r="E4" t="inlineStr">
        <is>
          <t>否</t>
        </is>
      </c>
      <c r="F4" t="inlineStr">
        <is>
          <t>RedBull 領航商業車</t>
        </is>
      </c>
    </row>
    <row r="5">
      <c r="A5" t="n">
        <v>2020</v>
      </c>
      <c r="B5" t="inlineStr">
        <is>
          <t>商業車（車1-車8）</t>
        </is>
      </c>
      <c r="C5" t="inlineStr">
        <is>
          <t>70000-80000</t>
        </is>
      </c>
      <c r="D5" t="inlineStr">
        <is>
          <t>T5</t>
        </is>
      </c>
      <c r="E5" t="inlineStr">
        <is>
          <t>否</t>
        </is>
      </c>
      <c r="F5" t="inlineStr">
        <is>
          <t>7 家認購（車8空缺）</t>
        </is>
      </c>
    </row>
    <row r="6">
      <c r="A6" t="n">
        <v>2020</v>
      </c>
      <c r="B6" t="inlineStr">
        <is>
          <t>未分級</t>
        </is>
      </c>
      <c r="C6" t="inlineStr">
        <is>
          <t>12000-102000</t>
        </is>
      </c>
      <c r="D6" t="inlineStr">
        <is>
          <t>依金額對應 T5-T6</t>
        </is>
      </c>
      <c r="E6" t="inlineStr">
        <is>
          <t>—</t>
        </is>
      </c>
      <c r="F6" t="inlineStr">
        <is>
          <t>其餘廠商未進入級別制度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3" customWidth="1" min="4" max="4"/>
  </cols>
  <sheetData>
    <row r="1">
      <c r="A1" s="3" t="inlineStr">
        <is>
          <t>年度</t>
        </is>
      </c>
      <c r="B1" s="3" t="inlineStr">
        <is>
          <t>原始品項名稱</t>
        </is>
      </c>
      <c r="C1" s="3" t="inlineStr">
        <is>
          <t>主品項分類</t>
        </is>
      </c>
      <c r="D1" s="3" t="inlineStr">
        <is>
          <t>備註</t>
        </is>
      </c>
    </row>
    <row r="2">
      <c r="A2" t="n">
        <v>2020</v>
      </c>
      <c r="B2" t="inlineStr">
        <is>
          <t>黃金級內含包</t>
        </is>
      </c>
      <c r="C2" t="inlineStr">
        <is>
          <t>其他合作</t>
        </is>
      </c>
      <c r="D2" t="inlineStr">
        <is>
          <t>主視覺/新聞稿/官網廣告/IG軟文/FB軟文 等捆綁</t>
        </is>
      </c>
    </row>
    <row r="3">
      <c r="A3" t="n">
        <v>2020</v>
      </c>
      <c r="B3" t="inlineStr">
        <is>
          <t>銀級內含包</t>
        </is>
      </c>
      <c r="C3" t="inlineStr">
        <is>
          <t>其他合作</t>
        </is>
      </c>
      <c r="D3" t="inlineStr">
        <is>
          <t>主視覺/新聞稿/官網C-D廣告/IG軟文/FB軟文 等捆綁</t>
        </is>
      </c>
    </row>
    <row r="4">
      <c r="A4" t="n">
        <v>2020</v>
      </c>
      <c r="B4" t="inlineStr">
        <is>
          <t>空飄球</t>
        </is>
      </c>
      <c r="C4" t="inlineStr">
        <is>
          <t>其他合作</t>
        </is>
      </c>
      <c r="D4" t="inlineStr">
        <is>
          <t>GILEAD 加購</t>
        </is>
      </c>
    </row>
    <row r="5">
      <c r="A5" t="n">
        <v>2020</v>
      </c>
      <c r="B5" t="inlineStr">
        <is>
          <t>頭車</t>
        </is>
      </c>
      <c r="C5" t="inlineStr">
        <is>
          <t>花車</t>
        </is>
      </c>
      <c r="D5" t="inlineStr">
        <is>
          <t>RedBull 領航位</t>
        </is>
      </c>
    </row>
    <row r="6">
      <c r="A6" t="n">
        <v>2020</v>
      </c>
      <c r="B6" t="inlineStr">
        <is>
          <t>商業車（車1-車8）</t>
        </is>
      </c>
      <c r="C6" t="inlineStr">
        <is>
          <t>花車</t>
        </is>
      </c>
      <c r="D6" t="inlineStr">
        <is>
          <t>7 個位次</t>
        </is>
      </c>
    </row>
    <row r="7">
      <c r="A7" t="n">
        <v>2020</v>
      </c>
      <c r="B7" t="inlineStr">
        <is>
          <t>社運車</t>
        </is>
      </c>
      <c r="C7" t="inlineStr">
        <is>
          <t>花車</t>
        </is>
      </c>
      <c r="D7" t="inlineStr">
        <is>
          <t>社運團體聚合</t>
        </is>
      </c>
    </row>
    <row r="8">
      <c r="A8" t="n">
        <v>2020</v>
      </c>
      <c r="B8" t="inlineStr">
        <is>
          <t>主舞台兩側主廣告看板</t>
        </is>
      </c>
      <c r="C8" t="inlineStr">
        <is>
          <t>現場版位露出</t>
        </is>
      </c>
      <c r="D8" t="inlineStr">
        <is>
          <t>澤豐、Microsoft、GSK 換購</t>
        </is>
      </c>
    </row>
    <row r="9">
      <c r="A9" t="n">
        <v>2020</v>
      </c>
      <c r="B9" t="inlineStr">
        <is>
          <t>當日活動DM廣告 A A6</t>
        </is>
      </c>
      <c r="C9" t="inlineStr">
        <is>
          <t>印刷品贊助</t>
        </is>
      </c>
      <c r="D9" t="inlineStr">
        <is>
          <t>辻利茶舖、紅樓</t>
        </is>
      </c>
    </row>
    <row r="10">
      <c r="A10" t="n">
        <v>2020</v>
      </c>
      <c r="B10" t="inlineStr">
        <is>
          <t>DM A7</t>
        </is>
      </c>
      <c r="C10" t="inlineStr">
        <is>
          <t>印刷品贊助</t>
        </is>
      </c>
      <c r="D10" t="inlineStr">
        <is>
          <t>ANASIUM</t>
        </is>
      </c>
    </row>
    <row r="11">
      <c r="A11" t="n">
        <v>2020</v>
      </c>
      <c r="B11" t="inlineStr">
        <is>
          <t>官方網站廣告欄位 D</t>
        </is>
      </c>
      <c r="C11" t="inlineStr">
        <is>
          <t>線上版位露出</t>
        </is>
      </c>
      <c r="D11" t="inlineStr">
        <is>
          <t>英諾美</t>
        </is>
      </c>
    </row>
    <row r="12">
      <c r="A12" t="n">
        <v>2020</v>
      </c>
      <c r="B12" t="inlineStr">
        <is>
          <t>官方臉書粉絲頁滾動式橫幅</t>
        </is>
      </c>
      <c r="C12" t="inlineStr">
        <is>
          <t>線上版位露出</t>
        </is>
      </c>
      <c r="D12" t="inlineStr">
        <is>
          <t>放駟科技、台虎</t>
        </is>
      </c>
    </row>
    <row r="13">
      <c r="A13" t="n">
        <v>2020</v>
      </c>
      <c r="B13" t="inlineStr">
        <is>
          <t>官方IG粉絲頁軟文置入</t>
        </is>
      </c>
      <c r="C13" t="inlineStr">
        <is>
          <t>線上版位露出</t>
        </is>
      </c>
      <c r="D13" t="inlineStr">
        <is>
          <t>台虎</t>
        </is>
      </c>
    </row>
    <row r="14">
      <c r="A14" t="n">
        <v>2020</v>
      </c>
      <c r="B14" t="inlineStr">
        <is>
          <t>官方網站友善飯店推薦欄位 A</t>
        </is>
      </c>
      <c r="C14" t="inlineStr">
        <is>
          <t>線上版位露出</t>
        </is>
      </c>
      <c r="D14" t="inlineStr">
        <is>
          <t>大安金普頓</t>
        </is>
      </c>
    </row>
    <row r="15">
      <c r="A15" t="n">
        <v>2020</v>
      </c>
      <c r="B15" t="inlineStr">
        <is>
          <t>遊行現場活動資訊看板廣告欄位</t>
        </is>
      </c>
      <c r="C15" t="inlineStr">
        <is>
          <t>現場版位露出</t>
        </is>
      </c>
      <c r="D15" t="inlineStr">
        <is>
          <t>台虎、英諾美</t>
        </is>
      </c>
    </row>
    <row r="16">
      <c r="A16" t="n">
        <v>2020</v>
      </c>
      <c r="B16" t="inlineStr">
        <is>
          <t>小舞台</t>
        </is>
      </c>
      <c r="C16" t="inlineStr">
        <is>
          <t>現場版位露出</t>
        </is>
      </c>
      <c r="D16" t="inlineStr">
        <is>
          <t>18歲公民聯盟</t>
        </is>
      </c>
    </row>
    <row r="17">
      <c r="A17" t="n">
        <v>2020</v>
      </c>
      <c r="B17" t="inlineStr">
        <is>
          <t>獨立棚（級別內含）</t>
        </is>
      </c>
      <c r="C17" t="inlineStr">
        <is>
          <t>市集帳篷</t>
        </is>
      </c>
      <c r="D17" t="inlineStr">
        <is>
          <t>銀級多家含 1 帳棚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8" customWidth="1" min="4" max="4"/>
    <col width="10" customWidth="1" min="5" max="5"/>
    <col width="9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32" customWidth="1" min="12" max="12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所屬位次</t>
        </is>
      </c>
      <c r="I1" s="3" t="inlineStr">
        <is>
          <t>業務窗口</t>
        </is>
      </c>
      <c r="J1" s="3" t="inlineStr">
        <is>
          <t>付款狀態</t>
        </is>
      </c>
      <c r="K1" s="3" t="inlineStr">
        <is>
          <t>是否為新進</t>
        </is>
      </c>
      <c r="L1" s="3" t="inlineStr">
        <is>
          <t>備註</t>
        </is>
      </c>
    </row>
    <row r="2">
      <c r="A2" t="inlineStr">
        <is>
          <t>2020-D0028-01</t>
        </is>
      </c>
      <c r="B2" t="inlineStr">
        <is>
          <t>D0028</t>
        </is>
      </c>
      <c r="C2" t="inlineStr">
        <is>
          <t>GILEAD</t>
        </is>
      </c>
      <c r="D2" t="n">
        <v>2020</v>
      </c>
      <c r="E2" t="inlineStr">
        <is>
          <t>黃金級</t>
        </is>
      </c>
      <c r="F2" t="inlineStr">
        <is>
          <t>T2</t>
        </is>
      </c>
      <c r="G2" t="n">
        <v>595000</v>
      </c>
      <c r="H2" t="inlineStr">
        <is>
          <t>黃金級1</t>
        </is>
      </c>
      <c r="I2" t="inlineStr">
        <is>
          <t>KIRA</t>
        </is>
      </c>
      <c r="J2" t="inlineStr">
        <is>
          <t>已付款</t>
        </is>
      </c>
      <c r="K2" t="inlineStr">
        <is>
          <t>否</t>
        </is>
      </c>
      <c r="L2" t="inlineStr">
        <is>
          <t>🌟 黃金級連 2 年，含空飄球加購</t>
        </is>
      </c>
    </row>
    <row r="3">
      <c r="A3" t="inlineStr">
        <is>
          <t>2020-D0032-01</t>
        </is>
      </c>
      <c r="B3" t="inlineStr">
        <is>
          <t>D0032</t>
        </is>
      </c>
      <c r="C3" t="inlineStr">
        <is>
          <t>GSTAR</t>
        </is>
      </c>
      <c r="D3" t="n">
        <v>2020</v>
      </c>
      <c r="E3" t="inlineStr">
        <is>
          <t>銀級</t>
        </is>
      </c>
      <c r="F3" t="inlineStr">
        <is>
          <t>T4</t>
        </is>
      </c>
      <c r="G3" t="n">
        <v>160000</v>
      </c>
      <c r="H3" t="inlineStr">
        <is>
          <t>銀級5</t>
        </is>
      </c>
      <c r="I3" t="inlineStr">
        <is>
          <t>文斌</t>
        </is>
      </c>
      <c r="J3" t="inlineStr">
        <is>
          <t>已付款</t>
        </is>
      </c>
      <c r="K3" t="inlineStr">
        <is>
          <t>否</t>
        </is>
      </c>
      <c r="L3" t="inlineStr"/>
    </row>
    <row r="4">
      <c r="A4" t="inlineStr">
        <is>
          <t>2020-D0006-01</t>
        </is>
      </c>
      <c r="B4" t="inlineStr">
        <is>
          <t>D0006</t>
        </is>
      </c>
      <c r="C4" t="inlineStr">
        <is>
          <t>Les Park</t>
        </is>
      </c>
      <c r="D4" t="n">
        <v>2020</v>
      </c>
      <c r="E4" t="inlineStr">
        <is>
          <t>銀級</t>
        </is>
      </c>
      <c r="F4" t="inlineStr">
        <is>
          <t>T4</t>
        </is>
      </c>
      <c r="G4" t="n">
        <v>160000</v>
      </c>
      <c r="H4" t="inlineStr">
        <is>
          <t>銀級7</t>
        </is>
      </c>
      <c r="I4" t="inlineStr">
        <is>
          <t>文斌</t>
        </is>
      </c>
      <c r="J4" t="inlineStr">
        <is>
          <t>已付款</t>
        </is>
      </c>
      <c r="K4" t="inlineStr">
        <is>
          <t>否</t>
        </is>
      </c>
      <c r="L4" t="inlineStr"/>
    </row>
    <row r="5">
      <c r="A5" t="inlineStr">
        <is>
          <t>2020-D0037-01</t>
        </is>
      </c>
      <c r="B5" t="inlineStr">
        <is>
          <t>D0037</t>
        </is>
      </c>
      <c r="C5" t="inlineStr">
        <is>
          <t>Google</t>
        </is>
      </c>
      <c r="D5" t="n">
        <v>2020</v>
      </c>
      <c r="E5" t="inlineStr">
        <is>
          <t>銀級</t>
        </is>
      </c>
      <c r="F5" t="inlineStr">
        <is>
          <t>T4</t>
        </is>
      </c>
      <c r="G5" t="n">
        <v>160000</v>
      </c>
      <c r="H5" t="inlineStr">
        <is>
          <t>級級11</t>
        </is>
      </c>
      <c r="I5" t="inlineStr">
        <is>
          <t>Nicki</t>
        </is>
      </c>
      <c r="J5" t="inlineStr">
        <is>
          <t>已付款</t>
        </is>
      </c>
      <c r="K5" t="inlineStr">
        <is>
          <t>否</t>
        </is>
      </c>
      <c r="L5" t="inlineStr">
        <is>
          <t>帳款直接給廠商</t>
        </is>
      </c>
    </row>
    <row r="6">
      <c r="A6" t="inlineStr">
        <is>
          <t>2020-D0022-01</t>
        </is>
      </c>
      <c r="B6" t="inlineStr">
        <is>
          <t>D0022</t>
        </is>
      </c>
      <c r="C6" t="inlineStr">
        <is>
          <t>彩虹酷兒</t>
        </is>
      </c>
      <c r="D6" t="n">
        <v>2020</v>
      </c>
      <c r="E6" t="inlineStr">
        <is>
          <t>車</t>
        </is>
      </c>
      <c r="F6" t="inlineStr">
        <is>
          <t>T5</t>
        </is>
      </c>
      <c r="G6" t="n">
        <v>70000</v>
      </c>
      <c r="H6" t="inlineStr">
        <is>
          <t>車1</t>
        </is>
      </c>
      <c r="I6" t="inlineStr">
        <is>
          <t>文斌</t>
        </is>
      </c>
      <c r="J6" t="inlineStr">
        <is>
          <t>已付款</t>
        </is>
      </c>
      <c r="K6" t="inlineStr">
        <is>
          <t>否</t>
        </is>
      </c>
      <c r="L6" t="inlineStr"/>
    </row>
    <row r="7">
      <c r="A7" t="inlineStr">
        <is>
          <t>2020-D0020-01</t>
        </is>
      </c>
      <c r="B7" t="inlineStr">
        <is>
          <t>D0020</t>
        </is>
      </c>
      <c r="C7" t="inlineStr">
        <is>
          <t>GAP</t>
        </is>
      </c>
      <c r="D7" t="n">
        <v>2020</v>
      </c>
      <c r="E7" t="inlineStr">
        <is>
          <t>車</t>
        </is>
      </c>
      <c r="F7" t="inlineStr">
        <is>
          <t>T5</t>
        </is>
      </c>
      <c r="G7" t="n">
        <v>70000</v>
      </c>
      <c r="H7" t="inlineStr">
        <is>
          <t>車6</t>
        </is>
      </c>
      <c r="I7" t="inlineStr">
        <is>
          <t>MIGN</t>
        </is>
      </c>
      <c r="J7" t="inlineStr">
        <is>
          <t>已付款</t>
        </is>
      </c>
      <c r="K7" t="inlineStr">
        <is>
          <t>否</t>
        </is>
      </c>
      <c r="L7" t="inlineStr"/>
    </row>
    <row r="8">
      <c r="A8" t="inlineStr">
        <is>
          <t>2020-D0041-01</t>
        </is>
      </c>
      <c r="B8" t="inlineStr">
        <is>
          <t>D0041</t>
        </is>
      </c>
      <c r="C8" t="inlineStr">
        <is>
          <t>英諾美</t>
        </is>
      </c>
      <c r="D8" t="n">
        <v>2020</v>
      </c>
      <c r="E8" t="inlineStr">
        <is>
          <t>未分級</t>
        </is>
      </c>
      <c r="F8" t="inlineStr">
        <is>
          <t>T5</t>
        </is>
      </c>
      <c r="G8" t="n">
        <v>70000</v>
      </c>
      <c r="H8" t="inlineStr"/>
      <c r="I8" t="inlineStr">
        <is>
          <t>MING</t>
        </is>
      </c>
      <c r="J8" t="inlineStr">
        <is>
          <t>已付款</t>
        </is>
      </c>
      <c r="K8" t="inlineStr">
        <is>
          <t>否</t>
        </is>
      </c>
      <c r="L8" t="inlineStr"/>
    </row>
    <row r="9">
      <c r="A9" t="inlineStr">
        <is>
          <t>2020-D0001-01</t>
        </is>
      </c>
      <c r="B9" t="inlineStr">
        <is>
          <t>D0001</t>
        </is>
      </c>
      <c r="C9" t="inlineStr">
        <is>
          <t>辻利茶舖</t>
        </is>
      </c>
      <c r="D9" t="n">
        <v>2020</v>
      </c>
      <c r="E9" t="inlineStr">
        <is>
          <t>未分級</t>
        </is>
      </c>
      <c r="F9" t="inlineStr">
        <is>
          <t>T6</t>
        </is>
      </c>
      <c r="G9" t="n">
        <v>20000</v>
      </c>
      <c r="H9" t="inlineStr"/>
      <c r="I9" t="inlineStr">
        <is>
          <t>文斌</t>
        </is>
      </c>
      <c r="J9" t="inlineStr">
        <is>
          <t>已付款</t>
        </is>
      </c>
      <c r="K9" t="inlineStr">
        <is>
          <t>否</t>
        </is>
      </c>
      <c r="L9" t="inlineStr"/>
    </row>
    <row r="10">
      <c r="A10" t="inlineStr">
        <is>
          <t>2020-D0034-01</t>
        </is>
      </c>
      <c r="B10" t="inlineStr">
        <is>
          <t>D0034</t>
        </is>
      </c>
      <c r="C10" t="inlineStr">
        <is>
          <t>Tstudio</t>
        </is>
      </c>
      <c r="D10" t="n">
        <v>2020</v>
      </c>
      <c r="E10" t="inlineStr">
        <is>
          <t>未分級</t>
        </is>
      </c>
      <c r="F10" t="inlineStr">
        <is>
          <t>T6</t>
        </is>
      </c>
      <c r="G10" t="n">
        <v>30000</v>
      </c>
      <c r="H10" t="inlineStr"/>
      <c r="I10" t="inlineStr">
        <is>
          <t>文斌</t>
        </is>
      </c>
      <c r="J10" t="inlineStr">
        <is>
          <t>已付款</t>
        </is>
      </c>
      <c r="K10" t="inlineStr">
        <is>
          <t>否</t>
        </is>
      </c>
      <c r="L10" t="inlineStr"/>
    </row>
    <row r="11">
      <c r="A11" t="inlineStr">
        <is>
          <t>2020-D0048-01</t>
        </is>
      </c>
      <c r="B11" t="inlineStr">
        <is>
          <t>D0048</t>
        </is>
      </c>
      <c r="C11" t="inlineStr">
        <is>
          <t>EY</t>
        </is>
      </c>
      <c r="D11" t="n">
        <v>2020</v>
      </c>
      <c r="E11" t="inlineStr">
        <is>
          <t>未分級</t>
        </is>
      </c>
      <c r="F11" t="inlineStr">
        <is>
          <t>T5</t>
        </is>
      </c>
      <c r="G11" t="n">
        <v>40500</v>
      </c>
      <c r="H11" t="inlineStr"/>
      <c r="I11" t="inlineStr">
        <is>
          <t>小廣</t>
        </is>
      </c>
      <c r="J11" t="inlineStr">
        <is>
          <t>已付款</t>
        </is>
      </c>
      <c r="K11" t="inlineStr">
        <is>
          <t>否</t>
        </is>
      </c>
      <c r="L11" t="inlineStr"/>
    </row>
    <row r="12">
      <c r="A12" t="inlineStr">
        <is>
          <t>2020-D0051-01</t>
        </is>
      </c>
      <c r="B12" t="inlineStr">
        <is>
          <t>D0051</t>
        </is>
      </c>
      <c r="C12" t="inlineStr">
        <is>
          <t>redbull</t>
        </is>
      </c>
      <c r="D12" t="n">
        <v>2020</v>
      </c>
      <c r="E12" t="inlineStr">
        <is>
          <t>車（頭車）</t>
        </is>
      </c>
      <c r="F12" t="inlineStr">
        <is>
          <t>T4</t>
        </is>
      </c>
      <c r="G12" t="n">
        <v>180000</v>
      </c>
      <c r="H12" t="inlineStr">
        <is>
          <t>頭車1</t>
        </is>
      </c>
      <c r="I12" t="inlineStr">
        <is>
          <t>Eason</t>
        </is>
      </c>
      <c r="J12" t="inlineStr">
        <is>
          <t>已付款</t>
        </is>
      </c>
      <c r="K12" t="inlineStr">
        <is>
          <t>是</t>
        </is>
      </c>
      <c r="L12" t="inlineStr"/>
    </row>
    <row r="13">
      <c r="A13" t="inlineStr">
        <is>
          <t>2020-D0052-01</t>
        </is>
      </c>
      <c r="B13" t="inlineStr">
        <is>
          <t>D0052</t>
        </is>
      </c>
      <c r="C13" t="inlineStr">
        <is>
          <t>GSK</t>
        </is>
      </c>
      <c r="D13" t="n">
        <v>2020</v>
      </c>
      <c r="E13" t="inlineStr">
        <is>
          <t>銀級</t>
        </is>
      </c>
      <c r="F13" t="inlineStr">
        <is>
          <t>T4</t>
        </is>
      </c>
      <c r="G13" t="n">
        <v>160000</v>
      </c>
      <c r="H13" t="inlineStr">
        <is>
          <t>銀級1</t>
        </is>
      </c>
      <c r="I13" t="inlineStr">
        <is>
          <t>MING</t>
        </is>
      </c>
      <c r="J13" t="inlineStr">
        <is>
          <t>已付款</t>
        </is>
      </c>
      <c r="K13" t="inlineStr">
        <is>
          <t>是</t>
        </is>
      </c>
      <c r="L13" t="inlineStr">
        <is>
          <t>原為廣告品項，後升級為銀級換主舞台廣告</t>
        </is>
      </c>
    </row>
    <row r="14">
      <c r="A14" t="inlineStr">
        <is>
          <t>2020-D0053-01</t>
        </is>
      </c>
      <c r="B14" t="inlineStr">
        <is>
          <t>D0053</t>
        </is>
      </c>
      <c r="C14" t="inlineStr">
        <is>
          <t>磊山</t>
        </is>
      </c>
      <c r="D14" t="n">
        <v>2020</v>
      </c>
      <c r="E14" t="inlineStr">
        <is>
          <t>銀級</t>
        </is>
      </c>
      <c r="F14" t="inlineStr">
        <is>
          <t>T4</t>
        </is>
      </c>
      <c r="G14" t="n">
        <v>160000</v>
      </c>
      <c r="H14" t="inlineStr">
        <is>
          <t>銀級2</t>
        </is>
      </c>
      <c r="I14" t="inlineStr">
        <is>
          <t>文斌</t>
        </is>
      </c>
      <c r="J14" t="inlineStr">
        <is>
          <t>已付款</t>
        </is>
      </c>
      <c r="K14" t="inlineStr">
        <is>
          <t>是</t>
        </is>
      </c>
      <c r="L14" t="inlineStr"/>
    </row>
    <row r="15">
      <c r="A15" t="inlineStr">
        <is>
          <t>2020-D0054-01</t>
        </is>
      </c>
      <c r="B15" t="inlineStr">
        <is>
          <t>D0054</t>
        </is>
      </c>
      <c r="C15" t="inlineStr">
        <is>
          <t>TINDER</t>
        </is>
      </c>
      <c r="D15" t="n">
        <v>2020</v>
      </c>
      <c r="E15" t="inlineStr">
        <is>
          <t>銀級</t>
        </is>
      </c>
      <c r="F15" t="inlineStr">
        <is>
          <t>T4</t>
        </is>
      </c>
      <c r="G15" t="n">
        <v>160000</v>
      </c>
      <c r="H15" t="inlineStr">
        <is>
          <t>銀級3</t>
        </is>
      </c>
      <c r="I15" t="inlineStr">
        <is>
          <t>Eason</t>
        </is>
      </c>
      <c r="J15" t="inlineStr">
        <is>
          <t>已付款</t>
        </is>
      </c>
      <c r="K15" t="inlineStr">
        <is>
          <t>是</t>
        </is>
      </c>
      <c r="L15" t="inlineStr"/>
    </row>
    <row r="16">
      <c r="A16" t="inlineStr">
        <is>
          <t>2020-D0055-01</t>
        </is>
      </c>
      <c r="B16" t="inlineStr">
        <is>
          <t>D0055</t>
        </is>
      </c>
      <c r="C16" t="inlineStr">
        <is>
          <t>Microsoft</t>
        </is>
      </c>
      <c r="D16" t="n">
        <v>2020</v>
      </c>
      <c r="E16" t="inlineStr">
        <is>
          <t>銀級</t>
        </is>
      </c>
      <c r="F16" t="inlineStr">
        <is>
          <t>T4</t>
        </is>
      </c>
      <c r="G16" t="n">
        <v>160000</v>
      </c>
      <c r="H16" t="inlineStr">
        <is>
          <t>銀級4</t>
        </is>
      </c>
      <c r="I16" t="inlineStr">
        <is>
          <t>VERA</t>
        </is>
      </c>
      <c r="J16" t="inlineStr">
        <is>
          <t>已付款</t>
        </is>
      </c>
      <c r="K16" t="inlineStr">
        <is>
          <t>是</t>
        </is>
      </c>
      <c r="L16" t="inlineStr">
        <is>
          <t>原為廣告品項，後升級為銀級換主舞台廣告</t>
        </is>
      </c>
    </row>
    <row r="17">
      <c r="A17" t="inlineStr">
        <is>
          <t>2020-D0056-01</t>
        </is>
      </c>
      <c r="B17" t="inlineStr">
        <is>
          <t>D0056</t>
        </is>
      </c>
      <c r="C17" t="inlineStr">
        <is>
          <t>台灣百健</t>
        </is>
      </c>
      <c r="D17" t="n">
        <v>2020</v>
      </c>
      <c r="E17" t="inlineStr">
        <is>
          <t>銀級</t>
        </is>
      </c>
      <c r="F17" t="inlineStr">
        <is>
          <t>T4</t>
        </is>
      </c>
      <c r="G17" t="n">
        <v>160000</v>
      </c>
      <c r="H17" t="inlineStr">
        <is>
          <t>銀級6</t>
        </is>
      </c>
      <c r="I17" t="inlineStr">
        <is>
          <t>VERA</t>
        </is>
      </c>
      <c r="J17" t="inlineStr">
        <is>
          <t>已付款</t>
        </is>
      </c>
      <c r="K17" t="inlineStr">
        <is>
          <t>是</t>
        </is>
      </c>
      <c r="L17" t="inlineStr"/>
    </row>
    <row r="18">
      <c r="A18" t="inlineStr">
        <is>
          <t>2020-D0057-01</t>
        </is>
      </c>
      <c r="B18" t="inlineStr">
        <is>
          <t>D0057</t>
        </is>
      </c>
      <c r="C18" t="inlineStr">
        <is>
          <t>Foodpanda</t>
        </is>
      </c>
      <c r="D18" t="n">
        <v>2020</v>
      </c>
      <c r="E18" t="inlineStr">
        <is>
          <t>銀級</t>
        </is>
      </c>
      <c r="F18" t="inlineStr">
        <is>
          <t>T4</t>
        </is>
      </c>
      <c r="G18" t="n">
        <v>160000</v>
      </c>
      <c r="H18" t="inlineStr">
        <is>
          <t>銀級8</t>
        </is>
      </c>
      <c r="I18" t="inlineStr">
        <is>
          <t>凱鈞</t>
        </is>
      </c>
      <c r="J18" t="inlineStr">
        <is>
          <t>已付款</t>
        </is>
      </c>
      <c r="K18" t="inlineStr">
        <is>
          <t>是</t>
        </is>
      </c>
      <c r="L18" t="inlineStr"/>
    </row>
    <row r="19">
      <c r="A19" t="inlineStr">
        <is>
          <t>2020-D0058-01</t>
        </is>
      </c>
      <c r="B19" t="inlineStr">
        <is>
          <t>D0058</t>
        </is>
      </c>
      <c r="C19" t="inlineStr">
        <is>
          <t>Unilever</t>
        </is>
      </c>
      <c r="D19" t="n">
        <v>2020</v>
      </c>
      <c r="E19" t="inlineStr">
        <is>
          <t>銀級</t>
        </is>
      </c>
      <c r="F19" t="inlineStr">
        <is>
          <t>T4</t>
        </is>
      </c>
      <c r="G19" t="n">
        <v>160000</v>
      </c>
      <c r="H19" t="inlineStr">
        <is>
          <t>銀級9</t>
        </is>
      </c>
      <c r="I19" t="inlineStr">
        <is>
          <t>MING</t>
        </is>
      </c>
      <c r="J19" t="inlineStr">
        <is>
          <t>已付款</t>
        </is>
      </c>
      <c r="K19" t="inlineStr">
        <is>
          <t>是</t>
        </is>
      </c>
      <c r="L19" t="inlineStr"/>
    </row>
    <row r="20">
      <c r="A20" t="inlineStr">
        <is>
          <t>2020-D0059-01</t>
        </is>
      </c>
      <c r="B20" t="inlineStr">
        <is>
          <t>D0059</t>
        </is>
      </c>
      <c r="C20" t="inlineStr">
        <is>
          <t>PINKOI</t>
        </is>
      </c>
      <c r="D20" t="n">
        <v>2020</v>
      </c>
      <c r="E20" t="inlineStr">
        <is>
          <t>銀級</t>
        </is>
      </c>
      <c r="F20" t="inlineStr">
        <is>
          <t>T4</t>
        </is>
      </c>
      <c r="G20" t="n">
        <v>160000</v>
      </c>
      <c r="H20" t="inlineStr">
        <is>
          <t>銀級10</t>
        </is>
      </c>
      <c r="I20" t="inlineStr">
        <is>
          <t>RUBY</t>
        </is>
      </c>
      <c r="J20" t="inlineStr">
        <is>
          <t>已付款</t>
        </is>
      </c>
      <c r="K20" t="inlineStr">
        <is>
          <t>是</t>
        </is>
      </c>
      <c r="L20" t="inlineStr">
        <is>
          <t>銀級10，以 15 頂帳篷交換贊助</t>
        </is>
      </c>
    </row>
    <row r="21">
      <c r="A21" t="inlineStr">
        <is>
          <t>2020-D0060-01</t>
        </is>
      </c>
      <c r="B21" t="inlineStr">
        <is>
          <t>D0060</t>
        </is>
      </c>
      <c r="C21" t="inlineStr">
        <is>
          <t>澤豐</t>
        </is>
      </c>
      <c r="D21" t="n">
        <v>2020</v>
      </c>
      <c r="E21" t="inlineStr">
        <is>
          <t>未分級</t>
        </is>
      </c>
      <c r="F21" t="inlineStr">
        <is>
          <t>T5</t>
        </is>
      </c>
      <c r="G21" t="n">
        <v>102000</v>
      </c>
      <c r="H21" t="inlineStr">
        <is>
          <t>廣告</t>
        </is>
      </c>
      <c r="I21" t="inlineStr">
        <is>
          <t>文斌</t>
        </is>
      </c>
      <c r="J21" t="inlineStr">
        <is>
          <t>已付款</t>
        </is>
      </c>
      <c r="K21" t="inlineStr">
        <is>
          <t>是</t>
        </is>
      </c>
      <c r="L21" t="inlineStr"/>
    </row>
    <row r="22">
      <c r="A22" t="inlineStr">
        <is>
          <t>2020-D0061-01</t>
        </is>
      </c>
      <c r="B22" t="inlineStr">
        <is>
          <t>D0061</t>
        </is>
      </c>
      <c r="C22" t="inlineStr">
        <is>
          <t>Klook</t>
        </is>
      </c>
      <c r="D22" t="n">
        <v>2020</v>
      </c>
      <c r="E22" t="inlineStr">
        <is>
          <t>車</t>
        </is>
      </c>
      <c r="F22" t="inlineStr">
        <is>
          <t>T5</t>
        </is>
      </c>
      <c r="G22" t="n">
        <v>80000</v>
      </c>
      <c r="H22" t="inlineStr">
        <is>
          <t>車7</t>
        </is>
      </c>
      <c r="I22" t="inlineStr">
        <is>
          <t>廣</t>
        </is>
      </c>
      <c r="J22" t="inlineStr">
        <is>
          <t>已付款</t>
        </is>
      </c>
      <c r="K22" t="inlineStr">
        <is>
          <t>是</t>
        </is>
      </c>
      <c r="L22" t="inlineStr"/>
    </row>
    <row r="23">
      <c r="A23" t="inlineStr">
        <is>
          <t>2020-D0062-01</t>
        </is>
      </c>
      <c r="B23" t="inlineStr">
        <is>
          <t>D0062</t>
        </is>
      </c>
      <c r="C23" t="inlineStr">
        <is>
          <t>台虎</t>
        </is>
      </c>
      <c r="D23" t="n">
        <v>2020</v>
      </c>
      <c r="E23" t="inlineStr">
        <is>
          <t>未分級</t>
        </is>
      </c>
      <c r="F23" t="inlineStr">
        <is>
          <t>T5</t>
        </is>
      </c>
      <c r="G23" t="n">
        <v>80000</v>
      </c>
      <c r="H23" t="inlineStr"/>
      <c r="I23" t="inlineStr">
        <is>
          <t>MING</t>
        </is>
      </c>
      <c r="J23" t="inlineStr">
        <is>
          <t>已付款</t>
        </is>
      </c>
      <c r="K23" t="inlineStr">
        <is>
          <t>是</t>
        </is>
      </c>
      <c r="L23" t="inlineStr"/>
    </row>
    <row r="24">
      <c r="A24" t="inlineStr">
        <is>
          <t>2020-D0063-01</t>
        </is>
      </c>
      <c r="B24" t="inlineStr">
        <is>
          <t>D0063</t>
        </is>
      </c>
      <c r="C24" t="inlineStr">
        <is>
          <t>獨角落</t>
        </is>
      </c>
      <c r="D24" t="n">
        <v>2020</v>
      </c>
      <c r="E24" t="inlineStr">
        <is>
          <t>車</t>
        </is>
      </c>
      <c r="F24" t="inlineStr">
        <is>
          <t>T5</t>
        </is>
      </c>
      <c r="G24" t="n">
        <v>70000</v>
      </c>
      <c r="H24" t="inlineStr">
        <is>
          <t>車2</t>
        </is>
      </c>
      <c r="I24" t="inlineStr">
        <is>
          <t>小廣</t>
        </is>
      </c>
      <c r="J24" t="inlineStr">
        <is>
          <t>已付款</t>
        </is>
      </c>
      <c r="K24" t="inlineStr">
        <is>
          <t>是</t>
        </is>
      </c>
      <c r="L24" t="inlineStr"/>
    </row>
    <row r="25">
      <c r="A25" t="inlineStr">
        <is>
          <t>2020-D0064-01</t>
        </is>
      </c>
      <c r="B25" t="inlineStr">
        <is>
          <t>D0064</t>
        </is>
      </c>
      <c r="C25" t="inlineStr">
        <is>
          <t>瑪莉珍比薩</t>
        </is>
      </c>
      <c r="D25" t="n">
        <v>2020</v>
      </c>
      <c r="E25" t="inlineStr">
        <is>
          <t>車</t>
        </is>
      </c>
      <c r="F25" t="inlineStr">
        <is>
          <t>T5</t>
        </is>
      </c>
      <c r="G25" t="n">
        <v>70000</v>
      </c>
      <c r="H25" t="inlineStr">
        <is>
          <t>車3</t>
        </is>
      </c>
      <c r="I25" t="inlineStr">
        <is>
          <t>KIRA</t>
        </is>
      </c>
      <c r="J25" t="inlineStr">
        <is>
          <t>已付款</t>
        </is>
      </c>
      <c r="K25" t="inlineStr">
        <is>
          <t>是</t>
        </is>
      </c>
      <c r="L25" t="inlineStr"/>
    </row>
    <row r="26">
      <c r="A26" t="inlineStr">
        <is>
          <t>2020-D0065-01</t>
        </is>
      </c>
      <c r="B26" t="inlineStr">
        <is>
          <t>D0065</t>
        </is>
      </c>
      <c r="C26" t="inlineStr">
        <is>
          <t>SONY</t>
        </is>
      </c>
      <c r="D26" t="n">
        <v>2020</v>
      </c>
      <c r="E26" t="inlineStr">
        <is>
          <t>車</t>
        </is>
      </c>
      <c r="F26" t="inlineStr">
        <is>
          <t>T5</t>
        </is>
      </c>
      <c r="G26" t="n">
        <v>70000</v>
      </c>
      <c r="H26" t="inlineStr">
        <is>
          <t>車4</t>
        </is>
      </c>
      <c r="I26" t="inlineStr">
        <is>
          <t>小廣</t>
        </is>
      </c>
      <c r="J26" t="inlineStr">
        <is>
          <t>已付款</t>
        </is>
      </c>
      <c r="K26" t="inlineStr">
        <is>
          <t>是</t>
        </is>
      </c>
      <c r="L26" t="inlineStr"/>
    </row>
    <row r="27">
      <c r="A27" t="inlineStr">
        <is>
          <t>2020-D0066-01</t>
        </is>
      </c>
      <c r="B27" t="inlineStr">
        <is>
          <t>D0066</t>
        </is>
      </c>
      <c r="C27" t="inlineStr">
        <is>
          <t>GOLIN</t>
        </is>
      </c>
      <c r="D27" t="n">
        <v>2020</v>
      </c>
      <c r="E27" t="inlineStr">
        <is>
          <t>車</t>
        </is>
      </c>
      <c r="F27" t="inlineStr">
        <is>
          <t>T5</t>
        </is>
      </c>
      <c r="G27" t="n">
        <v>70000</v>
      </c>
      <c r="H27" t="inlineStr">
        <is>
          <t>車5</t>
        </is>
      </c>
      <c r="I27" t="inlineStr">
        <is>
          <t>凱鈞</t>
        </is>
      </c>
      <c r="J27" t="inlineStr">
        <is>
          <t>已付款</t>
        </is>
      </c>
      <c r="K27" t="inlineStr">
        <is>
          <t>是</t>
        </is>
      </c>
      <c r="L27" t="inlineStr"/>
    </row>
    <row r="28">
      <c r="A28" t="inlineStr">
        <is>
          <t>2020-D0067-01</t>
        </is>
      </c>
      <c r="B28" t="inlineStr">
        <is>
          <t>D0067</t>
        </is>
      </c>
      <c r="C28" t="inlineStr">
        <is>
          <t>hyve solutions</t>
        </is>
      </c>
      <c r="D28" t="n">
        <v>2020</v>
      </c>
      <c r="E28" t="inlineStr">
        <is>
          <t>未分級</t>
        </is>
      </c>
      <c r="F28" t="inlineStr">
        <is>
          <t>T5</t>
        </is>
      </c>
      <c r="G28" t="n">
        <v>60000</v>
      </c>
      <c r="H28" t="inlineStr"/>
      <c r="I28" t="inlineStr">
        <is>
          <t>MING</t>
        </is>
      </c>
      <c r="J28" t="inlineStr">
        <is>
          <t>已付款</t>
        </is>
      </c>
      <c r="K28" t="inlineStr">
        <is>
          <t>是</t>
        </is>
      </c>
      <c r="L28" t="inlineStr"/>
    </row>
    <row r="29">
      <c r="A29" t="inlineStr">
        <is>
          <t>2020-D0068-01</t>
        </is>
      </c>
      <c r="B29" t="inlineStr">
        <is>
          <t>D0068</t>
        </is>
      </c>
      <c r="C29" t="inlineStr">
        <is>
          <t>JACK D</t>
        </is>
      </c>
      <c r="D29" t="n">
        <v>2020</v>
      </c>
      <c r="E29" t="inlineStr">
        <is>
          <t>未分級</t>
        </is>
      </c>
      <c r="F29" t="inlineStr">
        <is>
          <t>T5</t>
        </is>
      </c>
      <c r="G29" t="n">
        <v>40000</v>
      </c>
      <c r="H29" t="inlineStr"/>
      <c r="I29" t="inlineStr">
        <is>
          <t>MING</t>
        </is>
      </c>
      <c r="J29" t="inlineStr">
        <is>
          <t>已付款</t>
        </is>
      </c>
      <c r="K29" t="inlineStr">
        <is>
          <t>是</t>
        </is>
      </c>
      <c r="L29" t="inlineStr"/>
    </row>
    <row r="30">
      <c r="A30" t="inlineStr">
        <is>
          <t>2020-D0069-01</t>
        </is>
      </c>
      <c r="B30" t="inlineStr">
        <is>
          <t>D0069</t>
        </is>
      </c>
      <c r="C30" t="inlineStr">
        <is>
          <t>熱線藥廠</t>
        </is>
      </c>
      <c r="D30" t="n">
        <v>2020</v>
      </c>
      <c r="E30" t="inlineStr">
        <is>
          <t>未分級</t>
        </is>
      </c>
      <c r="F30" t="inlineStr">
        <is>
          <t>T5</t>
        </is>
      </c>
      <c r="G30" t="n">
        <v>40000</v>
      </c>
      <c r="H30" t="inlineStr"/>
      <c r="I30" t="inlineStr">
        <is>
          <t>MING</t>
        </is>
      </c>
      <c r="J30" t="inlineStr">
        <is>
          <t>已付款</t>
        </is>
      </c>
      <c r="K30" t="inlineStr">
        <is>
          <t>是</t>
        </is>
      </c>
      <c r="L30" t="inlineStr"/>
    </row>
    <row r="31">
      <c r="A31" t="inlineStr">
        <is>
          <t>2020-D0070-01</t>
        </is>
      </c>
      <c r="B31" t="inlineStr">
        <is>
          <t>D0070</t>
        </is>
      </c>
      <c r="C31" t="inlineStr">
        <is>
          <t>HotelCom</t>
        </is>
      </c>
      <c r="D31" t="n">
        <v>2020</v>
      </c>
      <c r="E31" t="inlineStr">
        <is>
          <t>未分級</t>
        </is>
      </c>
      <c r="F31" t="inlineStr">
        <is>
          <t>T6</t>
        </is>
      </c>
      <c r="G31" t="n">
        <v>30000</v>
      </c>
      <c r="H31" t="inlineStr"/>
      <c r="I31" t="inlineStr">
        <is>
          <t>小廣</t>
        </is>
      </c>
      <c r="J31" t="inlineStr">
        <is>
          <t>已付款</t>
        </is>
      </c>
      <c r="K31" t="inlineStr">
        <is>
          <t>是</t>
        </is>
      </c>
      <c r="L31" t="inlineStr"/>
    </row>
    <row r="32">
      <c r="A32" t="inlineStr">
        <is>
          <t>2020-D0071-01</t>
        </is>
      </c>
      <c r="B32" t="inlineStr">
        <is>
          <t>D0071</t>
        </is>
      </c>
      <c r="C32" t="inlineStr">
        <is>
          <t>放駟科技</t>
        </is>
      </c>
      <c r="D32" t="n">
        <v>2020</v>
      </c>
      <c r="E32" t="inlineStr">
        <is>
          <t>未分級</t>
        </is>
      </c>
      <c r="F32" t="inlineStr">
        <is>
          <t>T6</t>
        </is>
      </c>
      <c r="G32" t="n">
        <v>20000</v>
      </c>
      <c r="H32" t="inlineStr"/>
      <c r="I32" t="inlineStr">
        <is>
          <t>MING</t>
        </is>
      </c>
      <c r="J32" t="inlineStr">
        <is>
          <t>已付款</t>
        </is>
      </c>
      <c r="K32" t="inlineStr">
        <is>
          <t>是</t>
        </is>
      </c>
      <c r="L32" t="inlineStr"/>
    </row>
    <row r="33">
      <c r="A33" t="inlineStr">
        <is>
          <t>2020-D0072-01</t>
        </is>
      </c>
      <c r="B33" t="inlineStr">
        <is>
          <t>D0072</t>
        </is>
      </c>
      <c r="C33" t="inlineStr">
        <is>
          <t>大安金普頓</t>
        </is>
      </c>
      <c r="D33" t="n">
        <v>2020</v>
      </c>
      <c r="E33" t="inlineStr">
        <is>
          <t>未分級</t>
        </is>
      </c>
      <c r="F33" t="inlineStr">
        <is>
          <t>T6</t>
        </is>
      </c>
      <c r="G33" t="n">
        <v>18000</v>
      </c>
      <c r="H33" t="inlineStr"/>
      <c r="I33" t="inlineStr">
        <is>
          <t>KIRA</t>
        </is>
      </c>
      <c r="J33" t="inlineStr">
        <is>
          <t>已付款</t>
        </is>
      </c>
      <c r="K33" t="inlineStr">
        <is>
          <t>是</t>
        </is>
      </c>
      <c r="L33" t="inlineStr"/>
    </row>
    <row r="34">
      <c r="A34" t="inlineStr">
        <is>
          <t>2020-D0073-01</t>
        </is>
      </c>
      <c r="B34" t="inlineStr">
        <is>
          <t>D0073</t>
        </is>
      </c>
      <c r="C34" t="inlineStr">
        <is>
          <t>ANASIUM 艾納舒</t>
        </is>
      </c>
      <c r="D34" t="n">
        <v>2020</v>
      </c>
      <c r="E34" t="inlineStr">
        <is>
          <t>未分級</t>
        </is>
      </c>
      <c r="F34" t="inlineStr">
        <is>
          <t>T6</t>
        </is>
      </c>
      <c r="G34" t="n">
        <v>15000</v>
      </c>
      <c r="H34" t="inlineStr"/>
      <c r="I34" t="inlineStr">
        <is>
          <t>凱鈞</t>
        </is>
      </c>
      <c r="J34" t="inlineStr">
        <is>
          <t>已付款</t>
        </is>
      </c>
      <c r="K34" t="inlineStr">
        <is>
          <t>是</t>
        </is>
      </c>
      <c r="L34" t="inlineStr">
        <is>
          <t>DM A7</t>
        </is>
      </c>
    </row>
    <row r="35">
      <c r="A35" t="inlineStr">
        <is>
          <t>2020-D0074-01</t>
        </is>
      </c>
      <c r="B35" t="inlineStr">
        <is>
          <t>D0074</t>
        </is>
      </c>
      <c r="C35" t="inlineStr">
        <is>
          <t>18歲公民聯盟</t>
        </is>
      </c>
      <c r="D35" t="n">
        <v>2020</v>
      </c>
      <c r="E35" t="inlineStr">
        <is>
          <t>未分級</t>
        </is>
      </c>
      <c r="F35" t="inlineStr">
        <is>
          <t>T6</t>
        </is>
      </c>
      <c r="G35" t="n">
        <v>15000</v>
      </c>
      <c r="H35" t="inlineStr"/>
      <c r="I35" t="inlineStr">
        <is>
          <t>梅子</t>
        </is>
      </c>
      <c r="J35" t="inlineStr">
        <is>
          <t>已付款</t>
        </is>
      </c>
      <c r="K35" t="inlineStr">
        <is>
          <t>是</t>
        </is>
      </c>
      <c r="L35" t="inlineStr">
        <is>
          <t>小舞台</t>
        </is>
      </c>
    </row>
    <row r="36">
      <c r="A36" t="inlineStr">
        <is>
          <t>2020-D0075-01</t>
        </is>
      </c>
      <c r="B36" t="inlineStr">
        <is>
          <t>D0075</t>
        </is>
      </c>
      <c r="C36" t="inlineStr">
        <is>
          <t>紅樓</t>
        </is>
      </c>
      <c r="D36" t="n">
        <v>2020</v>
      </c>
      <c r="E36" t="inlineStr">
        <is>
          <t>未分級</t>
        </is>
      </c>
      <c r="F36" t="inlineStr">
        <is>
          <t>T6</t>
        </is>
      </c>
      <c r="G36" t="n">
        <v>12000</v>
      </c>
      <c r="H36" t="inlineStr"/>
      <c r="I36" t="inlineStr">
        <is>
          <t>小廣</t>
        </is>
      </c>
      <c r="J36" t="inlineStr">
        <is>
          <t>已付款</t>
        </is>
      </c>
      <c r="K36" t="inlineStr">
        <is>
          <t>是</t>
        </is>
      </c>
      <c r="L36" t="inlineStr">
        <is>
          <t>⚠️ 可能與 D0030 紅樓友善商家聯盟同實體，待確認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18" customWidth="1" min="4" max="4"/>
    <col width="8" customWidth="1" min="5" max="5"/>
    <col width="20" customWidth="1" min="6" max="6"/>
    <col width="10" customWidth="1" min="7" max="7"/>
    <col width="12" customWidth="1" min="8" max="8"/>
    <col width="25" customWidth="1" min="9" max="9"/>
  </cols>
  <sheetData>
    <row r="1">
      <c r="A1" s="3" t="inlineStr">
        <is>
          <t>品項紀錄編號</t>
        </is>
      </c>
      <c r="B1" s="3" t="inlineStr">
        <is>
          <t>合約編號</t>
        </is>
      </c>
      <c r="C1" s="3" t="inlineStr">
        <is>
          <t>廠商編號</t>
        </is>
      </c>
      <c r="D1" s="3" t="inlineStr">
        <is>
          <t>廠商名稱</t>
        </is>
      </c>
      <c r="E1" s="3" t="inlineStr">
        <is>
          <t>年度</t>
        </is>
      </c>
      <c r="F1" s="3" t="inlineStr">
        <is>
          <t>原始品項名稱</t>
        </is>
      </c>
      <c r="G1" s="3" t="inlineStr">
        <is>
          <t>主品項分類</t>
        </is>
      </c>
      <c r="H1" s="3" t="inlineStr">
        <is>
          <t>單品項金額</t>
        </is>
      </c>
      <c r="I1" s="3" t="inlineStr">
        <is>
          <t>備註</t>
        </is>
      </c>
    </row>
    <row r="2">
      <c r="A2" t="inlineStr">
        <is>
          <t>2020-D0028-01-P001</t>
        </is>
      </c>
      <c r="B2" t="inlineStr">
        <is>
          <t>2020-D0028-01</t>
        </is>
      </c>
      <c r="C2" t="inlineStr">
        <is>
          <t>D0028</t>
        </is>
      </c>
      <c r="D2" t="inlineStr">
        <is>
          <t>GILEAD</t>
        </is>
      </c>
      <c r="E2" t="n">
        <v>2020</v>
      </c>
      <c r="F2" t="inlineStr">
        <is>
          <t>黃金級1內含包</t>
        </is>
      </c>
      <c r="G2" t="inlineStr">
        <is>
          <t>其他合作</t>
        </is>
      </c>
      <c r="H2" t="n">
        <v>595000</v>
      </c>
      <c r="I2" t="inlineStr">
        <is>
          <t>含級別內含品項，詳細項目請參考商業收入副本</t>
        </is>
      </c>
    </row>
    <row r="3">
      <c r="A3" t="inlineStr">
        <is>
          <t>2020-D0028-01-P002</t>
        </is>
      </c>
      <c r="B3" t="inlineStr">
        <is>
          <t>2020-D0028-01</t>
        </is>
      </c>
      <c r="C3" t="inlineStr">
        <is>
          <t>D0028</t>
        </is>
      </c>
      <c r="D3" t="inlineStr">
        <is>
          <t>GILEAD</t>
        </is>
      </c>
      <c r="E3" t="n">
        <v>2020</v>
      </c>
      <c r="F3" t="inlineStr">
        <is>
          <t>空飄球</t>
        </is>
      </c>
      <c r="G3" t="inlineStr">
        <is>
          <t>其他合作</t>
        </is>
      </c>
      <c r="H3" t="n">
        <v>60000</v>
      </c>
      <c r="I3" t="inlineStr">
        <is>
          <t>GILEAD 加購</t>
        </is>
      </c>
    </row>
    <row r="4">
      <c r="A4" t="inlineStr">
        <is>
          <t>2020-D0032-01-P001</t>
        </is>
      </c>
      <c r="B4" t="inlineStr">
        <is>
          <t>2020-D0032-01</t>
        </is>
      </c>
      <c r="C4" t="inlineStr">
        <is>
          <t>D0032</t>
        </is>
      </c>
      <c r="D4" t="inlineStr">
        <is>
          <t>GSTAR</t>
        </is>
      </c>
      <c r="E4" t="n">
        <v>2020</v>
      </c>
      <c r="F4" t="inlineStr">
        <is>
          <t>銀級5內含包</t>
        </is>
      </c>
      <c r="G4" t="inlineStr">
        <is>
          <t>其他合作</t>
        </is>
      </c>
      <c r="H4" t="n">
        <v>160000</v>
      </c>
      <c r="I4" t="inlineStr">
        <is>
          <t>含級別內含品項，詳細項目請參考商業收入副本</t>
        </is>
      </c>
    </row>
    <row r="5">
      <c r="A5" t="inlineStr">
        <is>
          <t>2020-D0032-01-B001</t>
        </is>
      </c>
      <c r="B5" t="inlineStr">
        <is>
          <t>2020-D0032-01</t>
        </is>
      </c>
      <c r="C5" t="inlineStr">
        <is>
          <t>D0032</t>
        </is>
      </c>
      <c r="D5" t="inlineStr">
        <is>
          <t>GSTAR</t>
        </is>
      </c>
      <c r="E5" t="n">
        <v>2020</v>
      </c>
      <c r="F5" t="inlineStr">
        <is>
          <t>市集帳篷 (1 頂)</t>
        </is>
      </c>
      <c r="G5" t="inlineStr">
        <is>
          <t>市集帳篷</t>
        </is>
      </c>
      <c r="I5" t="inlineStr">
        <is>
          <t>級別內含 1 頂</t>
        </is>
      </c>
    </row>
    <row r="6">
      <c r="A6" t="inlineStr">
        <is>
          <t>2020-D0006-01-P001</t>
        </is>
      </c>
      <c r="B6" t="inlineStr">
        <is>
          <t>2020-D0006-01</t>
        </is>
      </c>
      <c r="C6" t="inlineStr">
        <is>
          <t>D0006</t>
        </is>
      </c>
      <c r="D6" t="inlineStr">
        <is>
          <t>Les Park</t>
        </is>
      </c>
      <c r="E6" t="n">
        <v>2020</v>
      </c>
      <c r="F6" t="inlineStr">
        <is>
          <t>銀級7內含包</t>
        </is>
      </c>
      <c r="G6" t="inlineStr">
        <is>
          <t>其他合作</t>
        </is>
      </c>
      <c r="H6" t="n">
        <v>160000</v>
      </c>
      <c r="I6" t="inlineStr">
        <is>
          <t>含級別內含品項，詳細項目請參考商業收入副本</t>
        </is>
      </c>
    </row>
    <row r="7">
      <c r="A7" t="inlineStr">
        <is>
          <t>2020-D0006-01-B001</t>
        </is>
      </c>
      <c r="B7" t="inlineStr">
        <is>
          <t>2020-D0006-01</t>
        </is>
      </c>
      <c r="C7" t="inlineStr">
        <is>
          <t>D0006</t>
        </is>
      </c>
      <c r="D7" t="inlineStr">
        <is>
          <t>Les Park</t>
        </is>
      </c>
      <c r="E7" t="n">
        <v>2020</v>
      </c>
      <c r="F7" t="inlineStr">
        <is>
          <t>市集帳篷 (1 頂)</t>
        </is>
      </c>
      <c r="G7" t="inlineStr">
        <is>
          <t>市集帳篷</t>
        </is>
      </c>
      <c r="I7" t="inlineStr">
        <is>
          <t>級別內含 1 頂</t>
        </is>
      </c>
    </row>
    <row r="8">
      <c r="A8" t="inlineStr">
        <is>
          <t>2020-D0037-01-P001</t>
        </is>
      </c>
      <c r="B8" t="inlineStr">
        <is>
          <t>2020-D0037-01</t>
        </is>
      </c>
      <c r="C8" t="inlineStr">
        <is>
          <t>D0037</t>
        </is>
      </c>
      <c r="D8" t="inlineStr">
        <is>
          <t>Google</t>
        </is>
      </c>
      <c r="E8" t="n">
        <v>2020</v>
      </c>
      <c r="F8" t="inlineStr">
        <is>
          <t>帳款直接給廠商</t>
        </is>
      </c>
      <c r="G8" t="inlineStr">
        <is>
          <t>其他合作</t>
        </is>
      </c>
      <c r="H8" t="n">
        <v>160000</v>
      </c>
      <c r="I8" t="inlineStr"/>
    </row>
    <row r="9">
      <c r="A9" t="inlineStr">
        <is>
          <t>2020-D0022-01-P001</t>
        </is>
      </c>
      <c r="B9" t="inlineStr">
        <is>
          <t>2020-D0022-01</t>
        </is>
      </c>
      <c r="C9" t="inlineStr">
        <is>
          <t>D0022</t>
        </is>
      </c>
      <c r="D9" t="inlineStr">
        <is>
          <t>彩虹酷兒</t>
        </is>
      </c>
      <c r="E9" t="n">
        <v>2020</v>
      </c>
      <c r="F9" t="inlineStr">
        <is>
          <t>花車路權（車1）</t>
        </is>
      </c>
      <c r="G9" t="inlineStr">
        <is>
          <t>花車</t>
        </is>
      </c>
      <c r="H9" t="n">
        <v>70000</v>
      </c>
      <c r="I9" t="inlineStr"/>
    </row>
    <row r="10">
      <c r="A10" t="inlineStr">
        <is>
          <t>2020-D0020-01-P001</t>
        </is>
      </c>
      <c r="B10" t="inlineStr">
        <is>
          <t>2020-D0020-01</t>
        </is>
      </c>
      <c r="C10" t="inlineStr">
        <is>
          <t>D0020</t>
        </is>
      </c>
      <c r="D10" t="inlineStr">
        <is>
          <t>GAP</t>
        </is>
      </c>
      <c r="E10" t="n">
        <v>2020</v>
      </c>
      <c r="F10" t="inlineStr">
        <is>
          <t>花車路權（車6）</t>
        </is>
      </c>
      <c r="G10" t="inlineStr">
        <is>
          <t>花車</t>
        </is>
      </c>
      <c r="H10" t="n">
        <v>70000</v>
      </c>
      <c r="I10" t="inlineStr"/>
    </row>
    <row r="11">
      <c r="A11" t="inlineStr">
        <is>
          <t>2020-D0041-01-P001</t>
        </is>
      </c>
      <c r="B11" t="inlineStr">
        <is>
          <t>2020-D0041-01</t>
        </is>
      </c>
      <c r="C11" t="inlineStr">
        <is>
          <t>D0041</t>
        </is>
      </c>
      <c r="D11" t="inlineStr">
        <is>
          <t>英諾美</t>
        </is>
      </c>
      <c r="E11" t="n">
        <v>2020</v>
      </c>
      <c r="F11" t="inlineStr">
        <is>
          <t>未指定品項（請參考商業收入副本）</t>
        </is>
      </c>
      <c r="G11" t="inlineStr">
        <is>
          <t>其他合作</t>
        </is>
      </c>
      <c r="H11" t="n">
        <v>70000</v>
      </c>
      <c r="I11" t="inlineStr"/>
    </row>
    <row r="12">
      <c r="A12" t="inlineStr">
        <is>
          <t>2020-D0001-01-P001</t>
        </is>
      </c>
      <c r="B12" t="inlineStr">
        <is>
          <t>2020-D0001-01</t>
        </is>
      </c>
      <c r="C12" t="inlineStr">
        <is>
          <t>D0001</t>
        </is>
      </c>
      <c r="D12" t="inlineStr">
        <is>
          <t>辻利茶舖</t>
        </is>
      </c>
      <c r="E12" t="n">
        <v>2020</v>
      </c>
      <c r="F12" t="inlineStr">
        <is>
          <t>未指定品項（請參考商業收入副本）</t>
        </is>
      </c>
      <c r="G12" t="inlineStr">
        <is>
          <t>其他合作</t>
        </is>
      </c>
      <c r="H12" t="n">
        <v>20000</v>
      </c>
      <c r="I12" t="inlineStr"/>
    </row>
    <row r="13">
      <c r="A13" t="inlineStr">
        <is>
          <t>2020-D0034-01-P001</t>
        </is>
      </c>
      <c r="B13" t="inlineStr">
        <is>
          <t>2020-D0034-01</t>
        </is>
      </c>
      <c r="C13" t="inlineStr">
        <is>
          <t>D0034</t>
        </is>
      </c>
      <c r="D13" t="inlineStr">
        <is>
          <t>Tstudio</t>
        </is>
      </c>
      <c r="E13" t="n">
        <v>2020</v>
      </c>
      <c r="F13" t="inlineStr">
        <is>
          <t>未指定品項（請參考商業收入副本）</t>
        </is>
      </c>
      <c r="G13" t="inlineStr">
        <is>
          <t>其他合作</t>
        </is>
      </c>
      <c r="H13" t="n">
        <v>30000</v>
      </c>
      <c r="I13" t="inlineStr"/>
    </row>
    <row r="14">
      <c r="A14" t="inlineStr">
        <is>
          <t>2020-D0048-01-P001</t>
        </is>
      </c>
      <c r="B14" t="inlineStr">
        <is>
          <t>2020-D0048-01</t>
        </is>
      </c>
      <c r="C14" t="inlineStr">
        <is>
          <t>D0048</t>
        </is>
      </c>
      <c r="D14" t="inlineStr">
        <is>
          <t>EY</t>
        </is>
      </c>
      <c r="E14" t="n">
        <v>2020</v>
      </c>
      <c r="F14" t="inlineStr">
        <is>
          <t>未指定品項（請參考商業收入副本）</t>
        </is>
      </c>
      <c r="G14" t="inlineStr">
        <is>
          <t>其他合作</t>
        </is>
      </c>
      <c r="H14" t="n">
        <v>40500</v>
      </c>
      <c r="I14" t="inlineStr"/>
    </row>
    <row r="15">
      <c r="A15" t="inlineStr">
        <is>
          <t>2020-D0051-01-P001</t>
        </is>
      </c>
      <c r="B15" t="inlineStr">
        <is>
          <t>2020-D0051-01</t>
        </is>
      </c>
      <c r="C15" t="inlineStr">
        <is>
          <t>D0051</t>
        </is>
      </c>
      <c r="D15" t="inlineStr">
        <is>
          <t>redbull</t>
        </is>
      </c>
      <c r="E15" t="n">
        <v>2020</v>
      </c>
      <c r="F15" t="inlineStr">
        <is>
          <t>花車路權（頭車1）</t>
        </is>
      </c>
      <c r="G15" t="inlineStr">
        <is>
          <t>花車</t>
        </is>
      </c>
      <c r="H15" t="n">
        <v>180000</v>
      </c>
      <c r="I15" t="inlineStr"/>
    </row>
    <row r="16">
      <c r="A16" t="inlineStr">
        <is>
          <t>2020-D0052-01-P001</t>
        </is>
      </c>
      <c r="B16" t="inlineStr">
        <is>
          <t>2020-D0052-01</t>
        </is>
      </c>
      <c r="C16" t="inlineStr">
        <is>
          <t>D0052</t>
        </is>
      </c>
      <c r="D16" t="inlineStr">
        <is>
          <t>GSK</t>
        </is>
      </c>
      <c r="E16" t="n">
        <v>2020</v>
      </c>
      <c r="F16" t="inlineStr">
        <is>
          <t>銀級1內含包</t>
        </is>
      </c>
      <c r="G16" t="inlineStr">
        <is>
          <t>其他合作</t>
        </is>
      </c>
      <c r="H16" t="n">
        <v>160000</v>
      </c>
      <c r="I16" t="inlineStr">
        <is>
          <t>含級別內含品項，詳細項目請參考商業收入副本</t>
        </is>
      </c>
    </row>
    <row r="17">
      <c r="A17" t="inlineStr">
        <is>
          <t>2020-D0052-01-B001</t>
        </is>
      </c>
      <c r="B17" t="inlineStr">
        <is>
          <t>2020-D0052-01</t>
        </is>
      </c>
      <c r="C17" t="inlineStr">
        <is>
          <t>D0052</t>
        </is>
      </c>
      <c r="D17" t="inlineStr">
        <is>
          <t>GSK</t>
        </is>
      </c>
      <c r="E17" t="n">
        <v>2020</v>
      </c>
      <c r="F17" t="inlineStr">
        <is>
          <t>市集帳篷 (1 頂)</t>
        </is>
      </c>
      <c r="G17" t="inlineStr">
        <is>
          <t>市集帳篷</t>
        </is>
      </c>
      <c r="I17" t="inlineStr">
        <is>
          <t>級別內含 1 頂</t>
        </is>
      </c>
    </row>
    <row r="18">
      <c r="A18" t="inlineStr">
        <is>
          <t>2020-D0053-01-P001</t>
        </is>
      </c>
      <c r="B18" t="inlineStr">
        <is>
          <t>2020-D0053-01</t>
        </is>
      </c>
      <c r="C18" t="inlineStr">
        <is>
          <t>D0053</t>
        </is>
      </c>
      <c r="D18" t="inlineStr">
        <is>
          <t>磊山</t>
        </is>
      </c>
      <c r="E18" t="n">
        <v>2020</v>
      </c>
      <c r="F18" t="inlineStr">
        <is>
          <t>銀級2內含包</t>
        </is>
      </c>
      <c r="G18" t="inlineStr">
        <is>
          <t>其他合作</t>
        </is>
      </c>
      <c r="H18" t="n">
        <v>160000</v>
      </c>
      <c r="I18" t="inlineStr">
        <is>
          <t>含級別內含品項，詳細項目請參考商業收入副本</t>
        </is>
      </c>
    </row>
    <row r="19">
      <c r="A19" t="inlineStr">
        <is>
          <t>2020-D0053-01-B001</t>
        </is>
      </c>
      <c r="B19" t="inlineStr">
        <is>
          <t>2020-D0053-01</t>
        </is>
      </c>
      <c r="C19" t="inlineStr">
        <is>
          <t>D0053</t>
        </is>
      </c>
      <c r="D19" t="inlineStr">
        <is>
          <t>磊山</t>
        </is>
      </c>
      <c r="E19" t="n">
        <v>2020</v>
      </c>
      <c r="F19" t="inlineStr">
        <is>
          <t>市集帳篷 (1 頂)</t>
        </is>
      </c>
      <c r="G19" t="inlineStr">
        <is>
          <t>市集帳篷</t>
        </is>
      </c>
      <c r="I19" t="inlineStr">
        <is>
          <t>級別內含 1 頂</t>
        </is>
      </c>
    </row>
    <row r="20">
      <c r="A20" t="inlineStr">
        <is>
          <t>2020-D0054-01-P001</t>
        </is>
      </c>
      <c r="B20" t="inlineStr">
        <is>
          <t>2020-D0054-01</t>
        </is>
      </c>
      <c r="C20" t="inlineStr">
        <is>
          <t>D0054</t>
        </is>
      </c>
      <c r="D20" t="inlineStr">
        <is>
          <t>TINDER</t>
        </is>
      </c>
      <c r="E20" t="n">
        <v>2020</v>
      </c>
      <c r="F20" t="inlineStr">
        <is>
          <t>銀級3內含包</t>
        </is>
      </c>
      <c r="G20" t="inlineStr">
        <is>
          <t>其他合作</t>
        </is>
      </c>
      <c r="H20" t="n">
        <v>160000</v>
      </c>
      <c r="I20" t="inlineStr">
        <is>
          <t>含級別內含品項，詳細項目請參考商業收入副本</t>
        </is>
      </c>
    </row>
    <row r="21">
      <c r="A21" t="inlineStr">
        <is>
          <t>2020-D0054-01-B001</t>
        </is>
      </c>
      <c r="B21" t="inlineStr">
        <is>
          <t>2020-D0054-01</t>
        </is>
      </c>
      <c r="C21" t="inlineStr">
        <is>
          <t>D0054</t>
        </is>
      </c>
      <c r="D21" t="inlineStr">
        <is>
          <t>TINDER</t>
        </is>
      </c>
      <c r="E21" t="n">
        <v>2020</v>
      </c>
      <c r="F21" t="inlineStr">
        <is>
          <t>市集帳篷 (1 頂)</t>
        </is>
      </c>
      <c r="G21" t="inlineStr">
        <is>
          <t>市集帳篷</t>
        </is>
      </c>
      <c r="I21" t="inlineStr">
        <is>
          <t>級別內含 1 頂</t>
        </is>
      </c>
    </row>
    <row r="22">
      <c r="A22" t="inlineStr">
        <is>
          <t>2020-D0055-01-P001</t>
        </is>
      </c>
      <c r="B22" t="inlineStr">
        <is>
          <t>2020-D0055-01</t>
        </is>
      </c>
      <c r="C22" t="inlineStr">
        <is>
          <t>D0055</t>
        </is>
      </c>
      <c r="D22" t="inlineStr">
        <is>
          <t>Microsoft</t>
        </is>
      </c>
      <c r="E22" t="n">
        <v>2020</v>
      </c>
      <c r="F22" t="inlineStr">
        <is>
          <t>銀級4內含包</t>
        </is>
      </c>
      <c r="G22" t="inlineStr">
        <is>
          <t>其他合作</t>
        </is>
      </c>
      <c r="H22" t="n">
        <v>160000</v>
      </c>
      <c r="I22" t="inlineStr">
        <is>
          <t>含級別內含品項，詳細項目請參考商業收入副本</t>
        </is>
      </c>
    </row>
    <row r="23">
      <c r="A23" t="inlineStr">
        <is>
          <t>2020-D0055-01-B001</t>
        </is>
      </c>
      <c r="B23" t="inlineStr">
        <is>
          <t>2020-D0055-01</t>
        </is>
      </c>
      <c r="C23" t="inlineStr">
        <is>
          <t>D0055</t>
        </is>
      </c>
      <c r="D23" t="inlineStr">
        <is>
          <t>Microsoft</t>
        </is>
      </c>
      <c r="E23" t="n">
        <v>2020</v>
      </c>
      <c r="F23" t="inlineStr">
        <is>
          <t>市集帳篷 (1 頂)</t>
        </is>
      </c>
      <c r="G23" t="inlineStr">
        <is>
          <t>市集帳篷</t>
        </is>
      </c>
      <c r="I23" t="inlineStr">
        <is>
          <t>級別內含 1 頂</t>
        </is>
      </c>
    </row>
    <row r="24">
      <c r="A24" t="inlineStr">
        <is>
          <t>2020-D0056-01-P001</t>
        </is>
      </c>
      <c r="B24" t="inlineStr">
        <is>
          <t>2020-D0056-01</t>
        </is>
      </c>
      <c r="C24" t="inlineStr">
        <is>
          <t>D0056</t>
        </is>
      </c>
      <c r="D24" t="inlineStr">
        <is>
          <t>台灣百健</t>
        </is>
      </c>
      <c r="E24" t="n">
        <v>2020</v>
      </c>
      <c r="F24" t="inlineStr">
        <is>
          <t>銀級6內含包</t>
        </is>
      </c>
      <c r="G24" t="inlineStr">
        <is>
          <t>其他合作</t>
        </is>
      </c>
      <c r="H24" t="n">
        <v>160000</v>
      </c>
      <c r="I24" t="inlineStr">
        <is>
          <t>含級別內含品項，詳細項目請參考商業收入副本</t>
        </is>
      </c>
    </row>
    <row r="25">
      <c r="A25" t="inlineStr">
        <is>
          <t>2020-D0057-01-P001</t>
        </is>
      </c>
      <c r="B25" t="inlineStr">
        <is>
          <t>2020-D0057-01</t>
        </is>
      </c>
      <c r="C25" t="inlineStr">
        <is>
          <t>D0057</t>
        </is>
      </c>
      <c r="D25" t="inlineStr">
        <is>
          <t>Foodpanda</t>
        </is>
      </c>
      <c r="E25" t="n">
        <v>2020</v>
      </c>
      <c r="F25" t="inlineStr">
        <is>
          <t>銀級8內含包</t>
        </is>
      </c>
      <c r="G25" t="inlineStr">
        <is>
          <t>其他合作</t>
        </is>
      </c>
      <c r="H25" t="n">
        <v>160000</v>
      </c>
      <c r="I25" t="inlineStr">
        <is>
          <t>含級別內含品項，詳細項目請參考商業收入副本</t>
        </is>
      </c>
    </row>
    <row r="26">
      <c r="A26" t="inlineStr">
        <is>
          <t>2020-D0057-01-B001</t>
        </is>
      </c>
      <c r="B26" t="inlineStr">
        <is>
          <t>2020-D0057-01</t>
        </is>
      </c>
      <c r="C26" t="inlineStr">
        <is>
          <t>D0057</t>
        </is>
      </c>
      <c r="D26" t="inlineStr">
        <is>
          <t>Foodpanda</t>
        </is>
      </c>
      <c r="E26" t="n">
        <v>2020</v>
      </c>
      <c r="F26" t="inlineStr">
        <is>
          <t>市集帳篷 (1 頂)</t>
        </is>
      </c>
      <c r="G26" t="inlineStr">
        <is>
          <t>市集帳篷</t>
        </is>
      </c>
      <c r="I26" t="inlineStr">
        <is>
          <t>級別內含 1 頂</t>
        </is>
      </c>
    </row>
    <row r="27">
      <c r="A27" t="inlineStr">
        <is>
          <t>2020-D0058-01-P001</t>
        </is>
      </c>
      <c r="B27" t="inlineStr">
        <is>
          <t>2020-D0058-01</t>
        </is>
      </c>
      <c r="C27" t="inlineStr">
        <is>
          <t>D0058</t>
        </is>
      </c>
      <c r="D27" t="inlineStr">
        <is>
          <t>Unilever</t>
        </is>
      </c>
      <c r="E27" t="n">
        <v>2020</v>
      </c>
      <c r="F27" t="inlineStr">
        <is>
          <t>銀級9內含包</t>
        </is>
      </c>
      <c r="G27" t="inlineStr">
        <is>
          <t>其他合作</t>
        </is>
      </c>
      <c r="H27" t="n">
        <v>160000</v>
      </c>
      <c r="I27" t="inlineStr">
        <is>
          <t>含級別內含品項，詳細項目請參考商業收入副本</t>
        </is>
      </c>
    </row>
    <row r="28">
      <c r="A28" t="inlineStr">
        <is>
          <t>2020-D0058-01-B001</t>
        </is>
      </c>
      <c r="B28" t="inlineStr">
        <is>
          <t>2020-D0058-01</t>
        </is>
      </c>
      <c r="C28" t="inlineStr">
        <is>
          <t>D0058</t>
        </is>
      </c>
      <c r="D28" t="inlineStr">
        <is>
          <t>Unilever</t>
        </is>
      </c>
      <c r="E28" t="n">
        <v>2020</v>
      </c>
      <c r="F28" t="inlineStr">
        <is>
          <t>市集帳篷 (2 頂)</t>
        </is>
      </c>
      <c r="G28" t="inlineStr">
        <is>
          <t>市集帳篷</t>
        </is>
      </c>
      <c r="I28" t="inlineStr">
        <is>
          <t>級別內含 2 頂</t>
        </is>
      </c>
    </row>
    <row r="29">
      <c r="A29" t="inlineStr">
        <is>
          <t>2020-D0059-01-P001</t>
        </is>
      </c>
      <c r="B29" t="inlineStr">
        <is>
          <t>2020-D0059-01</t>
        </is>
      </c>
      <c r="C29" t="inlineStr">
        <is>
          <t>D0059</t>
        </is>
      </c>
      <c r="D29" t="inlineStr">
        <is>
          <t>PINKOI</t>
        </is>
      </c>
      <c r="E29" t="n">
        <v>2020</v>
      </c>
      <c r="F29" t="inlineStr">
        <is>
          <t>銀級10內含包</t>
        </is>
      </c>
      <c r="G29" t="inlineStr">
        <is>
          <t>其他合作</t>
        </is>
      </c>
      <c r="H29" t="n">
        <v>160000</v>
      </c>
      <c r="I29" t="inlineStr">
        <is>
          <t>含級別內含品項，詳細項目請參考商業收入副本</t>
        </is>
      </c>
    </row>
    <row r="30">
      <c r="A30" t="inlineStr">
        <is>
          <t>2020-D0060-01-P001</t>
        </is>
      </c>
      <c r="B30" t="inlineStr">
        <is>
          <t>2020-D0060-01</t>
        </is>
      </c>
      <c r="C30" t="inlineStr">
        <is>
          <t>D0060</t>
        </is>
      </c>
      <c r="D30" t="inlineStr">
        <is>
          <t>澤豐</t>
        </is>
      </c>
      <c r="E30" t="n">
        <v>2020</v>
      </c>
      <c r="F30" t="inlineStr">
        <is>
          <t>未指定品項（請參考商業收入副本）</t>
        </is>
      </c>
      <c r="G30" t="inlineStr">
        <is>
          <t>其他合作</t>
        </is>
      </c>
      <c r="H30" t="n">
        <v>102000</v>
      </c>
      <c r="I30" t="inlineStr"/>
    </row>
    <row r="31">
      <c r="A31" t="inlineStr">
        <is>
          <t>2020-D0061-01-P001</t>
        </is>
      </c>
      <c r="B31" t="inlineStr">
        <is>
          <t>2020-D0061-01</t>
        </is>
      </c>
      <c r="C31" t="inlineStr">
        <is>
          <t>D0061</t>
        </is>
      </c>
      <c r="D31" t="inlineStr">
        <is>
          <t>Klook</t>
        </is>
      </c>
      <c r="E31" t="n">
        <v>2020</v>
      </c>
      <c r="F31" t="inlineStr">
        <is>
          <t>花車路權（車7）</t>
        </is>
      </c>
      <c r="G31" t="inlineStr">
        <is>
          <t>花車</t>
        </is>
      </c>
      <c r="H31" t="n">
        <v>80000</v>
      </c>
      <c r="I31" t="inlineStr"/>
    </row>
    <row r="32">
      <c r="A32" t="inlineStr">
        <is>
          <t>2020-D0062-01-P001</t>
        </is>
      </c>
      <c r="B32" t="inlineStr">
        <is>
          <t>2020-D0062-01</t>
        </is>
      </c>
      <c r="C32" t="inlineStr">
        <is>
          <t>D0062</t>
        </is>
      </c>
      <c r="D32" t="inlineStr">
        <is>
          <t>台虎</t>
        </is>
      </c>
      <c r="E32" t="n">
        <v>2020</v>
      </c>
      <c r="F32" t="inlineStr">
        <is>
          <t>未指定品項（請參考商業收入副本）</t>
        </is>
      </c>
      <c r="G32" t="inlineStr">
        <is>
          <t>其他合作</t>
        </is>
      </c>
      <c r="H32" t="n">
        <v>80000</v>
      </c>
      <c r="I32" t="inlineStr"/>
    </row>
    <row r="33">
      <c r="A33" t="inlineStr">
        <is>
          <t>2020-D0063-01-P001</t>
        </is>
      </c>
      <c r="B33" t="inlineStr">
        <is>
          <t>2020-D0063-01</t>
        </is>
      </c>
      <c r="C33" t="inlineStr">
        <is>
          <t>D0063</t>
        </is>
      </c>
      <c r="D33" t="inlineStr">
        <is>
          <t>獨角落</t>
        </is>
      </c>
      <c r="E33" t="n">
        <v>2020</v>
      </c>
      <c r="F33" t="inlineStr">
        <is>
          <t>花車路權（車2）</t>
        </is>
      </c>
      <c r="G33" t="inlineStr">
        <is>
          <t>花車</t>
        </is>
      </c>
      <c r="H33" t="n">
        <v>70000</v>
      </c>
      <c r="I33" t="inlineStr"/>
    </row>
    <row r="34">
      <c r="A34" t="inlineStr">
        <is>
          <t>2020-D0064-01-P001</t>
        </is>
      </c>
      <c r="B34" t="inlineStr">
        <is>
          <t>2020-D0064-01</t>
        </is>
      </c>
      <c r="C34" t="inlineStr">
        <is>
          <t>D0064</t>
        </is>
      </c>
      <c r="D34" t="inlineStr">
        <is>
          <t>瑪莉珍比薩</t>
        </is>
      </c>
      <c r="E34" t="n">
        <v>2020</v>
      </c>
      <c r="F34" t="inlineStr">
        <is>
          <t>花車路權（車3）</t>
        </is>
      </c>
      <c r="G34" t="inlineStr">
        <is>
          <t>花車</t>
        </is>
      </c>
      <c r="H34" t="n">
        <v>70000</v>
      </c>
      <c r="I34" t="inlineStr"/>
    </row>
    <row r="35">
      <c r="A35" t="inlineStr">
        <is>
          <t>2020-D0065-01-P001</t>
        </is>
      </c>
      <c r="B35" t="inlineStr">
        <is>
          <t>2020-D0065-01</t>
        </is>
      </c>
      <c r="C35" t="inlineStr">
        <is>
          <t>D0065</t>
        </is>
      </c>
      <c r="D35" t="inlineStr">
        <is>
          <t>SONY</t>
        </is>
      </c>
      <c r="E35" t="n">
        <v>2020</v>
      </c>
      <c r="F35" t="inlineStr">
        <is>
          <t>花車路權（車4）</t>
        </is>
      </c>
      <c r="G35" t="inlineStr">
        <is>
          <t>花車</t>
        </is>
      </c>
      <c r="H35" t="n">
        <v>70000</v>
      </c>
      <c r="I35" t="inlineStr"/>
    </row>
    <row r="36">
      <c r="A36" t="inlineStr">
        <is>
          <t>2020-D0066-01-P001</t>
        </is>
      </c>
      <c r="B36" t="inlineStr">
        <is>
          <t>2020-D0066-01</t>
        </is>
      </c>
      <c r="C36" t="inlineStr">
        <is>
          <t>D0066</t>
        </is>
      </c>
      <c r="D36" t="inlineStr">
        <is>
          <t>GOLIN</t>
        </is>
      </c>
      <c r="E36" t="n">
        <v>2020</v>
      </c>
      <c r="F36" t="inlineStr">
        <is>
          <t>花車路權（車5）</t>
        </is>
      </c>
      <c r="G36" t="inlineStr">
        <is>
          <t>花車</t>
        </is>
      </c>
      <c r="H36" t="n">
        <v>70000</v>
      </c>
      <c r="I36" t="inlineStr"/>
    </row>
    <row r="37">
      <c r="A37" t="inlineStr">
        <is>
          <t>2020-D0067-01-P001</t>
        </is>
      </c>
      <c r="B37" t="inlineStr">
        <is>
          <t>2020-D0067-01</t>
        </is>
      </c>
      <c r="C37" t="inlineStr">
        <is>
          <t>D0067</t>
        </is>
      </c>
      <c r="D37" t="inlineStr">
        <is>
          <t>hyve solutions</t>
        </is>
      </c>
      <c r="E37" t="n">
        <v>2020</v>
      </c>
      <c r="F37" t="inlineStr">
        <is>
          <t>未指定品項（請參考商業收入副本）</t>
        </is>
      </c>
      <c r="G37" t="inlineStr">
        <is>
          <t>其他合作</t>
        </is>
      </c>
      <c r="H37" t="n">
        <v>60000</v>
      </c>
      <c r="I37" t="inlineStr"/>
    </row>
    <row r="38">
      <c r="A38" t="inlineStr">
        <is>
          <t>2020-D0068-01-P001</t>
        </is>
      </c>
      <c r="B38" t="inlineStr">
        <is>
          <t>2020-D0068-01</t>
        </is>
      </c>
      <c r="C38" t="inlineStr">
        <is>
          <t>D0068</t>
        </is>
      </c>
      <c r="D38" t="inlineStr">
        <is>
          <t>JACK D</t>
        </is>
      </c>
      <c r="E38" t="n">
        <v>2020</v>
      </c>
      <c r="F38" t="inlineStr">
        <is>
          <t>未指定品項（請參考商業收入副本）</t>
        </is>
      </c>
      <c r="G38" t="inlineStr">
        <is>
          <t>其他合作</t>
        </is>
      </c>
      <c r="H38" t="n">
        <v>40000</v>
      </c>
      <c r="I38" t="inlineStr"/>
    </row>
    <row r="39">
      <c r="A39" t="inlineStr">
        <is>
          <t>2020-D0069-01-P001</t>
        </is>
      </c>
      <c r="B39" t="inlineStr">
        <is>
          <t>2020-D0069-01</t>
        </is>
      </c>
      <c r="C39" t="inlineStr">
        <is>
          <t>D0069</t>
        </is>
      </c>
      <c r="D39" t="inlineStr">
        <is>
          <t>熱線藥廠</t>
        </is>
      </c>
      <c r="E39" t="n">
        <v>2020</v>
      </c>
      <c r="F39" t="inlineStr">
        <is>
          <t>未指定品項（請參考商業收入副本）</t>
        </is>
      </c>
      <c r="G39" t="inlineStr">
        <is>
          <t>其他合作</t>
        </is>
      </c>
      <c r="H39" t="n">
        <v>40000</v>
      </c>
      <c r="I39" t="inlineStr"/>
    </row>
    <row r="40">
      <c r="A40" t="inlineStr">
        <is>
          <t>2020-D0070-01-P001</t>
        </is>
      </c>
      <c r="B40" t="inlineStr">
        <is>
          <t>2020-D0070-01</t>
        </is>
      </c>
      <c r="C40" t="inlineStr">
        <is>
          <t>D0070</t>
        </is>
      </c>
      <c r="D40" t="inlineStr">
        <is>
          <t>HotelCom</t>
        </is>
      </c>
      <c r="E40" t="n">
        <v>2020</v>
      </c>
      <c r="F40" t="inlineStr">
        <is>
          <t>未指定品項（請參考商業收入副本）</t>
        </is>
      </c>
      <c r="G40" t="inlineStr">
        <is>
          <t>其他合作</t>
        </is>
      </c>
      <c r="H40" t="n">
        <v>30000</v>
      </c>
      <c r="I40" t="inlineStr"/>
    </row>
    <row r="41">
      <c r="A41" t="inlineStr">
        <is>
          <t>2020-D0071-01-P001</t>
        </is>
      </c>
      <c r="B41" t="inlineStr">
        <is>
          <t>2020-D0071-01</t>
        </is>
      </c>
      <c r="C41" t="inlineStr">
        <is>
          <t>D0071</t>
        </is>
      </c>
      <c r="D41" t="inlineStr">
        <is>
          <t>放駟科技</t>
        </is>
      </c>
      <c r="E41" t="n">
        <v>2020</v>
      </c>
      <c r="F41" t="inlineStr">
        <is>
          <t>未指定品項（請參考商業收入副本）</t>
        </is>
      </c>
      <c r="G41" t="inlineStr">
        <is>
          <t>其他合作</t>
        </is>
      </c>
      <c r="H41" t="n">
        <v>20000</v>
      </c>
      <c r="I41" t="inlineStr"/>
    </row>
    <row r="42">
      <c r="A42" t="inlineStr">
        <is>
          <t>2020-D0072-01-P001</t>
        </is>
      </c>
      <c r="B42" t="inlineStr">
        <is>
          <t>2020-D0072-01</t>
        </is>
      </c>
      <c r="C42" t="inlineStr">
        <is>
          <t>D0072</t>
        </is>
      </c>
      <c r="D42" t="inlineStr">
        <is>
          <t>大安金普頓</t>
        </is>
      </c>
      <c r="E42" t="n">
        <v>2020</v>
      </c>
      <c r="F42" t="inlineStr">
        <is>
          <t>未指定品項（請參考商業收入副本）</t>
        </is>
      </c>
      <c r="G42" t="inlineStr">
        <is>
          <t>其他合作</t>
        </is>
      </c>
      <c r="H42" t="n">
        <v>18000</v>
      </c>
      <c r="I42" t="inlineStr"/>
    </row>
    <row r="43">
      <c r="A43" t="inlineStr">
        <is>
          <t>2020-D0072-01-B001</t>
        </is>
      </c>
      <c r="B43" t="inlineStr">
        <is>
          <t>2020-D0072-01</t>
        </is>
      </c>
      <c r="C43" t="inlineStr">
        <is>
          <t>D0072</t>
        </is>
      </c>
      <c r="D43" t="inlineStr">
        <is>
          <t>大安金普頓</t>
        </is>
      </c>
      <c r="E43" t="n">
        <v>2020</v>
      </c>
      <c r="F43" t="inlineStr">
        <is>
          <t>市集帳篷 (1 頂)</t>
        </is>
      </c>
      <c r="G43" t="inlineStr">
        <is>
          <t>市集帳篷</t>
        </is>
      </c>
      <c r="I43" t="inlineStr">
        <is>
          <t>級別內含 1 頂</t>
        </is>
      </c>
    </row>
    <row r="44">
      <c r="A44" t="inlineStr">
        <is>
          <t>2020-D0073-01-P001</t>
        </is>
      </c>
      <c r="B44" t="inlineStr">
        <is>
          <t>2020-D0073-01</t>
        </is>
      </c>
      <c r="C44" t="inlineStr">
        <is>
          <t>D0073</t>
        </is>
      </c>
      <c r="D44" t="inlineStr">
        <is>
          <t>ANASIUM 艾納舒</t>
        </is>
      </c>
      <c r="E44" t="n">
        <v>2020</v>
      </c>
      <c r="F44" t="inlineStr">
        <is>
          <t>DM A7</t>
        </is>
      </c>
      <c r="G44" t="inlineStr">
        <is>
          <t>印刷品贊助</t>
        </is>
      </c>
      <c r="H44" t="n">
        <v>15000</v>
      </c>
      <c r="I44" t="inlineStr"/>
    </row>
    <row r="45">
      <c r="A45" t="inlineStr">
        <is>
          <t>2020-D0074-01-P001</t>
        </is>
      </c>
      <c r="B45" t="inlineStr">
        <is>
          <t>2020-D0074-01</t>
        </is>
      </c>
      <c r="C45" t="inlineStr">
        <is>
          <t>D0074</t>
        </is>
      </c>
      <c r="D45" t="inlineStr">
        <is>
          <t>18歲公民聯盟</t>
        </is>
      </c>
      <c r="E45" t="n">
        <v>2020</v>
      </c>
      <c r="F45" t="inlineStr">
        <is>
          <t>小舞台</t>
        </is>
      </c>
      <c r="G45" t="inlineStr">
        <is>
          <t>現場版位露出</t>
        </is>
      </c>
      <c r="H45" t="n">
        <v>15000</v>
      </c>
      <c r="I45" t="inlineStr"/>
    </row>
    <row r="46">
      <c r="A46" t="inlineStr">
        <is>
          <t>2020-D0075-01-P001</t>
        </is>
      </c>
      <c r="B46" t="inlineStr">
        <is>
          <t>2020-D0075-01</t>
        </is>
      </c>
      <c r="C46" t="inlineStr">
        <is>
          <t>D0075</t>
        </is>
      </c>
      <c r="D46" t="inlineStr">
        <is>
          <t>紅樓</t>
        </is>
      </c>
      <c r="E46" t="n">
        <v>2020</v>
      </c>
      <c r="F46" t="inlineStr">
        <is>
          <t>DM 升級A6</t>
        </is>
      </c>
      <c r="G46" t="inlineStr">
        <is>
          <t>印刷品贊助</t>
        </is>
      </c>
      <c r="H46" t="n">
        <v>12000</v>
      </c>
      <c r="I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8" customWidth="1" min="10" max="10"/>
    <col width="8" customWidth="1" min="11" max="11"/>
    <col width="14" customWidth="1" min="12" max="12"/>
    <col width="45" customWidth="1" min="13" max="13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是否早鳥</t>
        </is>
      </c>
      <c r="G1" s="3" t="inlineStr">
        <is>
          <t>攤位金額</t>
        </is>
      </c>
      <c r="H1" s="3" t="inlineStr">
        <is>
          <t>攤位編號</t>
        </is>
      </c>
      <c r="I1" s="3" t="inlineStr">
        <is>
          <t>是否為公益組織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同年是否亦為級別廠商</t>
        </is>
      </c>
      <c r="M1" s="3" t="inlineStr">
        <is>
          <t>備註</t>
        </is>
      </c>
    </row>
    <row r="2">
      <c r="A2" t="inlineStr"/>
      <c r="B2" t="inlineStr"/>
      <c r="C2" t="inlineStr">
        <is>
          <t>（無資料）</t>
        </is>
      </c>
      <c r="D2" t="n">
        <v>2020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2020 個別市集攤位資料未拆分至廠商層級，僅有聚合（獨立 300k／合併 155k／NGO 94.5k）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1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2019 → 2020 廠商回流分析</t>
        </is>
      </c>
    </row>
    <row r="2"/>
    <row r="3">
      <c r="A3" s="4" t="inlineStr">
        <is>
          <t>✅ 回流廠商 — 10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上次年份</t>
        </is>
      </c>
      <c r="D4" s="5" t="inlineStr">
        <is>
          <t>上次金額</t>
        </is>
      </c>
      <c r="E4" s="5" t="inlineStr">
        <is>
          <t>2020 金額</t>
        </is>
      </c>
      <c r="F4" s="5" t="inlineStr">
        <is>
          <t>變化</t>
        </is>
      </c>
      <c r="G4" s="5" t="inlineStr">
        <is>
          <t>備註</t>
        </is>
      </c>
    </row>
    <row r="5">
      <c r="A5" s="6" t="inlineStr">
        <is>
          <t>D0028</t>
        </is>
      </c>
      <c r="B5" s="6" t="inlineStr">
        <is>
          <t>GILEAD</t>
        </is>
      </c>
      <c r="C5" s="6" t="n">
        <v>2019</v>
      </c>
      <c r="D5" s="6" t="n">
        <v>500000</v>
      </c>
      <c r="E5" s="6" t="n">
        <v>595000</v>
      </c>
      <c r="F5" s="6" t="inlineStr">
        <is>
          <t>📈 升級（+NTD 95,000）</t>
        </is>
      </c>
      <c r="G5" s="6" t="inlineStr">
        <is>
          <t>🌟 黃金級連 2 年，含空飄球加購</t>
        </is>
      </c>
    </row>
    <row r="6">
      <c r="A6" s="6" t="inlineStr">
        <is>
          <t>D0032</t>
        </is>
      </c>
      <c r="B6" s="6" t="inlineStr">
        <is>
          <t>GSTAR</t>
        </is>
      </c>
      <c r="C6" s="6" t="n">
        <v>2019</v>
      </c>
      <c r="D6" s="6" t="n">
        <v>150000</v>
      </c>
      <c r="E6" s="6" t="n">
        <v>160000</v>
      </c>
      <c r="F6" s="6" t="inlineStr">
        <is>
          <t>📈 升級（+NTD 10,000）</t>
        </is>
      </c>
      <c r="G6" s="6" t="inlineStr"/>
    </row>
    <row r="7">
      <c r="A7" s="6" t="inlineStr">
        <is>
          <t>D0006</t>
        </is>
      </c>
      <c r="B7" s="6" t="inlineStr">
        <is>
          <t>Les Park</t>
        </is>
      </c>
      <c r="C7" s="6" t="n">
        <v>2019</v>
      </c>
      <c r="D7" s="6" t="n">
        <v>90160</v>
      </c>
      <c r="E7" s="6" t="n">
        <v>160000</v>
      </c>
      <c r="F7" s="6" t="inlineStr">
        <is>
          <t>📈 升級（+NTD 69,840）</t>
        </is>
      </c>
      <c r="G7" s="6" t="inlineStr"/>
    </row>
    <row r="8">
      <c r="A8" s="6" t="inlineStr">
        <is>
          <t>D0037</t>
        </is>
      </c>
      <c r="B8" s="6" t="inlineStr">
        <is>
          <t>Google</t>
        </is>
      </c>
      <c r="C8" s="6" t="n">
        <v>2019</v>
      </c>
      <c r="D8" s="6" t="n">
        <v>150000</v>
      </c>
      <c r="E8" s="6" t="n">
        <v>160000</v>
      </c>
      <c r="F8" s="6" t="inlineStr">
        <is>
          <t>📈 升級（+NTD 10,000）</t>
        </is>
      </c>
      <c r="G8" s="6" t="inlineStr"/>
    </row>
    <row r="9">
      <c r="A9" s="6" t="inlineStr">
        <is>
          <t>D0022</t>
        </is>
      </c>
      <c r="B9" s="6" t="inlineStr">
        <is>
          <t>彩虹酷兒</t>
        </is>
      </c>
      <c r="C9" s="6" t="n">
        <v>2019</v>
      </c>
      <c r="D9" s="6" t="n">
        <v>40000</v>
      </c>
      <c r="E9" s="6" t="n">
        <v>70000</v>
      </c>
      <c r="F9" s="6" t="inlineStr">
        <is>
          <t>📈 升級（+NTD 30,000）</t>
        </is>
      </c>
      <c r="G9" s="6" t="inlineStr"/>
    </row>
    <row r="10">
      <c r="A10" s="6" t="inlineStr">
        <is>
          <t>D0020</t>
        </is>
      </c>
      <c r="B10" s="6" t="inlineStr">
        <is>
          <t>GAP</t>
        </is>
      </c>
      <c r="C10" s="6" t="n">
        <v>2019</v>
      </c>
      <c r="D10" s="6" t="n">
        <v>70000</v>
      </c>
      <c r="E10" s="6" t="n">
        <v>70000</v>
      </c>
      <c r="F10" s="6" t="inlineStr">
        <is>
          <t>➡️ 持平</t>
        </is>
      </c>
      <c r="G10" s="6" t="inlineStr"/>
    </row>
    <row r="11">
      <c r="A11" s="6" t="inlineStr">
        <is>
          <t>D0041</t>
        </is>
      </c>
      <c r="B11" s="6" t="inlineStr">
        <is>
          <t>英諾美</t>
        </is>
      </c>
      <c r="C11" s="6" t="n">
        <v>2019</v>
      </c>
      <c r="D11" s="6" t="n">
        <v>96232</v>
      </c>
      <c r="E11" s="6" t="n">
        <v>70000</v>
      </c>
      <c r="F11" s="6" t="inlineStr">
        <is>
          <t>📉 降級（NTD -26,232）</t>
        </is>
      </c>
      <c r="G11" s="6" t="inlineStr"/>
    </row>
    <row r="12">
      <c r="A12" s="6" t="inlineStr">
        <is>
          <t>D0001</t>
        </is>
      </c>
      <c r="B12" s="6" t="inlineStr">
        <is>
          <t>辻利茶舖</t>
        </is>
      </c>
      <c r="C12" s="6" t="n">
        <v>2017</v>
      </c>
      <c r="D12" s="6" t="n">
        <v>40000</v>
      </c>
      <c r="E12" s="6" t="n">
        <v>20000</v>
      </c>
      <c r="F12" s="6" t="inlineStr">
        <is>
          <t>📉 降級（NTD -20,000）</t>
        </is>
      </c>
      <c r="G12" s="6" t="inlineStr">
        <is>
          <t>跳過 2018-2019 後回流</t>
        </is>
      </c>
    </row>
    <row r="13">
      <c r="A13" s="6" t="inlineStr">
        <is>
          <t>D0034</t>
        </is>
      </c>
      <c r="B13" s="6" t="inlineStr">
        <is>
          <t>Tstudio</t>
        </is>
      </c>
      <c r="C13" s="6" t="n">
        <v>2019</v>
      </c>
      <c r="D13" s="6" t="n">
        <v>150000</v>
      </c>
      <c r="E13" s="6" t="n">
        <v>30000</v>
      </c>
      <c r="F13" s="6" t="inlineStr">
        <is>
          <t>📉 降級（NTD -120,000）</t>
        </is>
      </c>
      <c r="G13" s="6" t="inlineStr"/>
    </row>
    <row r="14">
      <c r="A14" s="6" t="inlineStr">
        <is>
          <t>D0048</t>
        </is>
      </c>
      <c r="B14" s="6" t="inlineStr">
        <is>
          <t>EY</t>
        </is>
      </c>
      <c r="C14" s="6" t="n">
        <v>2019</v>
      </c>
      <c r="D14" s="6" t="n">
        <v>40000</v>
      </c>
      <c r="E14" s="6" t="n">
        <v>40500</v>
      </c>
      <c r="F14" s="6" t="inlineStr">
        <is>
          <t>📈 升級（+NTD 500）</t>
        </is>
      </c>
      <c r="G14" s="6" t="inlineStr"/>
    </row>
    <row r="15"/>
    <row r="16">
      <c r="A16" s="4" t="inlineStr">
        <is>
          <t>💔 自 2019 後流失廠商 — 19 家</t>
        </is>
      </c>
    </row>
    <row r="17">
      <c r="A17" s="5" t="inlineStr">
        <is>
          <t>廠商編號</t>
        </is>
      </c>
      <c r="B17" s="5" t="inlineStr">
        <is>
          <t>廠商</t>
        </is>
      </c>
      <c r="C17" s="5" t="inlineStr">
        <is>
          <t>備註</t>
        </is>
      </c>
    </row>
    <row r="18">
      <c r="A18" s="7" t="inlineStr">
        <is>
          <t>D0017</t>
        </is>
      </c>
      <c r="B18" s="7" t="inlineStr">
        <is>
          <t>UBer</t>
        </is>
      </c>
      <c r="C18" s="7" t="inlineStr"/>
    </row>
    <row r="19">
      <c r="A19" s="7" t="inlineStr">
        <is>
          <t>D0021</t>
        </is>
      </c>
      <c r="B19" s="7" t="inlineStr">
        <is>
          <t>Sunpride Foundation 驕陽基金會</t>
        </is>
      </c>
      <c r="C19" s="7" t="inlineStr">
        <is>
          <t>2017+2019 連 2 年贊助後流失</t>
        </is>
      </c>
    </row>
    <row r="20">
      <c r="A20" s="7" t="inlineStr">
        <is>
          <t>D0029</t>
        </is>
      </c>
      <c r="B20" s="7" t="inlineStr">
        <is>
          <t>戶戶送</t>
        </is>
      </c>
      <c r="C20" s="7" t="inlineStr">
        <is>
          <t>2019 報價 300k 後 2020 完全消失（疫情影響？）</t>
        </is>
      </c>
    </row>
    <row r="21">
      <c r="A21" s="7" t="inlineStr">
        <is>
          <t>D0030</t>
        </is>
      </c>
      <c r="B21" s="7" t="inlineStr">
        <is>
          <t>紅樓友善商家聯盟</t>
        </is>
      </c>
      <c r="C21" s="7" t="inlineStr">
        <is>
          <t>⚠️ 2020 有「紅樓」12k，可能為其延續或另一實體</t>
        </is>
      </c>
    </row>
    <row r="22">
      <c r="A22" s="7" t="inlineStr">
        <is>
          <t>D0031</t>
        </is>
      </c>
      <c r="B22" s="7" t="inlineStr">
        <is>
          <t>美生國際</t>
        </is>
      </c>
      <c r="C22" s="7" t="inlineStr"/>
    </row>
    <row r="23">
      <c r="A23" s="7" t="inlineStr">
        <is>
          <t>D0033</t>
        </is>
      </c>
      <c r="B23" s="7" t="inlineStr">
        <is>
          <t>杰德影音</t>
        </is>
      </c>
      <c r="C23" s="7" t="inlineStr"/>
    </row>
    <row r="24">
      <c r="A24" s="7" t="inlineStr">
        <is>
          <t>D0035</t>
        </is>
      </c>
      <c r="B24" s="7" t="inlineStr">
        <is>
          <t>臺灣酷蓋</t>
        </is>
      </c>
      <c r="C24" s="7" t="inlineStr"/>
    </row>
    <row r="25">
      <c r="A25" s="7" t="inlineStr">
        <is>
          <t>D0036</t>
        </is>
      </c>
      <c r="B25" s="7" t="inlineStr">
        <is>
          <t>Double APP</t>
        </is>
      </c>
      <c r="C25" s="7" t="inlineStr"/>
    </row>
    <row r="26">
      <c r="A26" s="7" t="inlineStr">
        <is>
          <t>D0038</t>
        </is>
      </c>
      <c r="B26" s="7" t="inlineStr">
        <is>
          <t>Mozilla</t>
        </is>
      </c>
      <c r="C26" s="7" t="inlineStr"/>
    </row>
    <row r="27">
      <c r="A27" s="7" t="inlineStr">
        <is>
          <t>D0039</t>
        </is>
      </c>
      <c r="B27" s="7" t="inlineStr">
        <is>
          <t>FACEBOOK</t>
        </is>
      </c>
      <c r="C27" s="7" t="inlineStr"/>
    </row>
    <row r="28">
      <c r="A28" s="7" t="inlineStr">
        <is>
          <t>D0040</t>
        </is>
      </c>
      <c r="B28" s="7" t="inlineStr">
        <is>
          <t>DES</t>
        </is>
      </c>
      <c r="C28" s="7" t="inlineStr"/>
    </row>
    <row r="29">
      <c r="A29" s="7" t="inlineStr">
        <is>
          <t>D0042</t>
        </is>
      </c>
      <c r="B29" s="7" t="inlineStr">
        <is>
          <t>Grindr</t>
        </is>
      </c>
      <c r="C29" s="7" t="inlineStr"/>
    </row>
    <row r="30">
      <c r="A30" s="7" t="inlineStr">
        <is>
          <t>D0043</t>
        </is>
      </c>
      <c r="B30" s="7" t="inlineStr">
        <is>
          <t>哈利男孩</t>
        </is>
      </c>
      <c r="C30" s="7" t="inlineStr"/>
    </row>
    <row r="31">
      <c r="A31" s="7" t="inlineStr">
        <is>
          <t>D0044</t>
        </is>
      </c>
      <c r="B31" s="7" t="inlineStr">
        <is>
          <t>茶鋪</t>
        </is>
      </c>
      <c r="C31" s="7" t="inlineStr"/>
    </row>
    <row r="32">
      <c r="A32" s="7" t="inlineStr">
        <is>
          <t>D0045</t>
        </is>
      </c>
      <c r="B32" s="7" t="inlineStr">
        <is>
          <t>YAHOO</t>
        </is>
      </c>
      <c r="C32" s="7" t="inlineStr"/>
    </row>
    <row r="33">
      <c r="A33" s="7" t="inlineStr">
        <is>
          <t>D0046</t>
        </is>
      </c>
      <c r="B33" s="7" t="inlineStr">
        <is>
          <t>熱海</t>
        </is>
      </c>
      <c r="C33" s="7" t="inlineStr"/>
    </row>
    <row r="34">
      <c r="A34" s="7" t="inlineStr">
        <is>
          <t>D0047</t>
        </is>
      </c>
      <c r="B34" s="7" t="inlineStr">
        <is>
          <t>質男幫</t>
        </is>
      </c>
      <c r="C34" s="7" t="inlineStr"/>
    </row>
    <row r="35">
      <c r="A35" s="7" t="inlineStr">
        <is>
          <t>D0049</t>
        </is>
      </c>
      <c r="B35" s="7" t="inlineStr">
        <is>
          <t>基島科技</t>
        </is>
      </c>
      <c r="C35" s="7" t="inlineStr"/>
    </row>
    <row r="36">
      <c r="A36" s="7" t="inlineStr">
        <is>
          <t>D0050</t>
        </is>
      </c>
      <c r="B36" s="7" t="inlineStr">
        <is>
          <t>艿緦服裝有限公司</t>
        </is>
      </c>
      <c r="C36" s="7" t="inlineStr"/>
    </row>
    <row r="37"/>
    <row r="38">
      <c r="A38" s="4" t="inlineStr">
        <is>
          <t>🆕 新進廠商 — 25 家</t>
        </is>
      </c>
    </row>
    <row r="39">
      <c r="A39" s="5" t="inlineStr">
        <is>
          <t>廠商編號</t>
        </is>
      </c>
      <c r="B39" s="5" t="inlineStr">
        <is>
          <t>廠商</t>
        </is>
      </c>
      <c r="C39" s="5" t="inlineStr">
        <is>
          <t>金額</t>
        </is>
      </c>
      <c r="D39" s="5" t="inlineStr">
        <is>
          <t>主級別</t>
        </is>
      </c>
      <c r="E39" s="5" t="inlineStr">
        <is>
          <t>產業</t>
        </is>
      </c>
    </row>
    <row r="40">
      <c r="A40" s="8" t="inlineStr">
        <is>
          <t>D0051</t>
        </is>
      </c>
      <c r="B40" s="8" t="inlineStr">
        <is>
          <t>redbull</t>
        </is>
      </c>
      <c r="C40" s="8" t="n">
        <v>180000</v>
      </c>
      <c r="D40" s="8" t="inlineStr">
        <is>
          <t>T4</t>
        </is>
      </c>
      <c r="E40" s="8" t="inlineStr">
        <is>
          <t>飲料</t>
        </is>
      </c>
    </row>
    <row r="41">
      <c r="A41" s="8" t="inlineStr">
        <is>
          <t>D0052</t>
        </is>
      </c>
      <c r="B41" s="8" t="inlineStr">
        <is>
          <t>GSK</t>
        </is>
      </c>
      <c r="C41" s="8" t="n">
        <v>160000</v>
      </c>
      <c r="D41" s="8" t="inlineStr">
        <is>
          <t>T4</t>
        </is>
      </c>
      <c r="E41" s="8" t="inlineStr">
        <is>
          <t>醫藥</t>
        </is>
      </c>
    </row>
    <row r="42">
      <c r="A42" s="8" t="inlineStr">
        <is>
          <t>D0053</t>
        </is>
      </c>
      <c r="B42" s="8" t="inlineStr">
        <is>
          <t>磊山</t>
        </is>
      </c>
      <c r="C42" s="8" t="n">
        <v>160000</v>
      </c>
      <c r="D42" s="8" t="inlineStr">
        <is>
          <t>T4</t>
        </is>
      </c>
      <c r="E42" s="8" t="inlineStr">
        <is>
          <t>保險</t>
        </is>
      </c>
    </row>
    <row r="43">
      <c r="A43" s="8" t="inlineStr">
        <is>
          <t>D0054</t>
        </is>
      </c>
      <c r="B43" s="8" t="inlineStr">
        <is>
          <t>TINDER</t>
        </is>
      </c>
      <c r="C43" s="8" t="n">
        <v>160000</v>
      </c>
      <c r="D43" s="8" t="inlineStr">
        <is>
          <t>T4</t>
        </is>
      </c>
      <c r="E43" s="8" t="inlineStr">
        <is>
          <t>社交軟體</t>
        </is>
      </c>
    </row>
    <row r="44">
      <c r="A44" s="8" t="inlineStr">
        <is>
          <t>D0055</t>
        </is>
      </c>
      <c r="B44" s="8" t="inlineStr">
        <is>
          <t>Microsoft</t>
        </is>
      </c>
      <c r="C44" s="8" t="n">
        <v>160000</v>
      </c>
      <c r="D44" s="8" t="inlineStr">
        <is>
          <t>T4</t>
        </is>
      </c>
      <c r="E44" s="8" t="inlineStr">
        <is>
          <t>科技／網路</t>
        </is>
      </c>
    </row>
    <row r="45">
      <c r="A45" s="8" t="inlineStr">
        <is>
          <t>D0056</t>
        </is>
      </c>
      <c r="B45" s="8" t="inlineStr">
        <is>
          <t>台灣百健</t>
        </is>
      </c>
      <c r="C45" s="8" t="n">
        <v>160000</v>
      </c>
      <c r="D45" s="8" t="inlineStr">
        <is>
          <t>T4</t>
        </is>
      </c>
      <c r="E45" s="8" t="inlineStr">
        <is>
          <t>生技醫藥</t>
        </is>
      </c>
    </row>
    <row r="46">
      <c r="A46" s="8" t="inlineStr">
        <is>
          <t>D0057</t>
        </is>
      </c>
      <c r="B46" s="8" t="inlineStr">
        <is>
          <t>Foodpanda</t>
        </is>
      </c>
      <c r="C46" s="8" t="n">
        <v>160000</v>
      </c>
      <c r="D46" s="8" t="inlineStr">
        <is>
          <t>T4</t>
        </is>
      </c>
      <c r="E46" s="8" t="inlineStr">
        <is>
          <t>科技／外送</t>
        </is>
      </c>
    </row>
    <row r="47">
      <c r="A47" s="8" t="inlineStr">
        <is>
          <t>D0058</t>
        </is>
      </c>
      <c r="B47" s="8" t="inlineStr">
        <is>
          <t>Unilever</t>
        </is>
      </c>
      <c r="C47" s="8" t="n">
        <v>160000</v>
      </c>
      <c r="D47" s="8" t="inlineStr">
        <is>
          <t>T4</t>
        </is>
      </c>
      <c r="E47" s="8" t="inlineStr">
        <is>
          <t>民生消費</t>
        </is>
      </c>
    </row>
    <row r="48">
      <c r="A48" s="8" t="inlineStr">
        <is>
          <t>D0059</t>
        </is>
      </c>
      <c r="B48" s="8" t="inlineStr">
        <is>
          <t>PINKOI</t>
        </is>
      </c>
      <c r="C48" s="8" t="n">
        <v>160000</v>
      </c>
      <c r="D48" s="8" t="inlineStr">
        <is>
          <t>T4</t>
        </is>
      </c>
      <c r="E48" s="8" t="inlineStr">
        <is>
          <t>電商／文創</t>
        </is>
      </c>
    </row>
    <row r="49">
      <c r="A49" s="8" t="inlineStr">
        <is>
          <t>D0060</t>
        </is>
      </c>
      <c r="B49" s="8" t="inlineStr">
        <is>
          <t>澤豐</t>
        </is>
      </c>
      <c r="C49" s="8" t="n">
        <v>102000</v>
      </c>
      <c r="D49" s="8" t="inlineStr">
        <is>
          <t>T5</t>
        </is>
      </c>
      <c r="E49" s="8" t="inlineStr">
        <is>
          <t>製造（原物料）</t>
        </is>
      </c>
    </row>
    <row r="50">
      <c r="A50" s="8" t="inlineStr">
        <is>
          <t>D0061</t>
        </is>
      </c>
      <c r="B50" s="8" t="inlineStr">
        <is>
          <t>Klook</t>
        </is>
      </c>
      <c r="C50" s="8" t="n">
        <v>80000</v>
      </c>
      <c r="D50" s="8" t="inlineStr">
        <is>
          <t>T5</t>
        </is>
      </c>
      <c r="E50" s="8" t="inlineStr">
        <is>
          <t>科技／旅遊</t>
        </is>
      </c>
    </row>
    <row r="51">
      <c r="A51" s="8" t="inlineStr">
        <is>
          <t>D0062</t>
        </is>
      </c>
      <c r="B51" s="8" t="inlineStr">
        <is>
          <t>台虎</t>
        </is>
      </c>
      <c r="C51" s="8" t="n">
        <v>80000</v>
      </c>
      <c r="D51" s="8" t="inlineStr">
        <is>
          <t>T5</t>
        </is>
      </c>
      <c r="E51" s="8" t="inlineStr">
        <is>
          <t>餐飲（精釀啤酒）</t>
        </is>
      </c>
    </row>
    <row r="52">
      <c r="A52" s="8" t="inlineStr">
        <is>
          <t>D0063</t>
        </is>
      </c>
      <c r="B52" s="8" t="inlineStr">
        <is>
          <t>獨角落</t>
        </is>
      </c>
      <c r="C52" s="8" t="n">
        <v>70000</v>
      </c>
      <c r="D52" s="8" t="inlineStr">
        <is>
          <t>T5</t>
        </is>
      </c>
      <c r="E52" s="8" t="inlineStr">
        <is>
          <t>文創</t>
        </is>
      </c>
    </row>
    <row r="53">
      <c r="A53" s="8" t="inlineStr">
        <is>
          <t>D0064</t>
        </is>
      </c>
      <c r="B53" s="8" t="inlineStr">
        <is>
          <t>瑪莉珍比薩</t>
        </is>
      </c>
      <c r="C53" s="8" t="n">
        <v>70000</v>
      </c>
      <c r="D53" s="8" t="inlineStr">
        <is>
          <t>T5</t>
        </is>
      </c>
      <c r="E53" s="8" t="inlineStr">
        <is>
          <t>餐飲</t>
        </is>
      </c>
    </row>
    <row r="54">
      <c r="A54" s="8" t="inlineStr">
        <is>
          <t>D0065</t>
        </is>
      </c>
      <c r="B54" s="8" t="inlineStr">
        <is>
          <t>SONY</t>
        </is>
      </c>
      <c r="C54" s="8" t="n">
        <v>70000</v>
      </c>
      <c r="D54" s="8" t="inlineStr">
        <is>
          <t>T5</t>
        </is>
      </c>
      <c r="E54" s="8" t="inlineStr">
        <is>
          <t>電子／娛樂</t>
        </is>
      </c>
    </row>
    <row r="55">
      <c r="A55" s="8" t="inlineStr">
        <is>
          <t>D0066</t>
        </is>
      </c>
      <c r="B55" s="8" t="inlineStr">
        <is>
          <t>GOLIN</t>
        </is>
      </c>
      <c r="C55" s="8" t="n">
        <v>70000</v>
      </c>
      <c r="D55" s="8" t="inlineStr">
        <is>
          <t>T5</t>
        </is>
      </c>
      <c r="E55" s="8" t="inlineStr">
        <is>
          <t>公關／行銷</t>
        </is>
      </c>
    </row>
    <row r="56">
      <c r="A56" s="8" t="inlineStr">
        <is>
          <t>D0067</t>
        </is>
      </c>
      <c r="B56" s="8" t="inlineStr">
        <is>
          <t>hyve solutions</t>
        </is>
      </c>
      <c r="C56" s="8" t="n">
        <v>60000</v>
      </c>
      <c r="D56" s="8" t="inlineStr">
        <is>
          <t>T5</t>
        </is>
      </c>
      <c r="E56" s="8" t="inlineStr">
        <is>
          <t>科技</t>
        </is>
      </c>
    </row>
    <row r="57">
      <c r="A57" s="8" t="inlineStr">
        <is>
          <t>D0068</t>
        </is>
      </c>
      <c r="B57" s="8" t="inlineStr">
        <is>
          <t>JACK D</t>
        </is>
      </c>
      <c r="C57" s="8" t="n">
        <v>40000</v>
      </c>
      <c r="D57" s="8" t="inlineStr">
        <is>
          <t>T5</t>
        </is>
      </c>
      <c r="E57" s="8" t="inlineStr">
        <is>
          <t>社交軟體</t>
        </is>
      </c>
    </row>
    <row r="58">
      <c r="A58" s="8" t="inlineStr">
        <is>
          <t>D0069</t>
        </is>
      </c>
      <c r="B58" s="8" t="inlineStr">
        <is>
          <t>熱線藥廠</t>
        </is>
      </c>
      <c r="C58" s="8" t="n">
        <v>40000</v>
      </c>
      <c r="D58" s="8" t="inlineStr">
        <is>
          <t>T5</t>
        </is>
      </c>
      <c r="E58" s="8" t="inlineStr">
        <is>
          <t>醫藥</t>
        </is>
      </c>
    </row>
    <row r="59">
      <c r="A59" s="8" t="inlineStr">
        <is>
          <t>D0070</t>
        </is>
      </c>
      <c r="B59" s="8" t="inlineStr">
        <is>
          <t>HotelCom</t>
        </is>
      </c>
      <c r="C59" s="8" t="n">
        <v>30000</v>
      </c>
      <c r="D59" s="8" t="inlineStr">
        <is>
          <t>T6</t>
        </is>
      </c>
      <c r="E59" s="8" t="inlineStr">
        <is>
          <t>飯店訂房</t>
        </is>
      </c>
    </row>
    <row r="60">
      <c r="A60" s="8" t="inlineStr">
        <is>
          <t>D0071</t>
        </is>
      </c>
      <c r="B60" s="8" t="inlineStr">
        <is>
          <t>放駟科技</t>
        </is>
      </c>
      <c r="C60" s="8" t="n">
        <v>20000</v>
      </c>
      <c r="D60" s="8" t="inlineStr">
        <is>
          <t>T6</t>
        </is>
      </c>
      <c r="E60" s="8" t="inlineStr">
        <is>
          <t>科技</t>
        </is>
      </c>
    </row>
    <row r="61">
      <c r="A61" s="8" t="inlineStr">
        <is>
          <t>D0072</t>
        </is>
      </c>
      <c r="B61" s="8" t="inlineStr">
        <is>
          <t>大安金普頓</t>
        </is>
      </c>
      <c r="C61" s="8" t="n">
        <v>18000</v>
      </c>
      <c r="D61" s="8" t="inlineStr">
        <is>
          <t>T6</t>
        </is>
      </c>
      <c r="E61" s="8" t="inlineStr">
        <is>
          <t>飯店</t>
        </is>
      </c>
    </row>
    <row r="62">
      <c r="A62" s="8" t="inlineStr">
        <is>
          <t>D0073</t>
        </is>
      </c>
      <c r="B62" s="8" t="inlineStr">
        <is>
          <t>ANASIUM 艾納舒</t>
        </is>
      </c>
      <c r="C62" s="8" t="n">
        <v>15000</v>
      </c>
      <c r="D62" s="8" t="inlineStr">
        <is>
          <t>T6</t>
        </is>
      </c>
      <c r="E62" s="8" t="inlineStr">
        <is>
          <t>保健</t>
        </is>
      </c>
    </row>
    <row r="63">
      <c r="A63" s="8" t="inlineStr">
        <is>
          <t>D0074</t>
        </is>
      </c>
      <c r="B63" s="8" t="inlineStr">
        <is>
          <t>18歲公民聯盟</t>
        </is>
      </c>
      <c r="C63" s="8" t="n">
        <v>15000</v>
      </c>
      <c r="D63" s="8" t="inlineStr">
        <is>
          <t>T6</t>
        </is>
      </c>
      <c r="E63" s="8" t="inlineStr">
        <is>
          <t>公益／NGO</t>
        </is>
      </c>
    </row>
    <row r="64">
      <c r="A64" s="8" t="inlineStr">
        <is>
          <t>D0075</t>
        </is>
      </c>
      <c r="B64" s="8" t="inlineStr">
        <is>
          <t>紅樓</t>
        </is>
      </c>
      <c r="C64" s="8" t="n">
        <v>12000</v>
      </c>
      <c r="D64" s="8" t="inlineStr">
        <is>
          <t>T6</t>
        </is>
      </c>
      <c r="E64" s="8" t="inlineStr">
        <is>
          <t>餐飲／商圈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初版擷取。COVID 年仍如期舉行。GSTAR=G-Star 已自動匹配。紅樓 vs 紅樓友善商家聯盟 待你確認。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2026-04-29T18:19:57Z</dcterms:created>
  <dcterms:modified xmlns:dcterms="http://purl.org/dc/terms/" xmlns:xsi="http://www.w3.org/2001/XMLSchema-instance" xsi:type="dcterms:W3CDTF">2026-04-29T18:19:57Z</dcterms:modified>
</cp:coreProperties>
</file>