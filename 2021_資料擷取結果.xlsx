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2021_fact_sponsorship" sheetId="2" state="visible" r:id="rId2"/>
    <sheet xmlns:r="http://schemas.openxmlformats.org/officeDocument/2006/relationships" name="2021_dim_year" sheetId="3" state="visible" r:id="rId3"/>
    <sheet xmlns:r="http://schemas.openxmlformats.org/officeDocument/2006/relationships" name="2021_dim_donor（新增）" sheetId="4" state="visible" r:id="rId4"/>
    <sheet xmlns:r="http://schemas.openxmlformats.org/officeDocument/2006/relationships" name="修訂紀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808080"/>
    </font>
    <font>
      <b val="1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0" fillId="7" borderId="1" applyAlignment="1" pivotButton="0" quotePrefix="0" xfId="0">
      <alignment vertical="top"/>
    </xf>
    <xf numFmtId="0" fontId="0" fillId="5" borderId="1" pivotButton="0" quotePrefix="0" xfId="0"/>
    <xf numFmtId="0" fontId="4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2021 年贊助廠商明細（最終版）</t>
        </is>
      </c>
    </row>
    <row r="2">
      <c r="A2" s="2" t="inlineStr">
        <is>
          <t>第 19 屆「友善日常」— 因 COVID-19 疫情改為線上形式舉辦</t>
        </is>
      </c>
    </row>
    <row r="4">
      <c r="A4" t="inlineStr"/>
      <c r="B4" t="inlineStr"/>
    </row>
    <row r="5">
      <c r="A5" s="3">
        <f>== 資料來源 ===</f>
        <v/>
      </c>
      <c r="B5" t="inlineStr"/>
    </row>
    <row r="6">
      <c r="A6" t="inlineStr">
        <is>
          <t>✅ 使用者確認名單</t>
        </is>
      </c>
      <c r="B6" t="inlineStr">
        <is>
          <t>29 家廠商（白金 1 / 銀級 8 / 贊助企業 20）— 最終唯一可靠依據</t>
        </is>
      </c>
    </row>
    <row r="7">
      <c r="A7" t="inlineStr">
        <is>
          <t>✅ 2021版募款企畫書 CSV</t>
        </is>
      </c>
      <c r="B7" t="inlineStr">
        <is>
          <t>確認牌價結構：白金 800k、銀級 160k</t>
        </is>
      </c>
    </row>
    <row r="8">
      <c r="A8" t="inlineStr">
        <is>
          <t>✅ 2021版 CSV R30 備註</t>
        </is>
      </c>
      <c r="B8" t="inlineStr">
        <is>
          <t>確認 DIKE 為「特別銀級」200k</t>
        </is>
      </c>
    </row>
    <row r="9">
      <c r="A9" t="inlineStr">
        <is>
          <t>❌ 2020 收支表 CSV</t>
        </is>
      </c>
      <c r="B9" t="inlineStr">
        <is>
          <t>確認為 2020 年資料，不適用於 2021</t>
        </is>
      </c>
    </row>
    <row r="10">
      <c r="A10" t="inlineStr"/>
      <c r="B10" t="inlineStr"/>
    </row>
    <row r="11">
      <c r="A11" s="3">
        <f>== 金額狀況 ===</f>
        <v/>
      </c>
      <c r="B11" t="inlineStr"/>
    </row>
    <row r="12">
      <c r="A12" t="inlineStr">
        <is>
          <t>白金級</t>
        </is>
      </c>
      <c r="B12" t="inlineStr">
        <is>
          <t>GILEAD：NTD 800,000 ✅</t>
        </is>
      </c>
    </row>
    <row r="13">
      <c r="A13" t="inlineStr">
        <is>
          <t>銀級（標準 7 家）</t>
        </is>
      </c>
      <c r="B13" t="inlineStr">
        <is>
          <t>各 NTD 160,000 = 1,120,000 ✅</t>
        </is>
      </c>
    </row>
    <row r="14">
      <c r="A14" t="inlineStr">
        <is>
          <t>銀級（DIKE 特別）</t>
        </is>
      </c>
      <c r="B14" t="inlineStr">
        <is>
          <t>NTD 200,000 ✅</t>
        </is>
      </c>
    </row>
    <row r="15">
      <c r="A15" t="inlineStr">
        <is>
          <t>贊助企業（20 家）</t>
        </is>
      </c>
      <c r="B15" t="inlineStr">
        <is>
          <t>❓ 金額不明 — 現有 CSV 無個別廠商對應資料</t>
        </is>
      </c>
    </row>
    <row r="16">
      <c r="A16" t="inlineStr">
        <is>
          <t>可確認總額</t>
        </is>
      </c>
      <c r="B16" t="inlineStr">
        <is>
          <t>NTD 2,120,000（白金 + 銀級）</t>
        </is>
      </c>
    </row>
    <row r="17">
      <c r="A17" t="inlineStr">
        <is>
          <t>完整總額</t>
        </is>
      </c>
      <c r="B17" t="inlineStr">
        <is>
          <t>≥ NTD 2,120,000（贊助企業金額待補）</t>
        </is>
      </c>
    </row>
    <row r="18">
      <c r="A18" t="inlineStr"/>
      <c r="B18" t="inlineStr"/>
    </row>
    <row r="19">
      <c r="A19" s="3">
        <f>== 廠商數 ===</f>
        <v/>
      </c>
      <c r="B19" t="inlineStr"/>
    </row>
    <row r="20">
      <c r="A20" t="inlineStr">
        <is>
          <t>總計</t>
        </is>
      </c>
      <c r="B20" t="inlineStr">
        <is>
          <t>29 家</t>
        </is>
      </c>
    </row>
    <row r="21">
      <c r="A21" t="inlineStr">
        <is>
          <t>新進</t>
        </is>
      </c>
      <c r="B21" t="inlineStr">
        <is>
          <t>13 家：Hotels.com / B.Y.O. / Club Locker Room / 志祺七七 X 圖文不符 / Hotel Indigo Taipei / NUZONE /
英勝國際 / WSI / INF / Satisfyer Taiwan / KKBOX / 台灣資生堂專業美髮事業部 / 諾億特許事業部</t>
        </is>
      </c>
    </row>
    <row r="22">
      <c r="A22" t="inlineStr">
        <is>
          <t>回流</t>
        </is>
      </c>
      <c r="B22" t="inlineStr">
        <is>
          <t>16 家（含 lifewonders D0076，2018 未付款後回流）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22" customWidth="1" min="4" max="4"/>
    <col width="7" customWidth="1" min="5" max="5"/>
    <col width="7" customWidth="1" min="6" max="6"/>
    <col width="6" customWidth="1" min="7" max="7"/>
    <col width="14" customWidth="1" min="8" max="8"/>
    <col width="34" customWidth="1" min="9" max="9"/>
    <col width="7" customWidth="1" min="10" max="10"/>
    <col width="40" customWidth="1" min="11" max="11"/>
  </cols>
  <sheetData>
    <row r="1" ht="28" customHeight="1">
      <c r="A1" s="4" t="inlineStr">
        <is>
          <t>合約編號</t>
        </is>
      </c>
      <c r="B1" s="4" t="inlineStr">
        <is>
          <t>廠商編號</t>
        </is>
      </c>
      <c r="C1" s="4" t="inlineStr">
        <is>
          <t>廠商名稱（原始）</t>
        </is>
      </c>
      <c r="D1" s="4" t="inlineStr">
        <is>
          <t>標準名稱</t>
        </is>
      </c>
      <c r="E1" s="4" t="inlineStr">
        <is>
          <t>年度</t>
        </is>
      </c>
      <c r="F1" s="4" t="inlineStr">
        <is>
          <t>原始級別</t>
        </is>
      </c>
      <c r="G1" s="4" t="inlineStr">
        <is>
          <t>主級別</t>
        </is>
      </c>
      <c r="H1" s="4" t="inlineStr">
        <is>
          <t>贊助總金額</t>
        </is>
      </c>
      <c r="I1" s="4" t="inlineStr">
        <is>
          <t>金額確認狀態</t>
        </is>
      </c>
      <c r="J1" s="4" t="inlineStr">
        <is>
          <t>是否新進</t>
        </is>
      </c>
      <c r="K1" s="4" t="inlineStr">
        <is>
          <t>備註</t>
        </is>
      </c>
    </row>
    <row r="2">
      <c r="A2" s="5" t="inlineStr">
        <is>
          <t>2021-D0028-01</t>
        </is>
      </c>
      <c r="B2" s="5" t="inlineStr">
        <is>
          <t>D0028</t>
        </is>
      </c>
      <c r="C2" s="5" t="inlineStr">
        <is>
          <t>GILEAD 吉立亞醫藥</t>
        </is>
      </c>
      <c r="D2" s="5" t="inlineStr">
        <is>
          <t>GILEAD</t>
        </is>
      </c>
      <c r="E2" s="5" t="n">
        <v>2021</v>
      </c>
      <c r="F2" s="5" t="inlineStr">
        <is>
          <t>白金級</t>
        </is>
      </c>
      <c r="G2" s="5" t="inlineStr">
        <is>
          <t>T1</t>
        </is>
      </c>
      <c r="H2" s="5" t="n">
        <v>800000</v>
      </c>
      <c r="I2" s="5" t="inlineStr">
        <is>
          <t>✅ 確認名單 + 2021版 CSV 白金牌價</t>
        </is>
      </c>
      <c r="J2" s="5" t="inlineStr">
        <is>
          <t>否</t>
        </is>
      </c>
      <c r="K2" s="5" t="inlineStr">
        <is>
          <t>GILEAD 2020 為黃金 595k → 2021 升至白金 800k</t>
        </is>
      </c>
    </row>
    <row r="3">
      <c r="A3" s="6" t="inlineStr">
        <is>
          <t>2021-D0085-01</t>
        </is>
      </c>
      <c r="B3" s="6" t="inlineStr">
        <is>
          <t>D0085</t>
        </is>
      </c>
      <c r="C3" s="6" t="inlineStr">
        <is>
          <t>AstraZeneca</t>
        </is>
      </c>
      <c r="D3" s="6" t="inlineStr">
        <is>
          <t>AZ</t>
        </is>
      </c>
      <c r="E3" s="6" t="n">
        <v>2021</v>
      </c>
      <c r="F3" s="6" t="inlineStr">
        <is>
          <t>銀級</t>
        </is>
      </c>
      <c r="G3" s="6" t="inlineStr">
        <is>
          <t>T4</t>
        </is>
      </c>
      <c r="H3" s="6" t="n">
        <v>160000</v>
      </c>
      <c r="I3" s="6" t="inlineStr">
        <is>
          <t>✅ 確認名單 + 2021版 CSV 銀級牌價</t>
        </is>
      </c>
      <c r="J3" s="6" t="inlineStr">
        <is>
          <t>否</t>
        </is>
      </c>
      <c r="K3" s="6" t="inlineStr"/>
    </row>
    <row r="4">
      <c r="A4" s="6" t="inlineStr">
        <is>
          <t>2021-D0006-01</t>
        </is>
      </c>
      <c r="B4" s="6" t="inlineStr">
        <is>
          <t>D0006</t>
        </is>
      </c>
      <c r="C4" s="6" t="inlineStr">
        <is>
          <t>LesPark</t>
        </is>
      </c>
      <c r="D4" s="6" t="inlineStr">
        <is>
          <t>拉拉公園</t>
        </is>
      </c>
      <c r="E4" s="6" t="n">
        <v>2021</v>
      </c>
      <c r="F4" s="6" t="inlineStr">
        <is>
          <t>銀級</t>
        </is>
      </c>
      <c r="G4" s="6" t="inlineStr">
        <is>
          <t>T4</t>
        </is>
      </c>
      <c r="H4" s="6" t="n">
        <v>160000</v>
      </c>
      <c r="I4" s="6" t="inlineStr">
        <is>
          <t>✅ 確認名單 + 2021版 CSV 銀級牌價</t>
        </is>
      </c>
      <c r="J4" s="6" t="inlineStr">
        <is>
          <t>否</t>
        </is>
      </c>
      <c r="K4" s="6" t="inlineStr"/>
    </row>
    <row r="5">
      <c r="A5" s="6" t="inlineStr">
        <is>
          <t>2021-D0080-01</t>
        </is>
      </c>
      <c r="B5" s="6" t="inlineStr">
        <is>
          <t>D0080</t>
        </is>
      </c>
      <c r="C5" s="6" t="inlineStr">
        <is>
          <t>DIKE</t>
        </is>
      </c>
      <c r="D5" s="6" t="inlineStr">
        <is>
          <t>DIKE</t>
        </is>
      </c>
      <c r="E5" s="6" t="n">
        <v>2021</v>
      </c>
      <c r="F5" s="6" t="inlineStr">
        <is>
          <t>銀級</t>
        </is>
      </c>
      <c r="G5" s="6" t="inlineStr">
        <is>
          <t>T3</t>
        </is>
      </c>
      <c r="H5" s="6" t="n">
        <v>200000</v>
      </c>
      <c r="I5" s="6" t="inlineStr">
        <is>
          <t>✅ 確認名單 + 2021版 CSV R30 備註「特別銀級」</t>
        </is>
      </c>
      <c r="J5" s="6" t="inlineStr">
        <is>
          <t>否</t>
        </is>
      </c>
      <c r="K5" s="6" t="inlineStr">
        <is>
          <t>特別銀級 200k，高於標準 160k，映射 T3</t>
        </is>
      </c>
    </row>
    <row r="6">
      <c r="A6" s="6" t="inlineStr">
        <is>
          <t>2021-D0123-01</t>
        </is>
      </c>
      <c r="B6" s="6" t="inlineStr">
        <is>
          <t>D0123</t>
        </is>
      </c>
      <c r="C6" s="6" t="inlineStr">
        <is>
          <t>M·A·C</t>
        </is>
      </c>
      <c r="D6" s="6" t="inlineStr">
        <is>
          <t>M.A.C</t>
        </is>
      </c>
      <c r="E6" s="6" t="n">
        <v>2021</v>
      </c>
      <c r="F6" s="6" t="inlineStr">
        <is>
          <t>銀級</t>
        </is>
      </c>
      <c r="G6" s="6" t="inlineStr">
        <is>
          <t>T4</t>
        </is>
      </c>
      <c r="H6" s="6" t="n">
        <v>160000</v>
      </c>
      <c r="I6" s="6" t="inlineStr">
        <is>
          <t>✅ 確認名單 + 2021版 CSV 銀級牌價</t>
        </is>
      </c>
      <c r="J6" s="6" t="inlineStr">
        <is>
          <t>否</t>
        </is>
      </c>
      <c r="K6" s="6" t="inlineStr"/>
    </row>
    <row r="7">
      <c r="A7" s="6" t="inlineStr">
        <is>
          <t>2021-D0052-01</t>
        </is>
      </c>
      <c r="B7" s="6" t="inlineStr">
        <is>
          <t>D0052</t>
        </is>
      </c>
      <c r="C7" s="6" t="inlineStr">
        <is>
          <t>GSK</t>
        </is>
      </c>
      <c r="D7" s="6" t="inlineStr">
        <is>
          <t>GSK</t>
        </is>
      </c>
      <c r="E7" s="6" t="n">
        <v>2021</v>
      </c>
      <c r="F7" s="6" t="inlineStr">
        <is>
          <t>銀級</t>
        </is>
      </c>
      <c r="G7" s="6" t="inlineStr">
        <is>
          <t>T4</t>
        </is>
      </c>
      <c r="H7" s="6" t="n">
        <v>160000</v>
      </c>
      <c r="I7" s="6" t="inlineStr">
        <is>
          <t>✅ 確認名單 + 2021版 CSV 銀級牌價</t>
        </is>
      </c>
      <c r="J7" s="6" t="inlineStr">
        <is>
          <t>否</t>
        </is>
      </c>
      <c r="K7" s="6" t="inlineStr"/>
    </row>
    <row r="8">
      <c r="A8" s="6" t="inlineStr">
        <is>
          <t>2021-D0058-01</t>
        </is>
      </c>
      <c r="B8" s="6" t="inlineStr">
        <is>
          <t>D0058</t>
        </is>
      </c>
      <c r="C8" s="6" t="inlineStr">
        <is>
          <t>Unilever</t>
        </is>
      </c>
      <c r="D8" s="6" t="inlineStr">
        <is>
          <t>Unilever</t>
        </is>
      </c>
      <c r="E8" s="6" t="n">
        <v>2021</v>
      </c>
      <c r="F8" s="6" t="inlineStr">
        <is>
          <t>銀級</t>
        </is>
      </c>
      <c r="G8" s="6" t="inlineStr">
        <is>
          <t>T4</t>
        </is>
      </c>
      <c r="H8" s="6" t="n">
        <v>160000</v>
      </c>
      <c r="I8" s="6" t="inlineStr">
        <is>
          <t>✅ 確認名單 + 2021版 CSV 銀級牌價</t>
        </is>
      </c>
      <c r="J8" s="6" t="inlineStr">
        <is>
          <t>否</t>
        </is>
      </c>
      <c r="K8" s="6" t="inlineStr"/>
    </row>
    <row r="9">
      <c r="A9" s="7" t="inlineStr">
        <is>
          <t>2021-D0216-01</t>
        </is>
      </c>
      <c r="B9" s="7" t="inlineStr">
        <is>
          <t>D0216</t>
        </is>
      </c>
      <c r="C9" s="7" t="inlineStr">
        <is>
          <t>Hotels.com</t>
        </is>
      </c>
      <c r="D9" s="7" t="inlineStr">
        <is>
          <t>Hotels.com</t>
        </is>
      </c>
      <c r="E9" s="7" t="n">
        <v>2021</v>
      </c>
      <c r="F9" s="7" t="inlineStr">
        <is>
          <t>銀級</t>
        </is>
      </c>
      <c r="G9" s="7" t="inlineStr">
        <is>
          <t>T4</t>
        </is>
      </c>
      <c r="H9" s="7" t="n">
        <v>160000</v>
      </c>
      <c r="I9" s="7" t="inlineStr">
        <is>
          <t>✅ 確認名單 + 2021版 CSV 銀級牌價</t>
        </is>
      </c>
      <c r="J9" s="7" t="inlineStr">
        <is>
          <t>是</t>
        </is>
      </c>
      <c r="K9" s="7" t="inlineStr">
        <is>
          <t>新進</t>
        </is>
      </c>
    </row>
    <row r="10">
      <c r="A10" s="6" t="inlineStr">
        <is>
          <t>2021-D0056-01</t>
        </is>
      </c>
      <c r="B10" s="6" t="inlineStr">
        <is>
          <t>D0056</t>
        </is>
      </c>
      <c r="C10" s="6" t="inlineStr">
        <is>
          <t>台灣百健</t>
        </is>
      </c>
      <c r="D10" s="6" t="inlineStr">
        <is>
          <t>台灣百健</t>
        </is>
      </c>
      <c r="E10" s="6" t="n">
        <v>2021</v>
      </c>
      <c r="F10" s="6" t="inlineStr">
        <is>
          <t>銀級</t>
        </is>
      </c>
      <c r="G10" s="6" t="inlineStr">
        <is>
          <t>T4</t>
        </is>
      </c>
      <c r="H10" s="6" t="n">
        <v>160000</v>
      </c>
      <c r="I10" s="6" t="inlineStr">
        <is>
          <t>✅ 確認名單 + 2021版 CSV 銀級牌價</t>
        </is>
      </c>
      <c r="J10" s="6" t="inlineStr">
        <is>
          <t>否</t>
        </is>
      </c>
      <c r="K10" s="6" t="inlineStr"/>
    </row>
    <row r="11">
      <c r="A11" s="7" t="inlineStr">
        <is>
          <t>2021-D0217-01</t>
        </is>
      </c>
      <c r="B11" s="7" t="inlineStr">
        <is>
          <t>D0217</t>
        </is>
      </c>
      <c r="C11" s="7" t="inlineStr">
        <is>
          <t>B.Y.O.</t>
        </is>
      </c>
      <c r="D11" s="7" t="inlineStr">
        <is>
          <t>B.Y.O.</t>
        </is>
      </c>
      <c r="E11" s="7" t="n">
        <v>2021</v>
      </c>
      <c r="F11" s="7" t="inlineStr">
        <is>
          <t>贊助企業</t>
        </is>
      </c>
      <c r="G11" s="7" t="inlineStr">
        <is>
          <t>—</t>
        </is>
      </c>
      <c r="H11" s="8" t="n"/>
      <c r="I11" s="7" t="inlineStr">
        <is>
          <t>❓ 金額不明</t>
        </is>
      </c>
      <c r="J11" s="7" t="inlineStr">
        <is>
          <t>是</t>
        </is>
      </c>
      <c r="K11" s="7" t="inlineStr"/>
    </row>
    <row r="12">
      <c r="A12" s="9" t="inlineStr">
        <is>
          <t>2021-D0076-01</t>
        </is>
      </c>
      <c r="B12" s="9" t="inlineStr">
        <is>
          <t>D0076</t>
        </is>
      </c>
      <c r="C12" s="9" t="inlineStr">
        <is>
          <t>lifewonders</t>
        </is>
      </c>
      <c r="D12" s="9" t="inlineStr">
        <is>
          <t>lifewonders</t>
        </is>
      </c>
      <c r="E12" s="9" t="n">
        <v>2021</v>
      </c>
      <c r="F12" s="9" t="inlineStr">
        <is>
          <t>贊助企業</t>
        </is>
      </c>
      <c r="G12" s="9" t="inlineStr">
        <is>
          <t>—</t>
        </is>
      </c>
      <c r="H12" s="8" t="n"/>
      <c r="I12" s="9" t="inlineStr">
        <is>
          <t>❓ 金額不明</t>
        </is>
      </c>
      <c r="J12" s="9" t="inlineStr">
        <is>
          <t>否</t>
        </is>
      </c>
      <c r="K12" s="9" t="inlineStr">
        <is>
          <t>2018 報價未付款 → 2021 回流（D0076）</t>
        </is>
      </c>
    </row>
    <row r="13">
      <c r="A13" s="9" t="inlineStr">
        <is>
          <t>2021-D0001-01</t>
        </is>
      </c>
      <c r="B13" s="9" t="inlineStr">
        <is>
          <t>D0001</t>
        </is>
      </c>
      <c r="C13" s="9" t="inlineStr">
        <is>
          <t>辻利茶舖</t>
        </is>
      </c>
      <c r="D13" s="9" t="inlineStr">
        <is>
          <t>辻利茶舖</t>
        </is>
      </c>
      <c r="E13" s="9" t="n">
        <v>2021</v>
      </c>
      <c r="F13" s="9" t="inlineStr">
        <is>
          <t>贊助企業</t>
        </is>
      </c>
      <c r="G13" s="9" t="inlineStr">
        <is>
          <t>—</t>
        </is>
      </c>
      <c r="H13" s="8" t="n"/>
      <c r="I13" s="9" t="inlineStr">
        <is>
          <t>❓ 金額不明</t>
        </is>
      </c>
      <c r="J13" s="9" t="inlineStr">
        <is>
          <t>否</t>
        </is>
      </c>
      <c r="K13" s="9" t="inlineStr"/>
    </row>
    <row r="14">
      <c r="A14" s="9" t="inlineStr">
        <is>
          <t>2021-D0032-01</t>
        </is>
      </c>
      <c r="B14" s="9" t="inlineStr">
        <is>
          <t>D0032</t>
        </is>
      </c>
      <c r="C14" s="9" t="inlineStr">
        <is>
          <t>G*star</t>
        </is>
      </c>
      <c r="D14" s="9" t="inlineStr">
        <is>
          <t>G-Star</t>
        </is>
      </c>
      <c r="E14" s="9" t="n">
        <v>2021</v>
      </c>
      <c r="F14" s="9" t="inlineStr">
        <is>
          <t>贊助企業</t>
        </is>
      </c>
      <c r="G14" s="9" t="inlineStr">
        <is>
          <t>—</t>
        </is>
      </c>
      <c r="H14" s="8" t="n"/>
      <c r="I14" s="9" t="inlineStr">
        <is>
          <t>❓ 金額不明</t>
        </is>
      </c>
      <c r="J14" s="9" t="inlineStr">
        <is>
          <t>否</t>
        </is>
      </c>
      <c r="K14" s="9" t="inlineStr"/>
    </row>
    <row r="15">
      <c r="A15" s="7" t="inlineStr">
        <is>
          <t>2021-D0219-01</t>
        </is>
      </c>
      <c r="B15" s="7" t="inlineStr">
        <is>
          <t>D0219</t>
        </is>
      </c>
      <c r="C15" s="7" t="inlineStr">
        <is>
          <t>Club Locker Room</t>
        </is>
      </c>
      <c r="D15" s="7" t="inlineStr">
        <is>
          <t>Club Locker Room</t>
        </is>
      </c>
      <c r="E15" s="7" t="n">
        <v>2021</v>
      </c>
      <c r="F15" s="7" t="inlineStr">
        <is>
          <t>贊助企業</t>
        </is>
      </c>
      <c r="G15" s="7" t="inlineStr">
        <is>
          <t>—</t>
        </is>
      </c>
      <c r="H15" s="8" t="n"/>
      <c r="I15" s="7" t="inlineStr">
        <is>
          <t>❓ 金額不明</t>
        </is>
      </c>
      <c r="J15" s="7" t="inlineStr">
        <is>
          <t>是</t>
        </is>
      </c>
      <c r="K15" s="7" t="inlineStr"/>
    </row>
    <row r="16">
      <c r="A16" s="7" t="inlineStr">
        <is>
          <t>2021-D0220-01</t>
        </is>
      </c>
      <c r="B16" s="7" t="inlineStr">
        <is>
          <t>D0220</t>
        </is>
      </c>
      <c r="C16" s="7" t="inlineStr">
        <is>
          <t>志祺七七 X 圖文不符</t>
        </is>
      </c>
      <c r="D16" s="7" t="inlineStr">
        <is>
          <t>志祺七七 X 圖文不符</t>
        </is>
      </c>
      <c r="E16" s="7" t="n">
        <v>2021</v>
      </c>
      <c r="F16" s="7" t="inlineStr">
        <is>
          <t>贊助企業</t>
        </is>
      </c>
      <c r="G16" s="7" t="inlineStr">
        <is>
          <t>—</t>
        </is>
      </c>
      <c r="H16" s="8" t="n"/>
      <c r="I16" s="7" t="inlineStr">
        <is>
          <t>❓ 金額不明</t>
        </is>
      </c>
      <c r="J16" s="7" t="inlineStr">
        <is>
          <t>是</t>
        </is>
      </c>
      <c r="K16" s="7" t="inlineStr"/>
    </row>
    <row r="17">
      <c r="A17" s="7" t="inlineStr">
        <is>
          <t>2021-D0221-01</t>
        </is>
      </c>
      <c r="B17" s="7" t="inlineStr">
        <is>
          <t>D0221</t>
        </is>
      </c>
      <c r="C17" s="7" t="inlineStr">
        <is>
          <t>Hotel Indigo Taipei</t>
        </is>
      </c>
      <c r="D17" s="7" t="inlineStr">
        <is>
          <t>Hotel Indigo Taipei</t>
        </is>
      </c>
      <c r="E17" s="7" t="n">
        <v>2021</v>
      </c>
      <c r="F17" s="7" t="inlineStr">
        <is>
          <t>贊助企業</t>
        </is>
      </c>
      <c r="G17" s="7" t="inlineStr">
        <is>
          <t>—</t>
        </is>
      </c>
      <c r="H17" s="8" t="n"/>
      <c r="I17" s="7" t="inlineStr">
        <is>
          <t>❓ 金額不明</t>
        </is>
      </c>
      <c r="J17" s="7" t="inlineStr">
        <is>
          <t>是</t>
        </is>
      </c>
      <c r="K17" s="7" t="inlineStr"/>
    </row>
    <row r="18">
      <c r="A18" s="7" t="inlineStr">
        <is>
          <t>2021-D0222-01</t>
        </is>
      </c>
      <c r="B18" s="7" t="inlineStr">
        <is>
          <t>D0222</t>
        </is>
      </c>
      <c r="C18" s="7" t="inlineStr">
        <is>
          <t>NUZONE</t>
        </is>
      </c>
      <c r="D18" s="7" t="inlineStr">
        <is>
          <t>NUZONE</t>
        </is>
      </c>
      <c r="E18" s="7" t="n">
        <v>2021</v>
      </c>
      <c r="F18" s="7" t="inlineStr">
        <is>
          <t>贊助企業</t>
        </is>
      </c>
      <c r="G18" s="7" t="inlineStr">
        <is>
          <t>—</t>
        </is>
      </c>
      <c r="H18" s="8" t="n"/>
      <c r="I18" s="7" t="inlineStr">
        <is>
          <t>❓ 金額不明</t>
        </is>
      </c>
      <c r="J18" s="7" t="inlineStr">
        <is>
          <t>是</t>
        </is>
      </c>
      <c r="K18" s="7" t="inlineStr"/>
    </row>
    <row r="19">
      <c r="A19" s="7" t="inlineStr">
        <is>
          <t>2021-D0223-01</t>
        </is>
      </c>
      <c r="B19" s="7" t="inlineStr">
        <is>
          <t>D0223</t>
        </is>
      </c>
      <c r="C19" s="7" t="inlineStr">
        <is>
          <t>英勝國際</t>
        </is>
      </c>
      <c r="D19" s="7" t="inlineStr">
        <is>
          <t>英勝國際</t>
        </is>
      </c>
      <c r="E19" s="7" t="n">
        <v>2021</v>
      </c>
      <c r="F19" s="7" t="inlineStr">
        <is>
          <t>贊助企業</t>
        </is>
      </c>
      <c r="G19" s="7" t="inlineStr">
        <is>
          <t>—</t>
        </is>
      </c>
      <c r="H19" s="8" t="n"/>
      <c r="I19" s="7" t="inlineStr">
        <is>
          <t>❓ 金額不明</t>
        </is>
      </c>
      <c r="J19" s="7" t="inlineStr">
        <is>
          <t>是</t>
        </is>
      </c>
      <c r="K19" s="7" t="inlineStr"/>
    </row>
    <row r="20">
      <c r="A20" s="7" t="inlineStr">
        <is>
          <t>2021-D0224-01</t>
        </is>
      </c>
      <c r="B20" s="7" t="inlineStr">
        <is>
          <t>D0224</t>
        </is>
      </c>
      <c r="C20" s="7" t="inlineStr">
        <is>
          <t>WSI</t>
        </is>
      </c>
      <c r="D20" s="7" t="inlineStr">
        <is>
          <t>WSI</t>
        </is>
      </c>
      <c r="E20" s="7" t="n">
        <v>2021</v>
      </c>
      <c r="F20" s="7" t="inlineStr">
        <is>
          <t>贊助企業</t>
        </is>
      </c>
      <c r="G20" s="7" t="inlineStr">
        <is>
          <t>—</t>
        </is>
      </c>
      <c r="H20" s="8" t="n"/>
      <c r="I20" s="7" t="inlineStr">
        <is>
          <t>❓ 金額不明</t>
        </is>
      </c>
      <c r="J20" s="7" t="inlineStr">
        <is>
          <t>是</t>
        </is>
      </c>
      <c r="K20" s="7" t="inlineStr"/>
    </row>
    <row r="21">
      <c r="A21" s="9" t="inlineStr">
        <is>
          <t>2021-D0067-01</t>
        </is>
      </c>
      <c r="B21" s="9" t="inlineStr">
        <is>
          <t>D0067</t>
        </is>
      </c>
      <c r="C21" s="9" t="inlineStr">
        <is>
          <t>Hyve Solutions</t>
        </is>
      </c>
      <c r="D21" s="9" t="inlineStr">
        <is>
          <t>hyve solutions</t>
        </is>
      </c>
      <c r="E21" s="9" t="n">
        <v>2021</v>
      </c>
      <c r="F21" s="9" t="inlineStr">
        <is>
          <t>贊助企業</t>
        </is>
      </c>
      <c r="G21" s="9" t="inlineStr">
        <is>
          <t>—</t>
        </is>
      </c>
      <c r="H21" s="8" t="n"/>
      <c r="I21" s="9" t="inlineStr">
        <is>
          <t>❓ 金額不明</t>
        </is>
      </c>
      <c r="J21" s="9" t="inlineStr">
        <is>
          <t>否</t>
        </is>
      </c>
      <c r="K21" s="9" t="inlineStr"/>
    </row>
    <row r="22">
      <c r="A22" s="9" t="inlineStr">
        <is>
          <t>2021-D0059-01</t>
        </is>
      </c>
      <c r="B22" s="9" t="inlineStr">
        <is>
          <t>D0059</t>
        </is>
      </c>
      <c r="C22" s="9" t="inlineStr">
        <is>
          <t>Pinkoi</t>
        </is>
      </c>
      <c r="D22" s="9" t="inlineStr">
        <is>
          <t>PINKOI</t>
        </is>
      </c>
      <c r="E22" s="9" t="n">
        <v>2021</v>
      </c>
      <c r="F22" s="9" t="inlineStr">
        <is>
          <t>贊助企業</t>
        </is>
      </c>
      <c r="G22" s="9" t="inlineStr">
        <is>
          <t>—</t>
        </is>
      </c>
      <c r="H22" s="8" t="n"/>
      <c r="I22" s="9" t="inlineStr">
        <is>
          <t>❓ 金額不明</t>
        </is>
      </c>
      <c r="J22" s="9" t="inlineStr">
        <is>
          <t>否</t>
        </is>
      </c>
      <c r="K22" s="9" t="inlineStr"/>
    </row>
    <row r="23">
      <c r="A23" s="9" t="inlineStr">
        <is>
          <t>2021-D0062-01</t>
        </is>
      </c>
      <c r="B23" s="9" t="inlineStr">
        <is>
          <t>D0062</t>
        </is>
      </c>
      <c r="C23" s="9" t="inlineStr">
        <is>
          <t>臺虎精釀啤酒</t>
        </is>
      </c>
      <c r="D23" s="9" t="inlineStr">
        <is>
          <t>台虎</t>
        </is>
      </c>
      <c r="E23" s="9" t="n">
        <v>2021</v>
      </c>
      <c r="F23" s="9" t="inlineStr">
        <is>
          <t>贊助企業</t>
        </is>
      </c>
      <c r="G23" s="9" t="inlineStr">
        <is>
          <t>—</t>
        </is>
      </c>
      <c r="H23" s="8" t="n"/>
      <c r="I23" s="9" t="inlineStr">
        <is>
          <t>❓ 金額不明</t>
        </is>
      </c>
      <c r="J23" s="9" t="inlineStr">
        <is>
          <t>否</t>
        </is>
      </c>
      <c r="K23" s="9" t="inlineStr"/>
    </row>
    <row r="24">
      <c r="A24" s="7" t="inlineStr">
        <is>
          <t>2021-D0225-01</t>
        </is>
      </c>
      <c r="B24" s="7" t="inlineStr">
        <is>
          <t>D0225</t>
        </is>
      </c>
      <c r="C24" s="7" t="inlineStr">
        <is>
          <t>INF</t>
        </is>
      </c>
      <c r="D24" s="7" t="inlineStr">
        <is>
          <t>INF</t>
        </is>
      </c>
      <c r="E24" s="7" t="n">
        <v>2021</v>
      </c>
      <c r="F24" s="7" t="inlineStr">
        <is>
          <t>贊助企業</t>
        </is>
      </c>
      <c r="G24" s="7" t="inlineStr">
        <is>
          <t>—</t>
        </is>
      </c>
      <c r="H24" s="8" t="n"/>
      <c r="I24" s="7" t="inlineStr">
        <is>
          <t>❓ 金額不明</t>
        </is>
      </c>
      <c r="J24" s="7" t="inlineStr">
        <is>
          <t>是</t>
        </is>
      </c>
      <c r="K24" s="7" t="inlineStr"/>
    </row>
    <row r="25">
      <c r="A25" s="7" t="inlineStr">
        <is>
          <t>2021-D0226-01</t>
        </is>
      </c>
      <c r="B25" s="7" t="inlineStr">
        <is>
          <t>D0226</t>
        </is>
      </c>
      <c r="C25" s="7" t="inlineStr">
        <is>
          <t>Satisfyer Taiwan</t>
        </is>
      </c>
      <c r="D25" s="7" t="inlineStr">
        <is>
          <t>Satisfyer Taiwan</t>
        </is>
      </c>
      <c r="E25" s="7" t="n">
        <v>2021</v>
      </c>
      <c r="F25" s="7" t="inlineStr">
        <is>
          <t>贊助企業</t>
        </is>
      </c>
      <c r="G25" s="7" t="inlineStr">
        <is>
          <t>—</t>
        </is>
      </c>
      <c r="H25" s="8" t="n"/>
      <c r="I25" s="7" t="inlineStr">
        <is>
          <t>❓ 金額不明</t>
        </is>
      </c>
      <c r="J25" s="7" t="inlineStr">
        <is>
          <t>是</t>
        </is>
      </c>
      <c r="K25" s="7" t="inlineStr"/>
    </row>
    <row r="26">
      <c r="A26" s="9" t="inlineStr">
        <is>
          <t>2021-D0153-01</t>
        </is>
      </c>
      <c r="B26" s="9" t="inlineStr">
        <is>
          <t>D0153</t>
        </is>
      </c>
      <c r="C26" s="9" t="inlineStr">
        <is>
          <t>愛群醫療</t>
        </is>
      </c>
      <c r="D26" s="9" t="inlineStr">
        <is>
          <t>愛群婦產科</t>
        </is>
      </c>
      <c r="E26" s="9" t="n">
        <v>2021</v>
      </c>
      <c r="F26" s="9" t="inlineStr">
        <is>
          <t>贊助企業</t>
        </is>
      </c>
      <c r="G26" s="9" t="inlineStr">
        <is>
          <t>—</t>
        </is>
      </c>
      <c r="H26" s="8" t="n"/>
      <c r="I26" s="9" t="inlineStr">
        <is>
          <t>❓ 金額不明</t>
        </is>
      </c>
      <c r="J26" s="9" t="inlineStr">
        <is>
          <t>否</t>
        </is>
      </c>
      <c r="K26" s="9" t="inlineStr"/>
    </row>
    <row r="27">
      <c r="A27" s="7" t="inlineStr">
        <is>
          <t>2021-D0227-01</t>
        </is>
      </c>
      <c r="B27" s="7" t="inlineStr">
        <is>
          <t>D0227</t>
        </is>
      </c>
      <c r="C27" s="7" t="inlineStr">
        <is>
          <t>KKBOX</t>
        </is>
      </c>
      <c r="D27" s="7" t="inlineStr">
        <is>
          <t>KKBOX</t>
        </is>
      </c>
      <c r="E27" s="7" t="n">
        <v>2021</v>
      </c>
      <c r="F27" s="7" t="inlineStr">
        <is>
          <t>贊助企業</t>
        </is>
      </c>
      <c r="G27" s="7" t="inlineStr">
        <is>
          <t>—</t>
        </is>
      </c>
      <c r="H27" s="8" t="n"/>
      <c r="I27" s="7" t="inlineStr">
        <is>
          <t>❓ 金額不明</t>
        </is>
      </c>
      <c r="J27" s="7" t="inlineStr">
        <is>
          <t>是</t>
        </is>
      </c>
      <c r="K27" s="7" t="inlineStr"/>
    </row>
    <row r="28">
      <c r="A28" s="7" t="inlineStr">
        <is>
          <t>2021-D0228-01</t>
        </is>
      </c>
      <c r="B28" s="7" t="inlineStr">
        <is>
          <t>D0228</t>
        </is>
      </c>
      <c r="C28" s="7" t="inlineStr">
        <is>
          <t>台灣資生堂專業美髮事業部</t>
        </is>
      </c>
      <c r="D28" s="7" t="inlineStr">
        <is>
          <t>台灣資生堂專業美髮事業部</t>
        </is>
      </c>
      <c r="E28" s="7" t="n">
        <v>2021</v>
      </c>
      <c r="F28" s="7" t="inlineStr">
        <is>
          <t>贊助企業</t>
        </is>
      </c>
      <c r="G28" s="7" t="inlineStr">
        <is>
          <t>—</t>
        </is>
      </c>
      <c r="H28" s="8" t="n"/>
      <c r="I28" s="7" t="inlineStr">
        <is>
          <t>❓ 金額不明</t>
        </is>
      </c>
      <c r="J28" s="7" t="inlineStr">
        <is>
          <t>是</t>
        </is>
      </c>
      <c r="K28" s="7" t="inlineStr"/>
    </row>
    <row r="29">
      <c r="A29" s="9" t="inlineStr">
        <is>
          <t>2021-D0053-01</t>
        </is>
      </c>
      <c r="B29" s="9" t="inlineStr">
        <is>
          <t>D0053</t>
        </is>
      </c>
      <c r="C29" s="9" t="inlineStr">
        <is>
          <t>磊山保經</t>
        </is>
      </c>
      <c r="D29" s="9" t="inlineStr">
        <is>
          <t>磊山</t>
        </is>
      </c>
      <c r="E29" s="9" t="n">
        <v>2021</v>
      </c>
      <c r="F29" s="9" t="inlineStr">
        <is>
          <t>贊助企業</t>
        </is>
      </c>
      <c r="G29" s="9" t="inlineStr">
        <is>
          <t>—</t>
        </is>
      </c>
      <c r="H29" s="8" t="n"/>
      <c r="I29" s="9" t="inlineStr">
        <is>
          <t>❓ 金額不明</t>
        </is>
      </c>
      <c r="J29" s="9" t="inlineStr">
        <is>
          <t>否</t>
        </is>
      </c>
      <c r="K29" s="9" t="inlineStr"/>
    </row>
    <row r="30">
      <c r="A30" s="7" t="inlineStr">
        <is>
          <t>2021-D0229-01</t>
        </is>
      </c>
      <c r="B30" s="7" t="inlineStr">
        <is>
          <t>D0229</t>
        </is>
      </c>
      <c r="C30" s="7" t="inlineStr">
        <is>
          <t>諾億特許事業部</t>
        </is>
      </c>
      <c r="D30" s="7" t="inlineStr">
        <is>
          <t>諾億特許事業部</t>
        </is>
      </c>
      <c r="E30" s="7" t="n">
        <v>2021</v>
      </c>
      <c r="F30" s="7" t="inlineStr">
        <is>
          <t>贊助企業</t>
        </is>
      </c>
      <c r="G30" s="7" t="inlineStr">
        <is>
          <t>—</t>
        </is>
      </c>
      <c r="H30" s="8" t="n"/>
      <c r="I30" s="7" t="inlineStr">
        <is>
          <t>❓ 金額不明</t>
        </is>
      </c>
      <c r="J30" s="7" t="inlineStr">
        <is>
          <t>是</t>
        </is>
      </c>
      <c r="K30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5" customWidth="1" min="2" max="2"/>
    <col width="7" customWidth="1" min="3" max="3"/>
    <col width="20" customWidth="1" min="4" max="4"/>
    <col width="7" customWidth="1" min="5" max="5"/>
    <col width="10" customWidth="1" min="6" max="6"/>
    <col width="14" customWidth="1" min="7" max="7"/>
    <col width="31" customWidth="1" min="8" max="8"/>
  </cols>
  <sheetData>
    <row r="1">
      <c r="A1" s="4" t="inlineStr">
        <is>
          <t>年度</t>
        </is>
      </c>
      <c r="B1" s="4" t="inlineStr">
        <is>
          <t>屆別</t>
        </is>
      </c>
      <c r="C1" s="4" t="inlineStr">
        <is>
          <t>活動主題</t>
        </is>
      </c>
      <c r="D1" s="4" t="inlineStr">
        <is>
          <t>活動形式</t>
        </is>
      </c>
      <c r="E1" s="4" t="inlineStr">
        <is>
          <t>總廠商數</t>
        </is>
      </c>
      <c r="F1" s="4" t="inlineStr">
        <is>
          <t>可確認金額</t>
        </is>
      </c>
      <c r="G1" s="4" t="inlineStr">
        <is>
          <t>完整總額（估）</t>
        </is>
      </c>
      <c r="H1" s="4" t="inlineStr">
        <is>
          <t>備註</t>
        </is>
      </c>
    </row>
    <row r="2">
      <c r="A2" t="n">
        <v>2021</v>
      </c>
      <c r="B2" t="n">
        <v>19</v>
      </c>
      <c r="C2" t="inlineStr">
        <is>
          <t>友善日常</t>
        </is>
      </c>
      <c r="D2" t="inlineStr">
        <is>
          <t>線上（COVID-19 疫情改制）</t>
        </is>
      </c>
      <c r="E2" t="n">
        <v>29</v>
      </c>
      <c r="F2" t="n">
        <v>2120000</v>
      </c>
      <c r="G2" t="inlineStr">
        <is>
          <t>≥ 2,120,000</t>
        </is>
      </c>
      <c r="H2" t="inlineStr">
        <is>
          <t>贊助企業 20 家金額不明；DIKE 特別銀級 200k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8" customWidth="1" min="4" max="4"/>
  </cols>
  <sheetData>
    <row r="1">
      <c r="A1" s="4" t="inlineStr">
        <is>
          <t>廠商編號</t>
        </is>
      </c>
      <c r="B1" s="4" t="inlineStr">
        <is>
          <t>標準名稱</t>
        </is>
      </c>
      <c r="C1" s="4" t="inlineStr">
        <is>
          <t>原始名稱</t>
        </is>
      </c>
      <c r="D1" s="4" t="inlineStr">
        <is>
          <t>首次贊助年</t>
        </is>
      </c>
    </row>
    <row r="2">
      <c r="A2" s="10" t="inlineStr">
        <is>
          <t>D0216</t>
        </is>
      </c>
      <c r="B2" s="10" t="inlineStr">
        <is>
          <t>Hotels.com</t>
        </is>
      </c>
      <c r="C2" s="10" t="inlineStr">
        <is>
          <t>Hotels.com</t>
        </is>
      </c>
      <c r="D2" s="10" t="n">
        <v>2021</v>
      </c>
    </row>
    <row r="3">
      <c r="A3" s="10" t="inlineStr">
        <is>
          <t>D0217</t>
        </is>
      </c>
      <c r="B3" s="10" t="inlineStr">
        <is>
          <t>B.Y.O.</t>
        </is>
      </c>
      <c r="C3" s="10" t="inlineStr">
        <is>
          <t>B.Y.O.</t>
        </is>
      </c>
      <c r="D3" s="10" t="n">
        <v>2021</v>
      </c>
    </row>
    <row r="4">
      <c r="A4" s="10" t="inlineStr">
        <is>
          <t>D0219</t>
        </is>
      </c>
      <c r="B4" s="10" t="inlineStr">
        <is>
          <t>Club Locker Room</t>
        </is>
      </c>
      <c r="C4" s="10" t="inlineStr">
        <is>
          <t>Club Locker Room</t>
        </is>
      </c>
      <c r="D4" s="10" t="n">
        <v>2021</v>
      </c>
    </row>
    <row r="5">
      <c r="A5" s="10" t="inlineStr">
        <is>
          <t>D0220</t>
        </is>
      </c>
      <c r="B5" s="10" t="inlineStr">
        <is>
          <t>志祺七七 X 圖文不符</t>
        </is>
      </c>
      <c r="C5" s="10" t="inlineStr">
        <is>
          <t>志祺七七 X 圖文不符</t>
        </is>
      </c>
      <c r="D5" s="10" t="n">
        <v>2021</v>
      </c>
    </row>
    <row r="6">
      <c r="A6" s="10" t="inlineStr">
        <is>
          <t>D0221</t>
        </is>
      </c>
      <c r="B6" s="10" t="inlineStr">
        <is>
          <t>Hotel Indigo Taipei</t>
        </is>
      </c>
      <c r="C6" s="10" t="inlineStr">
        <is>
          <t>Hotel Indigo Taipei</t>
        </is>
      </c>
      <c r="D6" s="10" t="n">
        <v>2021</v>
      </c>
    </row>
    <row r="7">
      <c r="A7" s="10" t="inlineStr">
        <is>
          <t>D0222</t>
        </is>
      </c>
      <c r="B7" s="10" t="inlineStr">
        <is>
          <t>NUZONE</t>
        </is>
      </c>
      <c r="C7" s="10" t="inlineStr">
        <is>
          <t>NUZONE</t>
        </is>
      </c>
      <c r="D7" s="10" t="n">
        <v>2021</v>
      </c>
    </row>
    <row r="8">
      <c r="A8" s="10" t="inlineStr">
        <is>
          <t>D0223</t>
        </is>
      </c>
      <c r="B8" s="10" t="inlineStr">
        <is>
          <t>英勝國際</t>
        </is>
      </c>
      <c r="C8" s="10" t="inlineStr">
        <is>
          <t>英勝國際</t>
        </is>
      </c>
      <c r="D8" s="10" t="n">
        <v>2021</v>
      </c>
    </row>
    <row r="9">
      <c r="A9" s="10" t="inlineStr">
        <is>
          <t>D0224</t>
        </is>
      </c>
      <c r="B9" s="10" t="inlineStr">
        <is>
          <t>WSI</t>
        </is>
      </c>
      <c r="C9" s="10" t="inlineStr">
        <is>
          <t>WSI</t>
        </is>
      </c>
      <c r="D9" s="10" t="n">
        <v>2021</v>
      </c>
    </row>
    <row r="10">
      <c r="A10" s="10" t="inlineStr">
        <is>
          <t>D0225</t>
        </is>
      </c>
      <c r="B10" s="10" t="inlineStr">
        <is>
          <t>INF</t>
        </is>
      </c>
      <c r="C10" s="10" t="inlineStr">
        <is>
          <t>INF</t>
        </is>
      </c>
      <c r="D10" s="10" t="n">
        <v>2021</v>
      </c>
    </row>
    <row r="11">
      <c r="A11" s="10" t="inlineStr">
        <is>
          <t>D0226</t>
        </is>
      </c>
      <c r="B11" s="10" t="inlineStr">
        <is>
          <t>Satisfyer Taiwan</t>
        </is>
      </c>
      <c r="C11" s="10" t="inlineStr">
        <is>
          <t>Satisfyer Taiwan</t>
        </is>
      </c>
      <c r="D11" s="10" t="n">
        <v>2021</v>
      </c>
    </row>
    <row r="12">
      <c r="A12" s="10" t="inlineStr">
        <is>
          <t>D0227</t>
        </is>
      </c>
      <c r="B12" s="10" t="inlineStr">
        <is>
          <t>KKBOX</t>
        </is>
      </c>
      <c r="C12" s="10" t="inlineStr">
        <is>
          <t>KKBOX</t>
        </is>
      </c>
      <c r="D12" s="10" t="n">
        <v>2021</v>
      </c>
    </row>
    <row r="13">
      <c r="A13" s="10" t="inlineStr">
        <is>
          <t>D0228</t>
        </is>
      </c>
      <c r="B13" s="10" t="inlineStr">
        <is>
          <t>台灣資生堂專業美髮事業部</t>
        </is>
      </c>
      <c r="C13" s="10" t="inlineStr">
        <is>
          <t>台灣資生堂專業美髮事業部</t>
        </is>
      </c>
      <c r="D13" s="10" t="n">
        <v>2021</v>
      </c>
    </row>
    <row r="14">
      <c r="A14" s="10" t="inlineStr">
        <is>
          <t>D0229</t>
        </is>
      </c>
      <c r="B14" s="10" t="inlineStr">
        <is>
          <t>諾億特許事業部</t>
        </is>
      </c>
      <c r="C14" s="10" t="inlineStr">
        <is>
          <t>諾億特許事業部</t>
        </is>
      </c>
      <c r="D14" s="10" t="n">
        <v>2021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修訂紀錄</t>
        </is>
      </c>
    </row>
    <row r="2">
      <c r="A2" s="11" t="inlineStr">
        <is>
          <t>版本</t>
        </is>
      </c>
      <c r="B2" s="11" t="inlineStr">
        <is>
          <t>日期</t>
        </is>
      </c>
      <c r="C2" s="11" t="inlineStr">
        <is>
          <t>說明</t>
        </is>
      </c>
    </row>
    <row r="3">
      <c r="A3" s="12" t="inlineStr">
        <is>
          <t>v1</t>
        </is>
      </c>
      <c r="B3" s="12" t="inlineStr">
        <is>
          <t>2026-04-30</t>
        </is>
      </c>
      <c r="C3" s="12" t="inlineStr">
        <is>
          <t>初版。確認名單 29 家，可確認金額 2,120,000。</t>
        </is>
      </c>
    </row>
    <row r="4">
      <c r="A4" s="12" t="inlineStr">
        <is>
          <t>v2</t>
        </is>
      </c>
      <c r="B4" s="12" t="inlineStr">
        <is>
          <t>2026-04-30</t>
        </is>
      </c>
      <c r="C4" s="12" t="inlineStr">
        <is>
          <t>lifewonders 確認 = D0076（2018 未付款回流）。</t>
        </is>
      </c>
    </row>
    <row r="5">
      <c r="A5" s="12" t="inlineStr">
        <is>
          <t>v3</t>
        </is>
      </c>
      <c r="B5" s="12" t="inlineStr">
        <is>
          <t>2026-04-30</t>
        </is>
      </c>
      <c r="C5" s="12" t="inlineStr">
        <is>
          <t>用戶提供第二份 CSV（誤為 2021，確認為 2020 實際資料）。試圖補入廣告廠商金額，但無廠商對應關係，無法確定補入。</t>
        </is>
      </c>
    </row>
    <row r="6">
      <c r="A6" s="12" t="inlineStr">
        <is>
          <t>v4</t>
        </is>
      </c>
      <c r="B6" s="12" t="inlineStr">
        <is>
          <t>2026-04-30</t>
        </is>
      </c>
      <c r="C6" s="12" t="inlineStr">
        <is>
          <t>最終確認：2021版 CSV 為唯一有效金額來源（牌價）；2020 收支表 CSV 確認為 2020 資料，不適用。贊助企業 20 家金額不明，維持 ❓ 狀態。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2026-04-30T06:18:11Z</dcterms:created>
  <dcterms:modified xmlns:dcterms="http://purl.org/dc/terms/" xmlns:xsi="http://www.w3.org/2001/XMLSchema-instance" xsi:type="dcterms:W3CDTF">2026-04-30T06:18:12Z</dcterms:modified>
</cp:coreProperties>
</file>