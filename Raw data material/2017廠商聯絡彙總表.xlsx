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廠商一覽表" sheetId="1" r:id="rId3"/>
    <sheet state="visible" name="廠商入帳及收據提供" sheetId="2" r:id="rId4"/>
    <sheet state="visible" name="觸控科技一覽表" sheetId="3" r:id="rId5"/>
  </sheets>
  <definedNames/>
  <calcPr/>
</workbook>
</file>

<file path=xl/sharedStrings.xml><?xml version="1.0" encoding="utf-8"?>
<sst xmlns="http://schemas.openxmlformats.org/spreadsheetml/2006/main" count="497" uniqueCount="259">
  <si>
    <t>針對帳蓬廠商擬收集資訊</t>
  </si>
  <si>
    <t>品項</t>
  </si>
  <si>
    <t>項次</t>
  </si>
  <si>
    <t>單位</t>
  </si>
  <si>
    <t>報價</t>
  </si>
  <si>
    <t>辦理人</t>
  </si>
  <si>
    <t>行政協助</t>
  </si>
  <si>
    <t>備忘進度
(提供/回寄/
用印/完成)</t>
  </si>
  <si>
    <t>當日連絡窗口</t>
  </si>
  <si>
    <t>檔案提供</t>
  </si>
  <si>
    <t>單位介紹是否提供
(當日DM介紹現場攤位用)
(200字為限)</t>
  </si>
  <si>
    <t>識別證張數</t>
  </si>
  <si>
    <t>停車證張數.</t>
  </si>
  <si>
    <t>桌子
張數</t>
  </si>
  <si>
    <t>椅子
張數</t>
  </si>
  <si>
    <t>圍網
張數</t>
  </si>
  <si>
    <t>圍布
張數</t>
  </si>
  <si>
    <t>電源數</t>
  </si>
  <si>
    <t>備註/
路權保證金模式</t>
  </si>
  <si>
    <t>入帳日</t>
  </si>
  <si>
    <t>入帳</t>
  </si>
  <si>
    <t>收據抬頭</t>
  </si>
  <si>
    <t>徵信錄名稱</t>
  </si>
  <si>
    <t>攤位帳篷</t>
  </si>
  <si>
    <t>1</t>
  </si>
  <si>
    <t>Par.T</t>
  </si>
  <si>
    <t>玉甄&amp;宏展</t>
  </si>
  <si>
    <t>瑄育</t>
  </si>
  <si>
    <t>提供</t>
  </si>
  <si>
    <t>已放入資料夾</t>
  </si>
  <si>
    <t>已貼進一覽表</t>
  </si>
  <si>
    <t>2</t>
  </si>
  <si>
    <t>國際人權特赦組織(AI)</t>
  </si>
  <si>
    <t>Ruby</t>
  </si>
  <si>
    <t>完成</t>
  </si>
  <si>
    <t>P2-21</t>
  </si>
  <si>
    <t>3</t>
  </si>
  <si>
    <t>雲豹科技</t>
  </si>
  <si>
    <t>苡昇</t>
  </si>
  <si>
    <t>ㄍㄐ</t>
  </si>
  <si>
    <t>4</t>
  </si>
  <si>
    <t>達博企業社(大龜)</t>
  </si>
  <si>
    <t>紹文</t>
  </si>
  <si>
    <t>5</t>
  </si>
  <si>
    <t>觸控科技</t>
  </si>
  <si>
    <t>Albert</t>
  </si>
  <si>
    <t>小盛</t>
  </si>
  <si>
    <t>未取得</t>
  </si>
  <si>
    <t>6</t>
  </si>
  <si>
    <t>同志咨詢熱線</t>
  </si>
  <si>
    <t>7</t>
  </si>
  <si>
    <t>GaGaoLaLa</t>
  </si>
  <si>
    <t>8</t>
  </si>
  <si>
    <t>UBer</t>
  </si>
  <si>
    <t>P3-21</t>
  </si>
  <si>
    <t>遊行花車(B車)
商業車路權</t>
  </si>
  <si>
    <t>紅</t>
  </si>
  <si>
    <t>Destination,Beijing</t>
  </si>
  <si>
    <t>小竹</t>
  </si>
  <si>
    <t>-----------</t>
  </si>
  <si>
    <t>現金</t>
  </si>
  <si>
    <t>橙</t>
  </si>
  <si>
    <t>Hornet</t>
  </si>
  <si>
    <t>P3-12</t>
  </si>
  <si>
    <t>黑</t>
  </si>
  <si>
    <t>Tokyo RainBow Pride</t>
  </si>
  <si>
    <t>無</t>
  </si>
  <si>
    <t>---</t>
  </si>
  <si>
    <t>綠</t>
  </si>
  <si>
    <t>Blue</t>
  </si>
  <si>
    <t>用印/回寄</t>
  </si>
  <si>
    <t>大霆/野獸</t>
  </si>
  <si>
    <t>支票</t>
  </si>
  <si>
    <t>p3-19</t>
  </si>
  <si>
    <t>藍</t>
  </si>
  <si>
    <t>GAP</t>
  </si>
  <si>
    <t>白</t>
  </si>
  <si>
    <t>Sunpride Foundation 驕陽基金會</t>
  </si>
  <si>
    <t>粉</t>
  </si>
  <si>
    <t>拉拉公園</t>
  </si>
  <si>
    <t>玉甄 &amp; 宏展</t>
  </si>
  <si>
    <t>苡昇Eason</t>
  </si>
  <si>
    <t>P3-15</t>
  </si>
  <si>
    <t>黃</t>
  </si>
  <si>
    <t>艾緦整合行銷</t>
  </si>
  <si>
    <t>P2-17-18</t>
  </si>
  <si>
    <t>紫</t>
  </si>
  <si>
    <t>彩虹酷兒健康文化中心</t>
  </si>
  <si>
    <t>P1-22、P2-07</t>
  </si>
  <si>
    <t>大隊車(A車)</t>
  </si>
  <si>
    <t>婚姻大平台</t>
  </si>
  <si>
    <t>P3-16</t>
  </si>
  <si>
    <t>粉紅</t>
  </si>
  <si>
    <t>鷹架旁看板廣告</t>
  </si>
  <si>
    <t>單位一</t>
  </si>
  <si>
    <t>ESHA</t>
  </si>
  <si>
    <t>P3-01</t>
  </si>
  <si>
    <t>瓶裝水
(60 箱 ，
24 瓶 / 箱 )</t>
  </si>
  <si>
    <t>單位二</t>
  </si>
  <si>
    <t>主舞台前緣看板</t>
  </si>
  <si>
    <t>內外合併</t>
  </si>
  <si>
    <t>現場輪撥影片
(30s/10000)</t>
  </si>
  <si>
    <t>遊行當天DM贊助</t>
  </si>
  <si>
    <t>A</t>
  </si>
  <si>
    <t>無柄圓扇</t>
  </si>
  <si>
    <t>i</t>
  </si>
  <si>
    <t>辻利茶舖</t>
  </si>
  <si>
    <t>已提供</t>
  </si>
  <si>
    <t>P-17</t>
  </si>
  <si>
    <t>官網banner</t>
  </si>
  <si>
    <t>I</t>
  </si>
  <si>
    <t>II</t>
  </si>
  <si>
    <t>Total</t>
  </si>
  <si>
    <t>sumDestination</t>
  </si>
  <si>
    <t>P2-12-14</t>
  </si>
  <si>
    <t>sum 觸控</t>
  </si>
  <si>
    <t>sum 熱線</t>
  </si>
  <si>
    <t>廠商</t>
  </si>
  <si>
    <t>贊助金額</t>
  </si>
  <si>
    <t>入帳金額</t>
  </si>
  <si>
    <t>手續費</t>
  </si>
  <si>
    <t>入帳日期</t>
  </si>
  <si>
    <t>徵信錄登錄資訊</t>
  </si>
  <si>
    <t>統一編號</t>
  </si>
  <si>
    <t>收據編號</t>
  </si>
  <si>
    <t>收據日期</t>
  </si>
  <si>
    <t>收件人</t>
  </si>
  <si>
    <t>收件地址</t>
  </si>
  <si>
    <t>匯款銀行</t>
  </si>
  <si>
    <t>帳號</t>
  </si>
  <si>
    <t>戶名</t>
  </si>
  <si>
    <t>T-STUDIO 緹威國際有限公司</t>
  </si>
  <si>
    <t>緹威國際有限公司</t>
  </si>
  <si>
    <t>54868751</t>
  </si>
  <si>
    <t>170002</t>
  </si>
  <si>
    <t>緹威國際有限公司 陳怡君</t>
  </si>
  <si>
    <t>新北市三重區成功路73巷19號</t>
  </si>
  <si>
    <t>國際特赦組織台灣分會(Amnesty International Taiwan)</t>
  </si>
  <si>
    <t>社團法人國際特赦組織台灣分會</t>
  </si>
  <si>
    <t>01033036</t>
  </si>
  <si>
    <t>170003</t>
  </si>
  <si>
    <t>黃馨儀</t>
  </si>
  <si>
    <t>10078 台北市中正區和平西路一段30號9樓</t>
  </si>
  <si>
    <t>雪豹科技</t>
  </si>
  <si>
    <t>台灣雪豹科技有限公司</t>
  </si>
  <si>
    <t>54682636</t>
  </si>
  <si>
    <t>170004</t>
  </si>
  <si>
    <t>王子豪</t>
  </si>
  <si>
    <t>110 台北市信義區信義路五段7號83樓</t>
  </si>
  <si>
    <t>--</t>
  </si>
  <si>
    <t>**</t>
  </si>
  <si>
    <t>2017同志大遊行 Uber 平權贊助計畫</t>
  </si>
  <si>
    <t>威武創策有限公司</t>
  </si>
  <si>
    <t>43944578</t>
  </si>
  <si>
    <t>170005</t>
  </si>
  <si>
    <t>李佳穎  0936673086</t>
  </si>
  <si>
    <t>105 台北市松山區復興北路367號8樓</t>
  </si>
  <si>
    <t xml:space="preserve">北京 DESTINATION CLUB
</t>
  </si>
  <si>
    <t>艾緦整合行銷有限公司</t>
  </si>
  <si>
    <t>29145487</t>
  </si>
  <si>
    <t>併同第16筆</t>
  </si>
  <si>
    <t>魏馳倫</t>
  </si>
  <si>
    <t>10597 台北市松山區南京東路五段50號3樓-3</t>
  </si>
  <si>
    <t>同第16項資料</t>
  </si>
  <si>
    <t xml:space="preserve">Hornet Taiwan
</t>
  </si>
  <si>
    <t>Hornet Networks Ltd</t>
  </si>
  <si>
    <t>等回覆</t>
  </si>
  <si>
    <t>----</t>
  </si>
  <si>
    <t>旬豐國際有限公司</t>
  </si>
  <si>
    <t>53424843</t>
  </si>
  <si>
    <t>170006</t>
  </si>
  <si>
    <t>黃柏皓</t>
  </si>
  <si>
    <t>106 台北市大安區臥龍街306號3樓</t>
  </si>
  <si>
    <t>台灣蓋璞有限公司</t>
  </si>
  <si>
    <t>54363555</t>
  </si>
  <si>
    <t>170007</t>
  </si>
  <si>
    <t>Suki Zhou 0901165565</t>
  </si>
  <si>
    <t>11051台北市信義區松壽路12號ATT4Fun-GAP B1層</t>
  </si>
  <si>
    <t>中國信託(822)</t>
  </si>
  <si>
    <t>901-54045207-1</t>
  </si>
  <si>
    <t>袁志光</t>
  </si>
  <si>
    <t>驕陽基金會</t>
  </si>
  <si>
    <t>170008</t>
  </si>
  <si>
    <t>陳柏竹先生
SUNPRIDE FOUNDATION</t>
  </si>
  <si>
    <t>106 台北市大安區敦化南路一段235號16F B, 元大柏</t>
  </si>
  <si>
    <t>LesPark拉拉公園</t>
  </si>
  <si>
    <t>北京高梓行遠科技有限公司</t>
  </si>
  <si>
    <t>李宜庭</t>
  </si>
  <si>
    <t>114 台北市內湖區洲子街12號3樓</t>
  </si>
  <si>
    <t>員林分行</t>
  </si>
  <si>
    <t>325-54040222-5</t>
  </si>
  <si>
    <t>170014</t>
  </si>
  <si>
    <t>兆豐國際商業銀行(017)</t>
  </si>
  <si>
    <t>圓山分行</t>
  </si>
  <si>
    <t>23409008606</t>
  </si>
  <si>
    <t>台灣預防醫學學會</t>
  </si>
  <si>
    <t>00956047</t>
  </si>
  <si>
    <t>170009</t>
  </si>
  <si>
    <t>100 台北市中正區羅斯福路二段70號9樓之4</t>
  </si>
  <si>
    <t>華南商業銀行</t>
  </si>
  <si>
    <t>士林分行</t>
  </si>
  <si>
    <t>123-10-007697-5</t>
  </si>
  <si>
    <t>婚姻平權大平台</t>
  </si>
  <si>
    <t>社團法人台灣同志家庭權益促進會</t>
  </si>
  <si>
    <t>26331510</t>
  </si>
  <si>
    <t>170010</t>
  </si>
  <si>
    <t>100 台北市中正區新生南路一段60巷6號1樓</t>
  </si>
  <si>
    <t>Esha 束胸</t>
  </si>
  <si>
    <t>凱立達國際開發事業有限公司</t>
  </si>
  <si>
    <t>25120137</t>
  </si>
  <si>
    <t>170011</t>
  </si>
  <si>
    <t>陳詩茜</t>
  </si>
  <si>
    <t>110 台北市信義區光復南路451-1號2樓</t>
  </si>
  <si>
    <t>辻利茶舗</t>
  </si>
  <si>
    <t>高平志摩股份有限公司</t>
  </si>
  <si>
    <t>25103117</t>
  </si>
  <si>
    <t>170012</t>
  </si>
  <si>
    <t>萬姿妤</t>
  </si>
  <si>
    <t>110 台北市信義區基隆路一段155號12樓之6 1221室</t>
  </si>
  <si>
    <t>義賣轉</t>
  </si>
  <si>
    <t>花旗商銀</t>
  </si>
  <si>
    <t>花旗（台灣）商業銀行股份有限公司</t>
  </si>
  <si>
    <t>28421312</t>
  </si>
  <si>
    <t>170013</t>
  </si>
  <si>
    <t>劉品君 Peter</t>
  </si>
  <si>
    <t>台北市中山區德惠街9號7樓</t>
  </si>
  <si>
    <t>贊 助 品 項</t>
  </si>
  <si>
    <t>規 格</t>
  </si>
  <si>
    <t>單位售價</t>
  </si>
  <si>
    <t>數量</t>
  </si>
  <si>
    <t>檔案規格</t>
  </si>
  <si>
    <t>檔案提供日期</t>
  </si>
  <si>
    <t>遊行聯盟官方網站 (twpride.org)</t>
  </si>
  <si>
    <t>固定商標露出</t>
  </si>
  <si>
    <t>在官網顯示固定商標( 可連結網頁)</t>
  </si>
  <si>
    <t>$20,000/格</t>
  </si>
  <si>
    <t>300 x 200 px</t>
  </si>
  <si>
    <t>於備忘確認且入帳後即可掛入官網</t>
  </si>
  <si>
    <t>遊行活動當天</t>
  </si>
  <si>
    <t>當日活動DM</t>
  </si>
  <si>
    <t>12cmx21cm折頁文宣側面</t>
  </si>
  <si>
    <t>50,000/格</t>
  </si>
  <si>
    <t>120 x 210mm</t>
  </si>
  <si>
    <t>瓶裝水</t>
  </si>
  <si>
    <t>瓶裝水，外包裝尺寸</t>
  </si>
  <si>
    <t>$30,000 / 60箱</t>
  </si>
  <si>
    <t>188 x 42 mm</t>
  </si>
  <si>
    <t>遊行現場攤位</t>
  </si>
  <si>
    <t>3m×3m 帳篷，協助製作單位懸掛布條</t>
  </si>
  <si>
    <t>$100,000 / 頂</t>
  </si>
  <si>
    <t>3000 x 450 mm</t>
  </si>
  <si>
    <t>遊行主舞台車下方看板廣告</t>
  </si>
  <si>
    <t>內外合併( 共 4 單位)，單一面為180cm 寬 x 130cm 高，合併後為左右各一大面。</t>
  </si>
  <si>
    <t>85,000 /4面合併</t>
  </si>
  <si>
    <t>3600 x 1300 mm</t>
  </si>
  <si>
    <t>現場輪播影片</t>
  </si>
  <si>
    <t>在群眾集結時與遊行隊伍出發後播放，總影片輪播長度約為20min</t>
  </si>
  <si>
    <t>10,000/30s</t>
  </si>
  <si>
    <t>HD 720p，MPG檔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</si>
</sst>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18">
    <font>
      <sz val="10.0"/>
      <color rgb="FF000000"/>
      <name val="Arial"/>
    </font>
    <font>
      <name val="Arial"/>
    </font>
    <font>
      <b/>
      <sz val="10.0"/>
      <name val="Arial"/>
    </font>
    <font>
      <b/>
      <sz val="10.0"/>
      <color rgb="FF000000"/>
      <name val="Arial"/>
    </font>
    <font>
      <b/>
      <sz val="8.0"/>
      <name val="Arial"/>
    </font>
    <font>
      <b/>
      <sz val="12.0"/>
      <name val="Arial"/>
    </font>
    <font>
      <sz val="10.0"/>
    </font>
    <font>
      <sz val="10.0"/>
      <name val="Arial"/>
    </font>
    <font>
      <color rgb="FFFF9900"/>
      <name val="Arial"/>
    </font>
    <font/>
    <font>
      <color rgb="FF000000"/>
      <name val="Arial"/>
    </font>
    <font>
      <sz val="14.0"/>
      <name val="Arial"/>
    </font>
    <font>
      <b/>
    </font>
    <font>
      <color rgb="FF000000"/>
    </font>
    <font>
      <u/>
    </font>
    <font>
      <u/>
    </font>
    <font>
      <b/>
      <sz val="12.0"/>
      <color rgb="FFFFFFFF"/>
      <name val="新細明體"/>
    </font>
    <font>
      <sz val="12.0"/>
      <color rgb="FF000000"/>
      <name val="新細明體"/>
    </font>
  </fonts>
  <fills count="1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5781E"/>
        <bgColor rgb="FFB5781E"/>
      </patternFill>
    </fill>
    <fill>
      <patternFill patternType="solid">
        <fgColor rgb="FF00B050"/>
        <bgColor rgb="FF00B050"/>
      </patternFill>
    </fill>
    <fill>
      <patternFill patternType="solid">
        <fgColor rgb="FFECF3DA"/>
        <bgColor rgb="FFECF3DA"/>
      </patternFill>
    </fill>
    <fill>
      <patternFill patternType="solid">
        <fgColor rgb="FFEBC489"/>
        <bgColor rgb="FFEBC489"/>
      </patternFill>
    </fill>
    <fill>
      <patternFill patternType="solid">
        <fgColor rgb="FFF9EBD7"/>
        <bgColor rgb="FFF9EBD7"/>
      </patternFill>
    </fill>
    <fill>
      <patternFill patternType="solid">
        <fgColor rgb="FFF6E1C2"/>
        <bgColor rgb="FFF6E1C2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6" numFmtId="0" xfId="0" applyFont="1"/>
    <xf borderId="5" fillId="0" fontId="7" numFmtId="0" xfId="0" applyAlignment="1" applyBorder="1" applyFont="1">
      <alignment horizontal="center" readingOrder="0" shrinkToFit="0" vertical="center" wrapText="1"/>
    </xf>
    <xf borderId="3" fillId="2" fontId="1" numFmtId="49" xfId="0" applyAlignment="1" applyBorder="1" applyFill="1" applyFont="1" applyNumberFormat="1">
      <alignment horizontal="center"/>
    </xf>
    <xf borderId="0" fillId="0" fontId="1" numFmtId="3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 vertical="bottom"/>
    </xf>
    <xf borderId="0" fillId="3" fontId="8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5" fillId="0" fontId="9" numFmtId="0" xfId="0" applyBorder="1" applyFont="1"/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readingOrder="0"/>
    </xf>
    <xf borderId="3" fillId="4" fontId="1" numFmtId="49" xfId="0" applyAlignment="1" applyBorder="1" applyFill="1" applyFont="1" applyNumberFormat="1">
      <alignment horizont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3" fillId="5" fontId="1" numFmtId="49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center"/>
    </xf>
    <xf borderId="3" fillId="5" fontId="1" numFmtId="49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/>
    </xf>
    <xf quotePrefix="1" borderId="0" fillId="0" fontId="1" numFmtId="0" xfId="0" applyAlignment="1" applyFont="1">
      <alignment horizontal="center"/>
    </xf>
    <xf borderId="0" fillId="6" fontId="1" numFmtId="0" xfId="0" applyAlignment="1" applyFill="1" applyFont="1">
      <alignment readingOrder="0" vertical="bottom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9" numFmtId="3" xfId="0" applyAlignment="1" applyFont="1" applyNumberFormat="1">
      <alignment readingOrder="0"/>
    </xf>
    <xf quotePrefix="1" borderId="0" fillId="6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 vertical="bottom"/>
    </xf>
    <xf borderId="1" fillId="0" fontId="1" numFmtId="3" xfId="0" applyAlignment="1" applyBorder="1" applyFont="1" applyNumberFormat="1">
      <alignment horizontal="right"/>
    </xf>
    <xf borderId="0" fillId="0" fontId="1" numFmtId="0" xfId="0" applyAlignment="1" applyFont="1">
      <alignment vertical="center"/>
    </xf>
    <xf borderId="0" fillId="0" fontId="9" numFmtId="165" xfId="0" applyAlignment="1" applyFont="1" applyNumberFormat="1">
      <alignment readingOrder="0"/>
    </xf>
    <xf borderId="0" fillId="0" fontId="9" numFmtId="0" xfId="0" applyAlignment="1" applyFont="1">
      <alignment horizontal="left" readingOrder="0" vertical="center"/>
    </xf>
    <xf borderId="2" fillId="0" fontId="9" numFmtId="0" xfId="0" applyBorder="1" applyFont="1"/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0" fillId="7" fontId="10" numFmtId="0" xfId="0" applyAlignment="1" applyFill="1" applyFont="1">
      <alignment horizontal="center" readingOrder="0"/>
    </xf>
    <xf borderId="1" fillId="0" fontId="9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5" fillId="0" fontId="1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vertical="center"/>
    </xf>
    <xf borderId="0" fillId="7" fontId="10" numFmtId="0" xfId="0" applyAlignment="1" applyFont="1">
      <alignment horizontal="center" readingOrder="0" vertical="center"/>
    </xf>
    <xf borderId="0" fillId="0" fontId="9" numFmtId="3" xfId="0" applyFont="1" applyNumberFormat="1"/>
    <xf borderId="0" fillId="0" fontId="1" numFmtId="164" xfId="0" applyAlignment="1" applyFont="1" applyNumberFormat="1">
      <alignment readingOrder="0" vertical="bottom"/>
    </xf>
    <xf borderId="0" fillId="0" fontId="1" numFmtId="3" xfId="0" applyFont="1" applyNumberFormat="1"/>
    <xf borderId="2" fillId="0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bottom"/>
    </xf>
    <xf quotePrefix="1"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12" numFmtId="49" xfId="0" applyAlignment="1" applyFont="1" applyNumberFormat="1">
      <alignment horizontal="left" readingOrder="0"/>
    </xf>
    <xf borderId="0" fillId="0" fontId="9" numFmtId="0" xfId="0" applyAlignment="1" applyFont="1">
      <alignment horizontal="center" readingOrder="0"/>
    </xf>
    <xf borderId="0" fillId="0" fontId="9" numFmtId="164" xfId="0" applyFont="1" applyNumberFormat="1"/>
    <xf borderId="0" fillId="8" fontId="9" numFmtId="0" xfId="0" applyAlignment="1" applyFill="1" applyFont="1">
      <alignment readingOrder="0"/>
    </xf>
    <xf borderId="0" fillId="0" fontId="9" numFmtId="49" xfId="0" applyAlignment="1" applyFont="1" applyNumberFormat="1">
      <alignment horizontal="center" readingOrder="0"/>
    </xf>
    <xf quotePrefix="1" borderId="0" fillId="0" fontId="9" numFmtId="0" xfId="0" applyAlignment="1" applyFont="1">
      <alignment readingOrder="0"/>
    </xf>
    <xf borderId="0" fillId="0" fontId="9" numFmtId="49" xfId="0" applyAlignment="1" applyFont="1" applyNumberFormat="1">
      <alignment horizontal="left"/>
    </xf>
    <xf borderId="0" fillId="0" fontId="9" numFmtId="49" xfId="0" applyAlignment="1" applyFont="1" applyNumberFormat="1">
      <alignment horizontal="center"/>
    </xf>
    <xf borderId="0" fillId="0" fontId="9" numFmtId="165" xfId="0" applyFont="1" applyNumberFormat="1"/>
    <xf borderId="7" fillId="0" fontId="9" numFmtId="0" xfId="0" applyBorder="1" applyFont="1"/>
    <xf borderId="7" fillId="0" fontId="9" numFmtId="49" xfId="0" applyAlignment="1" applyBorder="1" applyFont="1" applyNumberFormat="1">
      <alignment horizontal="left"/>
    </xf>
    <xf borderId="0" fillId="8" fontId="13" numFmtId="0" xfId="0" applyAlignment="1" applyFont="1">
      <alignment readingOrder="0"/>
    </xf>
    <xf borderId="7" fillId="0" fontId="9" numFmtId="0" xfId="0" applyAlignment="1" applyBorder="1" applyFont="1">
      <alignment readingOrder="0" vertical="center"/>
    </xf>
    <xf borderId="0" fillId="0" fontId="1" numFmtId="3" xfId="0" applyAlignment="1" applyFont="1" applyNumberFormat="1">
      <alignment horizontal="right" vertical="center"/>
    </xf>
    <xf borderId="0" fillId="0" fontId="9" numFmtId="0" xfId="0" applyAlignment="1" applyFont="1">
      <alignment vertical="center"/>
    </xf>
    <xf borderId="0" fillId="0" fontId="9" numFmtId="164" xfId="0" applyAlignment="1" applyFont="1" applyNumberFormat="1">
      <alignment vertical="center"/>
    </xf>
    <xf borderId="0" fillId="8" fontId="13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49" xfId="0" applyAlignment="1" applyFont="1" applyNumberFormat="1">
      <alignment horizontal="center" readingOrder="0" vertical="center"/>
    </xf>
    <xf borderId="0" fillId="0" fontId="9" numFmtId="165" xfId="0" applyAlignment="1" applyFont="1" applyNumberFormat="1">
      <alignment readingOrder="0" vertical="center"/>
    </xf>
    <xf borderId="7" fillId="0" fontId="1" numFmtId="0" xfId="0" applyAlignment="1" applyBorder="1" applyFont="1">
      <alignment shrinkToFit="0" vertical="center" wrapText="0"/>
    </xf>
    <xf borderId="7" fillId="0" fontId="9" numFmtId="49" xfId="0" applyAlignment="1" applyBorder="1" applyFont="1" applyNumberFormat="1">
      <alignment horizontal="left" readingOrder="0" vertical="center"/>
    </xf>
    <xf borderId="0" fillId="0" fontId="9" numFmtId="49" xfId="0" applyAlignment="1" applyFont="1" applyNumberFormat="1">
      <alignment horizontal="center" vertical="center"/>
    </xf>
    <xf borderId="0" fillId="0" fontId="9" numFmtId="49" xfId="0" applyAlignment="1" applyFont="1" applyNumberFormat="1">
      <alignment horizontal="left" vertical="center"/>
    </xf>
    <xf borderId="0" fillId="0" fontId="9" numFmtId="164" xfId="0" applyAlignment="1" applyFont="1" applyNumberFormat="1">
      <alignment readingOrder="0" vertical="center"/>
    </xf>
    <xf borderId="7" fillId="0" fontId="9" numFmtId="49" xfId="0" applyAlignment="1" applyBorder="1" applyFont="1" applyNumberFormat="1">
      <alignment horizontal="left" readingOrder="0"/>
    </xf>
    <xf quotePrefix="1" borderId="7" fillId="0" fontId="9" numFmtId="49" xfId="0" applyAlignment="1" applyBorder="1" applyFont="1" applyNumberFormat="1">
      <alignment horizontal="left" readingOrder="0"/>
    </xf>
    <xf borderId="7" fillId="0" fontId="9" numFmtId="0" xfId="0" applyAlignment="1" applyBorder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49" xfId="0" applyAlignment="1" applyFont="1" applyNumberFormat="1">
      <alignment readingOrder="0"/>
    </xf>
    <xf borderId="0" fillId="0" fontId="9" numFmtId="49" xfId="0" applyAlignment="1" applyFont="1" applyNumberFormat="1">
      <alignment horizontal="left" readingOrder="0"/>
    </xf>
    <xf borderId="0" fillId="8" fontId="9" numFmtId="0" xfId="0" applyAlignment="1" applyFont="1">
      <alignment readingOrder="0" vertical="center"/>
    </xf>
    <xf quotePrefix="1" borderId="0" fillId="0" fontId="9" numFmtId="0" xfId="0" applyAlignment="1" applyFont="1">
      <alignment readingOrder="0" vertical="center"/>
    </xf>
    <xf borderId="0" fillId="0" fontId="9" numFmtId="49" xfId="0" applyAlignment="1" applyFont="1" applyNumberFormat="1">
      <alignment horizontal="left" readingOrder="0" vertical="center"/>
    </xf>
    <xf borderId="8" fillId="0" fontId="1" numFmtId="0" xfId="0" applyBorder="1" applyFont="1"/>
    <xf borderId="0" fillId="0" fontId="14" numFmtId="0" xfId="0" applyFont="1"/>
    <xf borderId="0" fillId="0" fontId="15" numFmtId="0" xfId="0" applyAlignment="1" applyFont="1">
      <alignment readingOrder="0"/>
    </xf>
    <xf borderId="7" fillId="9" fontId="16" numFmtId="0" xfId="0" applyAlignment="1" applyBorder="1" applyFill="1" applyFont="1">
      <alignment horizontal="center" readingOrder="0" shrinkToFit="0" vertical="center" wrapText="0"/>
    </xf>
    <xf borderId="4" fillId="9" fontId="16" numFmtId="0" xfId="0" applyAlignment="1" applyBorder="1" applyFont="1">
      <alignment horizontal="center" readingOrder="0" shrinkToFit="0" vertical="center" wrapText="1"/>
    </xf>
    <xf borderId="4" fillId="9" fontId="16" numFmtId="0" xfId="0" applyAlignment="1" applyBorder="1" applyFont="1">
      <alignment horizontal="center" readingOrder="0" shrinkToFit="0" vertical="center" wrapText="0"/>
    </xf>
    <xf borderId="9" fillId="10" fontId="16" numFmtId="0" xfId="0" applyAlignment="1" applyBorder="1" applyFill="1" applyFont="1">
      <alignment horizontal="left" readingOrder="0" shrinkToFit="0" wrapText="0"/>
    </xf>
    <xf borderId="10" fillId="0" fontId="9" numFmtId="0" xfId="0" applyBorder="1" applyFont="1"/>
    <xf borderId="4" fillId="0" fontId="9" numFmtId="0" xfId="0" applyBorder="1" applyFont="1"/>
    <xf borderId="2" fillId="11" fontId="17" numFmtId="0" xfId="0" applyAlignment="1" applyBorder="1" applyFill="1" applyFont="1">
      <alignment readingOrder="0" shrinkToFit="0" vertical="center" wrapText="0"/>
    </xf>
    <xf borderId="0" fillId="11" fontId="17" numFmtId="0" xfId="0" applyAlignment="1" applyFont="1">
      <alignment readingOrder="0" shrinkToFit="0" vertical="center" wrapText="1"/>
    </xf>
    <xf borderId="0" fillId="11" fontId="17" numFmtId="0" xfId="0" applyAlignment="1" applyFont="1">
      <alignment readingOrder="0" shrinkToFit="0" vertical="center" wrapText="0"/>
    </xf>
    <xf borderId="3" fillId="11" fontId="17" numFmtId="0" xfId="0" applyAlignment="1" applyBorder="1" applyFont="1">
      <alignment readingOrder="0" shrinkToFit="0" vertical="center" wrapText="0"/>
    </xf>
    <xf borderId="9" fillId="12" fontId="16" numFmtId="0" xfId="0" applyAlignment="1" applyBorder="1" applyFill="1" applyFont="1">
      <alignment readingOrder="0" shrinkToFit="0" wrapText="0"/>
    </xf>
    <xf borderId="2" fillId="13" fontId="17" numFmtId="0" xfId="0" applyAlignment="1" applyBorder="1" applyFill="1" applyFont="1">
      <alignment readingOrder="0" shrinkToFit="0" wrapText="0"/>
    </xf>
    <xf borderId="0" fillId="13" fontId="17" numFmtId="0" xfId="0" applyAlignment="1" applyFont="1">
      <alignment readingOrder="0" shrinkToFit="0" wrapText="1"/>
    </xf>
    <xf borderId="0" fillId="13" fontId="17" numFmtId="0" xfId="0" applyAlignment="1" applyFont="1">
      <alignment readingOrder="0" shrinkToFit="0" wrapText="0"/>
    </xf>
    <xf borderId="3" fillId="13" fontId="17" numFmtId="165" xfId="0" applyAlignment="1" applyBorder="1" applyFont="1" applyNumberFormat="1">
      <alignment readingOrder="0" shrinkToFit="0" wrapText="0"/>
    </xf>
    <xf borderId="2" fillId="14" fontId="17" numFmtId="0" xfId="0" applyAlignment="1" applyBorder="1" applyFill="1" applyFont="1">
      <alignment readingOrder="0" shrinkToFit="0" wrapText="0"/>
    </xf>
    <xf borderId="0" fillId="14" fontId="17" numFmtId="0" xfId="0" applyAlignment="1" applyFont="1">
      <alignment readingOrder="0" shrinkToFit="0" wrapText="1"/>
    </xf>
    <xf borderId="0" fillId="14" fontId="17" numFmtId="0" xfId="0" applyAlignment="1" applyFont="1">
      <alignment readingOrder="0" shrinkToFit="0" wrapText="0"/>
    </xf>
    <xf borderId="3" fillId="14" fontId="17" numFmtId="165" xfId="0" applyAlignment="1" applyBorder="1" applyFont="1" applyNumberFormat="1">
      <alignment readingOrder="0" shrinkToFit="0" wrapText="0"/>
    </xf>
    <xf borderId="3" fillId="13" fontId="17" numFmtId="0" xfId="0" applyAlignment="1" applyBorder="1" applyFont="1">
      <alignment readingOrder="0" shrinkToFit="0" wrapText="1"/>
    </xf>
    <xf borderId="3" fillId="13" fontId="17" numFmtId="0" xfId="0" applyAlignment="1" applyBorder="1" applyFont="1">
      <alignment readingOrder="0" shrinkToFit="0" wrapText="0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75"/>
  <cols>
    <col customWidth="1" min="3" max="3" width="21.57"/>
    <col customWidth="1" min="7" max="7" width="14.0"/>
    <col customWidth="1" min="9" max="9" width="18.0"/>
    <col customWidth="1" min="10" max="10" width="18.57"/>
  </cols>
  <sheetData>
    <row r="1">
      <c r="A1" s="1"/>
      <c r="B1" s="1"/>
      <c r="C1" s="1"/>
      <c r="D1" s="1"/>
      <c r="E1" s="2"/>
      <c r="F1" s="2"/>
      <c r="G1" s="2"/>
      <c r="H1" s="3"/>
      <c r="I1" s="1"/>
      <c r="J1" s="4" t="s">
        <v>0</v>
      </c>
      <c r="K1" s="1"/>
      <c r="L1" s="1"/>
      <c r="M1" s="1"/>
      <c r="N1" s="1"/>
      <c r="O1" s="1"/>
      <c r="P1" s="1"/>
      <c r="Q1" s="1"/>
      <c r="R1" s="1"/>
      <c r="S1" s="3"/>
      <c r="T1" s="3"/>
      <c r="U1" s="3"/>
    </row>
    <row r="2" ht="43.5" customHeight="1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9" t="s">
        <v>6</v>
      </c>
      <c r="G2" s="9" t="s">
        <v>7</v>
      </c>
      <c r="H2" s="10" t="s">
        <v>8</v>
      </c>
      <c r="I2" s="11" t="s">
        <v>9</v>
      </c>
      <c r="J2" s="12" t="s">
        <v>10</v>
      </c>
      <c r="K2" s="8" t="s">
        <v>11</v>
      </c>
      <c r="L2" s="8" t="s">
        <v>12</v>
      </c>
      <c r="M2" s="11" t="s">
        <v>13</v>
      </c>
      <c r="N2" s="11" t="s">
        <v>14</v>
      </c>
      <c r="O2" s="13" t="s">
        <v>15</v>
      </c>
      <c r="P2" s="11" t="s">
        <v>16</v>
      </c>
      <c r="Q2" s="11" t="s">
        <v>17</v>
      </c>
      <c r="R2" s="7" t="s">
        <v>18</v>
      </c>
      <c r="S2" s="14"/>
      <c r="T2" s="10" t="s">
        <v>19</v>
      </c>
      <c r="U2" s="14" t="s">
        <v>20</v>
      </c>
      <c r="V2" s="10" t="s">
        <v>21</v>
      </c>
      <c r="W2" s="10" t="s">
        <v>22</v>
      </c>
      <c r="X2" s="15"/>
      <c r="Y2" s="15"/>
      <c r="Z2" s="15"/>
      <c r="AA2" s="15"/>
    </row>
    <row r="3">
      <c r="A3" s="16" t="s">
        <v>23</v>
      </c>
      <c r="B3" s="17" t="s">
        <v>24</v>
      </c>
      <c r="C3" s="3" t="s">
        <v>25</v>
      </c>
      <c r="D3" s="18">
        <v>100000.0</v>
      </c>
      <c r="E3" s="19" t="s">
        <v>26</v>
      </c>
      <c r="F3" s="19" t="s">
        <v>27</v>
      </c>
      <c r="G3" s="20" t="s">
        <v>28</v>
      </c>
      <c r="H3" s="21"/>
      <c r="I3" s="22" t="s">
        <v>29</v>
      </c>
      <c r="J3" s="22" t="s">
        <v>30</v>
      </c>
      <c r="K3" s="23">
        <v>10.0</v>
      </c>
      <c r="L3" s="24">
        <v>1.0</v>
      </c>
      <c r="M3" s="24">
        <v>3.0</v>
      </c>
      <c r="N3" s="24">
        <v>2.0</v>
      </c>
      <c r="O3" s="24">
        <v>1.0</v>
      </c>
      <c r="P3" s="24">
        <v>2.0</v>
      </c>
      <c r="Q3" s="24">
        <v>1.0</v>
      </c>
      <c r="R3" s="25"/>
      <c r="S3" s="26"/>
      <c r="T3" s="27">
        <v>43002.0</v>
      </c>
      <c r="U3" s="26">
        <v>100000.0</v>
      </c>
    </row>
    <row r="4">
      <c r="A4" s="28"/>
      <c r="B4" s="17" t="s">
        <v>31</v>
      </c>
      <c r="C4" s="29" t="s">
        <v>32</v>
      </c>
      <c r="D4" s="30">
        <v>20000.0</v>
      </c>
      <c r="E4" s="19" t="s">
        <v>33</v>
      </c>
      <c r="F4" s="19" t="s">
        <v>27</v>
      </c>
      <c r="G4" s="20" t="s">
        <v>34</v>
      </c>
      <c r="H4" s="29"/>
      <c r="I4" s="22" t="s">
        <v>29</v>
      </c>
      <c r="J4" s="22" t="s">
        <v>30</v>
      </c>
      <c r="K4" s="24">
        <v>4.0</v>
      </c>
      <c r="L4" s="24">
        <v>0.0</v>
      </c>
      <c r="M4" s="24">
        <v>2.0</v>
      </c>
      <c r="N4" s="24">
        <v>6.0</v>
      </c>
      <c r="O4" s="24">
        <v>1.0</v>
      </c>
      <c r="P4" s="24">
        <v>2.0</v>
      </c>
      <c r="Q4" s="24">
        <v>1.0</v>
      </c>
      <c r="R4" s="25"/>
      <c r="S4" s="26" t="s">
        <v>35</v>
      </c>
      <c r="T4" s="27">
        <v>42993.0</v>
      </c>
      <c r="U4" s="26">
        <f>20000-30</f>
        <v>19970</v>
      </c>
    </row>
    <row r="5">
      <c r="A5" s="28"/>
      <c r="B5" s="31" t="s">
        <v>36</v>
      </c>
      <c r="C5" s="32" t="s">
        <v>37</v>
      </c>
      <c r="D5" s="30">
        <v>100000.0</v>
      </c>
      <c r="E5" s="19" t="s">
        <v>38</v>
      </c>
      <c r="F5" s="19" t="s">
        <v>39</v>
      </c>
      <c r="G5" s="20" t="s">
        <v>28</v>
      </c>
      <c r="H5" s="29"/>
      <c r="I5" s="22" t="s">
        <v>29</v>
      </c>
      <c r="J5" s="22" t="s">
        <v>30</v>
      </c>
      <c r="K5" s="24">
        <v>10.0</v>
      </c>
      <c r="L5" s="24">
        <v>0.0</v>
      </c>
      <c r="M5" s="24">
        <v>2.0</v>
      </c>
      <c r="N5" s="24">
        <v>4.0</v>
      </c>
      <c r="O5" s="24">
        <v>1.0</v>
      </c>
      <c r="P5" s="24">
        <v>2.0</v>
      </c>
      <c r="Q5" s="24">
        <v>1.0</v>
      </c>
      <c r="R5" s="25"/>
      <c r="S5" s="33"/>
      <c r="T5" s="34">
        <v>43033.0</v>
      </c>
      <c r="U5" s="26">
        <f>100000-10</f>
        <v>99990</v>
      </c>
    </row>
    <row r="6">
      <c r="A6" s="28"/>
      <c r="B6" s="35" t="s">
        <v>40</v>
      </c>
      <c r="C6" s="32" t="s">
        <v>41</v>
      </c>
      <c r="D6" s="30">
        <v>100000.0</v>
      </c>
      <c r="E6" s="19" t="s">
        <v>33</v>
      </c>
      <c r="F6" s="19" t="s">
        <v>42</v>
      </c>
      <c r="G6" s="20" t="s">
        <v>34</v>
      </c>
      <c r="H6" s="36"/>
      <c r="I6" s="22" t="s">
        <v>29</v>
      </c>
      <c r="J6" s="22" t="s">
        <v>30</v>
      </c>
      <c r="K6" s="22">
        <v>5.0</v>
      </c>
      <c r="L6" s="22">
        <v>1.0</v>
      </c>
      <c r="M6" s="22">
        <v>2.0</v>
      </c>
      <c r="N6" s="22">
        <v>4.0</v>
      </c>
      <c r="O6" s="24">
        <v>1.0</v>
      </c>
      <c r="P6" s="24">
        <v>2.0</v>
      </c>
      <c r="Q6" s="24">
        <v>1.0</v>
      </c>
      <c r="R6" s="25"/>
      <c r="S6" s="26"/>
      <c r="T6" s="26"/>
      <c r="U6" s="26">
        <v>100000.0</v>
      </c>
    </row>
    <row r="7">
      <c r="A7" s="28"/>
      <c r="B7" s="35" t="s">
        <v>43</v>
      </c>
      <c r="C7" s="37" t="s">
        <v>44</v>
      </c>
      <c r="D7" s="30">
        <v>100000.0</v>
      </c>
      <c r="E7" s="19" t="s">
        <v>45</v>
      </c>
      <c r="F7" s="19" t="s">
        <v>46</v>
      </c>
      <c r="G7" s="20" t="s">
        <v>47</v>
      </c>
      <c r="H7" s="29"/>
      <c r="I7" s="22" t="s">
        <v>29</v>
      </c>
      <c r="J7" s="22" t="s">
        <v>30</v>
      </c>
      <c r="K7" s="23">
        <v>10.0</v>
      </c>
      <c r="L7" s="24">
        <v>0.0</v>
      </c>
      <c r="M7" s="24">
        <v>1.0</v>
      </c>
      <c r="N7" s="24">
        <v>4.0</v>
      </c>
      <c r="O7" s="24">
        <v>1.0</v>
      </c>
      <c r="P7" s="24">
        <v>2.0</v>
      </c>
      <c r="Q7" s="24">
        <v>1.0</v>
      </c>
      <c r="R7" s="25"/>
      <c r="S7" s="33"/>
      <c r="T7" s="33"/>
      <c r="U7" s="33"/>
    </row>
    <row r="8">
      <c r="A8" s="28"/>
      <c r="B8" s="38" t="s">
        <v>48</v>
      </c>
      <c r="C8" s="39" t="s">
        <v>49</v>
      </c>
      <c r="D8" s="30">
        <v>5000.0</v>
      </c>
      <c r="E8" s="19" t="s">
        <v>33</v>
      </c>
      <c r="F8" s="21"/>
      <c r="G8" s="20" t="s">
        <v>28</v>
      </c>
      <c r="H8" s="29"/>
      <c r="I8" s="22" t="s">
        <v>29</v>
      </c>
      <c r="J8" s="22" t="s">
        <v>30</v>
      </c>
      <c r="K8" s="22">
        <v>5.0</v>
      </c>
      <c r="L8" s="22">
        <v>1.0</v>
      </c>
      <c r="M8" s="22">
        <v>1.0</v>
      </c>
      <c r="N8" s="22">
        <v>5.0</v>
      </c>
      <c r="O8" s="24">
        <v>1.0</v>
      </c>
      <c r="P8" s="24">
        <v>2.0</v>
      </c>
      <c r="Q8" s="24">
        <v>1.0</v>
      </c>
      <c r="R8" s="25"/>
      <c r="S8" s="33"/>
      <c r="T8" s="33"/>
      <c r="U8" s="26">
        <v>25000.0</v>
      </c>
    </row>
    <row r="9">
      <c r="A9" s="28"/>
      <c r="B9" s="38" t="s">
        <v>50</v>
      </c>
      <c r="C9" s="39" t="s">
        <v>51</v>
      </c>
      <c r="D9" s="18">
        <v>20000.0</v>
      </c>
      <c r="E9" s="19" t="s">
        <v>45</v>
      </c>
      <c r="F9" s="21"/>
      <c r="G9" s="20" t="s">
        <v>34</v>
      </c>
      <c r="H9" s="29"/>
      <c r="I9" s="22" t="s">
        <v>29</v>
      </c>
      <c r="J9" s="22" t="s">
        <v>30</v>
      </c>
      <c r="K9" s="24">
        <v>5.0</v>
      </c>
      <c r="L9" s="24">
        <v>0.0</v>
      </c>
      <c r="M9" s="24">
        <v>2.0</v>
      </c>
      <c r="N9" s="24">
        <v>4.0</v>
      </c>
      <c r="O9" s="24">
        <v>1.0</v>
      </c>
      <c r="P9" s="24">
        <v>2.0</v>
      </c>
      <c r="Q9" s="24">
        <v>1.0</v>
      </c>
      <c r="R9" s="25"/>
      <c r="S9" s="33"/>
      <c r="T9" s="33"/>
      <c r="U9" s="26">
        <v>20000.0</v>
      </c>
    </row>
    <row r="10">
      <c r="A10" s="28"/>
      <c r="B10" s="38" t="s">
        <v>52</v>
      </c>
      <c r="C10" s="39" t="s">
        <v>53</v>
      </c>
      <c r="D10" s="30">
        <v>100000.0</v>
      </c>
      <c r="E10" s="19" t="s">
        <v>45</v>
      </c>
      <c r="F10" s="21"/>
      <c r="G10" s="20" t="s">
        <v>34</v>
      </c>
      <c r="H10" s="29"/>
      <c r="I10" s="22" t="s">
        <v>29</v>
      </c>
      <c r="J10" s="22" t="s">
        <v>30</v>
      </c>
      <c r="K10" s="22">
        <v>10.0</v>
      </c>
      <c r="L10" s="22">
        <v>0.0</v>
      </c>
      <c r="M10" s="22">
        <v>1.0</v>
      </c>
      <c r="N10" s="22">
        <v>2.0</v>
      </c>
      <c r="O10" s="24">
        <v>1.0</v>
      </c>
      <c r="P10" s="24">
        <v>2.0</v>
      </c>
      <c r="Q10" s="24">
        <v>1.0</v>
      </c>
      <c r="R10" s="25"/>
      <c r="S10" s="26" t="s">
        <v>54</v>
      </c>
      <c r="T10" s="34">
        <v>43032.0</v>
      </c>
      <c r="U10" s="26">
        <v>100000.0</v>
      </c>
    </row>
    <row r="11">
      <c r="A11" s="16"/>
      <c r="B11" s="38"/>
      <c r="C11" s="39"/>
      <c r="D11" s="30"/>
      <c r="E11" s="19"/>
      <c r="F11" s="21"/>
      <c r="G11" s="36"/>
      <c r="H11" s="29"/>
      <c r="I11" s="40"/>
      <c r="J11" s="40"/>
      <c r="K11" s="41">
        <f t="shared" ref="K11:Q11" si="1">SUM(K3:K10)</f>
        <v>59</v>
      </c>
      <c r="L11" s="41">
        <f t="shared" si="1"/>
        <v>3</v>
      </c>
      <c r="M11" s="41">
        <f t="shared" si="1"/>
        <v>14</v>
      </c>
      <c r="N11" s="41">
        <f t="shared" si="1"/>
        <v>31</v>
      </c>
      <c r="O11" s="41">
        <f t="shared" si="1"/>
        <v>8</v>
      </c>
      <c r="P11" s="41">
        <f t="shared" si="1"/>
        <v>16</v>
      </c>
      <c r="Q11" s="41">
        <f t="shared" si="1"/>
        <v>8</v>
      </c>
      <c r="R11" s="25"/>
      <c r="S11" s="33"/>
      <c r="T11" s="33"/>
      <c r="U11" s="33"/>
    </row>
    <row r="12">
      <c r="A12" s="42" t="s">
        <v>55</v>
      </c>
      <c r="B12" s="43" t="s">
        <v>56</v>
      </c>
      <c r="C12" s="3" t="s">
        <v>57</v>
      </c>
      <c r="D12" s="18">
        <v>80000.0</v>
      </c>
      <c r="E12" s="19" t="s">
        <v>33</v>
      </c>
      <c r="F12" s="21"/>
      <c r="G12" s="20" t="s">
        <v>34</v>
      </c>
      <c r="H12" s="19" t="s">
        <v>58</v>
      </c>
      <c r="I12" s="44" t="s">
        <v>59</v>
      </c>
      <c r="J12" s="44" t="s">
        <v>59</v>
      </c>
      <c r="K12" s="44" t="s">
        <v>59</v>
      </c>
      <c r="L12" s="44" t="s">
        <v>59</v>
      </c>
      <c r="M12" s="44" t="s">
        <v>59</v>
      </c>
      <c r="N12" s="44" t="s">
        <v>59</v>
      </c>
      <c r="O12" s="44" t="s">
        <v>59</v>
      </c>
      <c r="P12" s="44" t="s">
        <v>59</v>
      </c>
      <c r="Q12" s="44" t="s">
        <v>59</v>
      </c>
      <c r="R12" s="45" t="s">
        <v>60</v>
      </c>
      <c r="S12" s="33"/>
      <c r="T12" s="33"/>
      <c r="U12" s="33"/>
    </row>
    <row r="13">
      <c r="A13" s="28"/>
      <c r="B13" s="46" t="s">
        <v>61</v>
      </c>
      <c r="C13" s="29" t="s">
        <v>62</v>
      </c>
      <c r="D13" s="18">
        <v>60000.0</v>
      </c>
      <c r="E13" s="19" t="s">
        <v>33</v>
      </c>
      <c r="F13" s="21"/>
      <c r="G13" s="20" t="s">
        <v>28</v>
      </c>
      <c r="H13" s="19" t="s">
        <v>58</v>
      </c>
      <c r="I13" s="44" t="s">
        <v>59</v>
      </c>
      <c r="J13" s="44" t="s">
        <v>59</v>
      </c>
      <c r="K13" s="44" t="s">
        <v>59</v>
      </c>
      <c r="L13" s="44" t="s">
        <v>59</v>
      </c>
      <c r="M13" s="44" t="s">
        <v>59</v>
      </c>
      <c r="N13" s="44" t="s">
        <v>59</v>
      </c>
      <c r="O13" s="44" t="s">
        <v>59</v>
      </c>
      <c r="P13" s="44" t="s">
        <v>59</v>
      </c>
      <c r="Q13" s="44" t="s">
        <v>59</v>
      </c>
      <c r="R13" s="45" t="s">
        <v>60</v>
      </c>
      <c r="S13" s="26" t="s">
        <v>63</v>
      </c>
      <c r="T13" s="34">
        <v>43021.0</v>
      </c>
      <c r="U13" s="33">
        <v>60000.0</v>
      </c>
    </row>
    <row r="14">
      <c r="A14" s="28"/>
      <c r="B14" s="47" t="s">
        <v>64</v>
      </c>
      <c r="C14" s="3" t="s">
        <v>65</v>
      </c>
      <c r="D14" s="48">
        <v>47000.0</v>
      </c>
      <c r="E14" s="19" t="s">
        <v>45</v>
      </c>
      <c r="F14" s="21"/>
      <c r="G14" s="20" t="s">
        <v>66</v>
      </c>
      <c r="H14" s="19" t="s">
        <v>58</v>
      </c>
      <c r="I14" s="44" t="s">
        <v>59</v>
      </c>
      <c r="J14" s="44" t="s">
        <v>59</v>
      </c>
      <c r="K14" s="44" t="s">
        <v>59</v>
      </c>
      <c r="L14" s="44" t="s">
        <v>59</v>
      </c>
      <c r="M14" s="44" t="s">
        <v>59</v>
      </c>
      <c r="N14" s="44" t="s">
        <v>59</v>
      </c>
      <c r="O14" s="44" t="s">
        <v>59</v>
      </c>
      <c r="P14" s="44" t="s">
        <v>59</v>
      </c>
      <c r="Q14" s="44" t="s">
        <v>59</v>
      </c>
      <c r="R14" s="49" t="s">
        <v>67</v>
      </c>
      <c r="S14" s="29"/>
      <c r="T14" s="29"/>
      <c r="U14" s="29"/>
    </row>
    <row r="15">
      <c r="A15" s="28"/>
      <c r="B15" s="46" t="s">
        <v>68</v>
      </c>
      <c r="C15" s="3" t="s">
        <v>69</v>
      </c>
      <c r="D15" s="18">
        <v>80000.0</v>
      </c>
      <c r="E15" s="19" t="s">
        <v>33</v>
      </c>
      <c r="F15" s="21"/>
      <c r="G15" s="20" t="s">
        <v>70</v>
      </c>
      <c r="H15" s="19" t="s">
        <v>71</v>
      </c>
      <c r="I15" s="44" t="s">
        <v>59</v>
      </c>
      <c r="J15" s="44" t="s">
        <v>59</v>
      </c>
      <c r="K15" s="44" t="s">
        <v>59</v>
      </c>
      <c r="L15" s="44" t="s">
        <v>59</v>
      </c>
      <c r="M15" s="44" t="s">
        <v>59</v>
      </c>
      <c r="N15" s="44" t="s">
        <v>59</v>
      </c>
      <c r="O15" s="44" t="s">
        <v>59</v>
      </c>
      <c r="P15" s="44" t="s">
        <v>59</v>
      </c>
      <c r="Q15" s="44" t="s">
        <v>59</v>
      </c>
      <c r="R15" s="45" t="s">
        <v>72</v>
      </c>
      <c r="S15" s="26" t="s">
        <v>73</v>
      </c>
      <c r="T15" s="34">
        <v>43028.0</v>
      </c>
      <c r="U15" s="33">
        <v>80000.0</v>
      </c>
    </row>
    <row r="16">
      <c r="A16" s="28"/>
      <c r="B16" s="46" t="s">
        <v>74</v>
      </c>
      <c r="C16" s="50" t="s">
        <v>75</v>
      </c>
      <c r="D16" s="18">
        <v>60000.0</v>
      </c>
      <c r="E16" s="19" t="s">
        <v>33</v>
      </c>
      <c r="F16" s="21"/>
      <c r="G16" s="20" t="s">
        <v>28</v>
      </c>
      <c r="H16" s="19" t="s">
        <v>71</v>
      </c>
      <c r="I16" s="44" t="s">
        <v>59</v>
      </c>
      <c r="J16" s="44" t="s">
        <v>59</v>
      </c>
      <c r="K16" s="44" t="s">
        <v>59</v>
      </c>
      <c r="L16" s="44" t="s">
        <v>59</v>
      </c>
      <c r="M16" s="44" t="s">
        <v>59</v>
      </c>
      <c r="N16" s="44" t="s">
        <v>59</v>
      </c>
      <c r="O16" s="44" t="s">
        <v>59</v>
      </c>
      <c r="P16" s="44" t="s">
        <v>59</v>
      </c>
      <c r="Q16" s="44" t="s">
        <v>59</v>
      </c>
      <c r="R16" s="45" t="s">
        <v>60</v>
      </c>
      <c r="S16" s="29"/>
      <c r="T16" s="51">
        <v>43020.0</v>
      </c>
      <c r="U16" s="32">
        <v>60000.0</v>
      </c>
    </row>
    <row r="17">
      <c r="A17" s="28"/>
      <c r="B17" s="47" t="s">
        <v>76</v>
      </c>
      <c r="C17" s="39" t="s">
        <v>77</v>
      </c>
      <c r="D17" s="52">
        <v>60000.0</v>
      </c>
      <c r="E17" s="21" t="s">
        <v>45</v>
      </c>
      <c r="F17" s="21"/>
      <c r="G17" s="20" t="s">
        <v>28</v>
      </c>
      <c r="H17" s="19" t="s">
        <v>71</v>
      </c>
      <c r="I17" s="44" t="s">
        <v>59</v>
      </c>
      <c r="J17" s="44" t="s">
        <v>59</v>
      </c>
      <c r="K17" s="44" t="s">
        <v>59</v>
      </c>
      <c r="L17" s="44" t="s">
        <v>59</v>
      </c>
      <c r="M17" s="44" t="s">
        <v>59</v>
      </c>
      <c r="N17" s="44" t="s">
        <v>59</v>
      </c>
      <c r="O17" s="44" t="s">
        <v>59</v>
      </c>
      <c r="P17" s="44" t="s">
        <v>59</v>
      </c>
      <c r="Q17" s="44" t="s">
        <v>59</v>
      </c>
      <c r="R17" s="45" t="s">
        <v>72</v>
      </c>
      <c r="S17" s="33"/>
      <c r="T17" s="33"/>
      <c r="U17" s="33">
        <v>60000.0</v>
      </c>
    </row>
    <row r="18">
      <c r="A18" s="28"/>
      <c r="B18" s="47" t="s">
        <v>78</v>
      </c>
      <c r="C18" s="53" t="s">
        <v>79</v>
      </c>
      <c r="D18" s="30">
        <v>80000.0</v>
      </c>
      <c r="E18" s="19" t="s">
        <v>80</v>
      </c>
      <c r="F18" s="21"/>
      <c r="G18" s="20" t="s">
        <v>28</v>
      </c>
      <c r="H18" s="19" t="s">
        <v>81</v>
      </c>
      <c r="I18" s="44" t="s">
        <v>59</v>
      </c>
      <c r="J18" s="44" t="s">
        <v>59</v>
      </c>
      <c r="K18" s="44" t="s">
        <v>59</v>
      </c>
      <c r="L18" s="44" t="s">
        <v>59</v>
      </c>
      <c r="M18" s="44" t="s">
        <v>59</v>
      </c>
      <c r="N18" s="44" t="s">
        <v>59</v>
      </c>
      <c r="O18" s="44" t="s">
        <v>59</v>
      </c>
      <c r="P18" s="44" t="s">
        <v>59</v>
      </c>
      <c r="Q18" s="44" t="s">
        <v>59</v>
      </c>
      <c r="R18" s="45" t="s">
        <v>60</v>
      </c>
      <c r="S18" s="26" t="s">
        <v>82</v>
      </c>
      <c r="T18" s="54">
        <v>43024.0</v>
      </c>
      <c r="U18" s="26">
        <v>80000.0</v>
      </c>
    </row>
    <row r="19" ht="19.5" customHeight="1">
      <c r="A19" s="28"/>
      <c r="B19" s="47" t="s">
        <v>83</v>
      </c>
      <c r="C19" s="55" t="s">
        <v>84</v>
      </c>
      <c r="D19" s="30">
        <v>60000.0</v>
      </c>
      <c r="E19" s="19" t="s">
        <v>33</v>
      </c>
      <c r="F19" s="21"/>
      <c r="G19" s="20" t="s">
        <v>34</v>
      </c>
      <c r="H19" s="19" t="s">
        <v>81</v>
      </c>
      <c r="I19" s="44" t="s">
        <v>59</v>
      </c>
      <c r="J19" s="44" t="s">
        <v>59</v>
      </c>
      <c r="K19" s="44" t="s">
        <v>59</v>
      </c>
      <c r="L19" s="44" t="s">
        <v>59</v>
      </c>
      <c r="M19" s="44" t="s">
        <v>59</v>
      </c>
      <c r="N19" s="44" t="s">
        <v>59</v>
      </c>
      <c r="O19" s="44" t="s">
        <v>59</v>
      </c>
      <c r="P19" s="44" t="s">
        <v>59</v>
      </c>
      <c r="Q19" s="44" t="s">
        <v>59</v>
      </c>
      <c r="R19" s="45" t="s">
        <v>60</v>
      </c>
      <c r="S19" s="26" t="s">
        <v>85</v>
      </c>
      <c r="T19" s="27">
        <v>42986.0</v>
      </c>
      <c r="U19" s="26">
        <v>60000.0</v>
      </c>
    </row>
    <row r="20">
      <c r="A20" s="56"/>
      <c r="B20" s="57" t="s">
        <v>86</v>
      </c>
      <c r="C20" s="37" t="s">
        <v>87</v>
      </c>
      <c r="D20" s="30">
        <v>60000.0</v>
      </c>
      <c r="E20" s="19" t="s">
        <v>45</v>
      </c>
      <c r="F20" s="21"/>
      <c r="G20" s="20" t="s">
        <v>34</v>
      </c>
      <c r="H20" s="19" t="s">
        <v>81</v>
      </c>
      <c r="I20" s="21"/>
      <c r="J20" s="21"/>
      <c r="K20" s="21"/>
      <c r="L20" s="44" t="s">
        <v>59</v>
      </c>
      <c r="M20" s="44" t="s">
        <v>59</v>
      </c>
      <c r="N20" s="44" t="s">
        <v>59</v>
      </c>
      <c r="O20" s="44" t="s">
        <v>59</v>
      </c>
      <c r="P20" s="44" t="s">
        <v>59</v>
      </c>
      <c r="Q20" s="44" t="s">
        <v>59</v>
      </c>
      <c r="R20" s="45" t="s">
        <v>60</v>
      </c>
      <c r="S20" s="26" t="s">
        <v>88</v>
      </c>
      <c r="T20" s="27">
        <v>42899.0</v>
      </c>
      <c r="U20" s="26">
        <v>60000.0</v>
      </c>
    </row>
    <row r="21">
      <c r="A21" s="58" t="s">
        <v>89</v>
      </c>
      <c r="B21" s="59" t="s">
        <v>68</v>
      </c>
      <c r="C21" s="37" t="s">
        <v>90</v>
      </c>
      <c r="D21" s="30">
        <v>20000.0</v>
      </c>
      <c r="E21" s="60" t="s">
        <v>33</v>
      </c>
      <c r="F21" s="21"/>
      <c r="G21" s="20" t="s">
        <v>34</v>
      </c>
      <c r="H21" s="19"/>
      <c r="I21" s="21"/>
      <c r="J21" s="21"/>
      <c r="K21" s="21"/>
      <c r="L21" s="21"/>
      <c r="M21" s="21"/>
      <c r="N21" s="21"/>
      <c r="O21" s="21"/>
      <c r="P21" s="21"/>
      <c r="Q21" s="21"/>
      <c r="R21" s="49" t="s">
        <v>67</v>
      </c>
      <c r="S21" s="26" t="s">
        <v>91</v>
      </c>
      <c r="T21" s="34">
        <v>43025.0</v>
      </c>
      <c r="U21" s="26">
        <v>20000.0</v>
      </c>
    </row>
    <row r="22">
      <c r="A22" s="61"/>
      <c r="B22" s="59" t="s">
        <v>92</v>
      </c>
      <c r="C22" s="37" t="s">
        <v>49</v>
      </c>
      <c r="D22" s="30">
        <v>20000.0</v>
      </c>
      <c r="E22" s="60" t="s">
        <v>33</v>
      </c>
      <c r="F22" s="21"/>
      <c r="G22" s="20" t="s">
        <v>28</v>
      </c>
      <c r="H22" s="19"/>
      <c r="I22" s="21"/>
      <c r="J22" s="21"/>
      <c r="K22" s="21"/>
      <c r="L22" s="21"/>
      <c r="M22" s="21"/>
      <c r="N22" s="21"/>
      <c r="O22" s="21"/>
      <c r="P22" s="21"/>
      <c r="Q22" s="21"/>
      <c r="R22" s="49" t="s">
        <v>67</v>
      </c>
      <c r="S22" s="26"/>
      <c r="T22" s="26"/>
      <c r="U22" s="26"/>
    </row>
    <row r="23">
      <c r="A23" s="42" t="s">
        <v>93</v>
      </c>
      <c r="B23" s="62" t="s">
        <v>94</v>
      </c>
      <c r="C23" s="37" t="s">
        <v>95</v>
      </c>
      <c r="D23" s="30">
        <v>55000.0</v>
      </c>
      <c r="E23" s="19" t="s">
        <v>33</v>
      </c>
      <c r="F23" s="19" t="s">
        <v>39</v>
      </c>
      <c r="G23" s="20" t="s">
        <v>34</v>
      </c>
      <c r="H23" s="21"/>
      <c r="I23" s="21"/>
      <c r="J23" s="21"/>
      <c r="K23" s="21"/>
      <c r="L23" s="44" t="s">
        <v>59</v>
      </c>
      <c r="M23" s="44" t="s">
        <v>59</v>
      </c>
      <c r="N23" s="44" t="s">
        <v>59</v>
      </c>
      <c r="O23" s="44" t="s">
        <v>59</v>
      </c>
      <c r="P23" s="44" t="s">
        <v>59</v>
      </c>
      <c r="Q23" s="44" t="s">
        <v>59</v>
      </c>
      <c r="R23" s="63"/>
      <c r="S23" s="32" t="s">
        <v>96</v>
      </c>
      <c r="T23" s="64">
        <v>43007.0</v>
      </c>
      <c r="U23" s="65">
        <v>55000.0</v>
      </c>
    </row>
    <row r="24" ht="24.75" customHeight="1">
      <c r="A24" s="66" t="s">
        <v>97</v>
      </c>
      <c r="B24" s="67" t="s">
        <v>94</v>
      </c>
      <c r="C24" s="37" t="s">
        <v>44</v>
      </c>
      <c r="D24" s="39">
        <v>30000.0</v>
      </c>
      <c r="E24" s="19" t="s">
        <v>45</v>
      </c>
      <c r="F24" s="19" t="s">
        <v>46</v>
      </c>
      <c r="G24" s="20" t="s">
        <v>47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63"/>
      <c r="S24" s="29"/>
      <c r="T24" s="29"/>
      <c r="U24" s="29"/>
    </row>
    <row r="25" ht="18.75" customHeight="1">
      <c r="A25" s="56"/>
      <c r="B25" s="67" t="s">
        <v>98</v>
      </c>
      <c r="C25" s="37" t="s">
        <v>44</v>
      </c>
      <c r="D25" s="50">
        <v>30000.0</v>
      </c>
      <c r="E25" s="19" t="s">
        <v>45</v>
      </c>
      <c r="F25" s="19" t="s">
        <v>46</v>
      </c>
      <c r="G25" s="20" t="s">
        <v>47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ht="24.0" customHeight="1">
      <c r="A26" s="68" t="s">
        <v>99</v>
      </c>
      <c r="B26" s="67" t="s">
        <v>100</v>
      </c>
      <c r="C26" s="37" t="s">
        <v>44</v>
      </c>
      <c r="D26" s="30">
        <v>85000.0</v>
      </c>
      <c r="E26" s="19" t="s">
        <v>45</v>
      </c>
      <c r="F26" s="19" t="s">
        <v>46</v>
      </c>
      <c r="G26" s="20" t="s">
        <v>47</v>
      </c>
      <c r="H26" s="21"/>
      <c r="I26" s="36"/>
      <c r="J26" s="21"/>
      <c r="K26" s="21"/>
      <c r="L26" s="21"/>
      <c r="M26" s="21"/>
      <c r="N26" s="21"/>
      <c r="O26" s="21"/>
      <c r="P26" s="21"/>
      <c r="Q26" s="21"/>
      <c r="R26" s="29"/>
      <c r="S26" s="33"/>
      <c r="T26" s="33"/>
      <c r="U26" s="33"/>
    </row>
    <row r="27">
      <c r="A27" s="69" t="s">
        <v>101</v>
      </c>
      <c r="B27" s="67" t="s">
        <v>94</v>
      </c>
      <c r="C27" s="37" t="s">
        <v>44</v>
      </c>
      <c r="D27" s="30">
        <v>10000.0</v>
      </c>
      <c r="E27" s="19" t="s">
        <v>45</v>
      </c>
      <c r="F27" s="19" t="s">
        <v>46</v>
      </c>
      <c r="G27" s="20" t="s">
        <v>47</v>
      </c>
      <c r="H27" s="21"/>
      <c r="I27" s="36"/>
      <c r="J27" s="21"/>
      <c r="K27" s="21"/>
      <c r="L27" s="21"/>
      <c r="M27" s="21"/>
      <c r="N27" s="21"/>
      <c r="O27" s="21"/>
      <c r="P27" s="21"/>
      <c r="Q27" s="21"/>
      <c r="R27" s="29"/>
      <c r="S27" s="33"/>
      <c r="T27" s="33"/>
      <c r="U27" s="33"/>
    </row>
    <row r="28">
      <c r="A28" s="56"/>
      <c r="B28" s="67" t="s">
        <v>98</v>
      </c>
      <c r="C28" s="37" t="s">
        <v>44</v>
      </c>
      <c r="D28" s="30">
        <v>10000.0</v>
      </c>
      <c r="E28" s="19" t="s">
        <v>45</v>
      </c>
      <c r="F28" s="19" t="s">
        <v>46</v>
      </c>
      <c r="G28" s="20" t="s">
        <v>47</v>
      </c>
      <c r="H28" s="21"/>
      <c r="I28" s="36"/>
      <c r="J28" s="21"/>
      <c r="K28" s="21"/>
      <c r="L28" s="21"/>
      <c r="M28" s="21"/>
      <c r="N28" s="21"/>
      <c r="O28" s="21"/>
      <c r="P28" s="21"/>
      <c r="Q28" s="21"/>
      <c r="R28" s="29"/>
      <c r="S28" s="33"/>
      <c r="T28" s="33"/>
      <c r="U28" s="33"/>
    </row>
    <row r="29">
      <c r="A29" s="70" t="s">
        <v>102</v>
      </c>
      <c r="B29" s="71" t="s">
        <v>103</v>
      </c>
      <c r="C29" s="37" t="s">
        <v>44</v>
      </c>
      <c r="D29" s="30">
        <v>50000.0</v>
      </c>
      <c r="E29" s="19" t="s">
        <v>45</v>
      </c>
      <c r="F29" s="19" t="s">
        <v>46</v>
      </c>
      <c r="G29" s="20" t="s">
        <v>47</v>
      </c>
      <c r="H29" s="21"/>
      <c r="I29" s="36"/>
      <c r="J29" s="21"/>
      <c r="K29" s="21"/>
      <c r="L29" s="44" t="s">
        <v>59</v>
      </c>
      <c r="M29" s="44" t="s">
        <v>59</v>
      </c>
      <c r="N29" s="44" t="s">
        <v>59</v>
      </c>
      <c r="O29" s="21"/>
      <c r="P29" s="21"/>
      <c r="Q29" s="44" t="s">
        <v>59</v>
      </c>
      <c r="R29" s="29"/>
      <c r="S29" s="33"/>
      <c r="T29" s="33"/>
      <c r="U29" s="33">
        <v>30000.0</v>
      </c>
    </row>
    <row r="30">
      <c r="A30" s="4" t="s">
        <v>104</v>
      </c>
      <c r="B30" s="59" t="s">
        <v>105</v>
      </c>
      <c r="C30" s="37" t="s">
        <v>106</v>
      </c>
      <c r="D30" s="50">
        <v>40000.0</v>
      </c>
      <c r="E30" s="20" t="s">
        <v>81</v>
      </c>
      <c r="F30" s="20" t="s">
        <v>42</v>
      </c>
      <c r="G30" s="20" t="s">
        <v>34</v>
      </c>
      <c r="H30" s="29"/>
      <c r="I30" s="32" t="s">
        <v>107</v>
      </c>
      <c r="J30" s="29"/>
      <c r="K30" s="29"/>
      <c r="L30" s="29"/>
      <c r="M30" s="29"/>
      <c r="N30" s="29"/>
      <c r="O30" s="29"/>
      <c r="P30" s="29"/>
      <c r="Q30" s="29"/>
      <c r="R30" s="29"/>
      <c r="S30" s="32" t="s">
        <v>108</v>
      </c>
      <c r="T30" s="51">
        <v>43027.0</v>
      </c>
      <c r="U30" s="32">
        <v>40000.0</v>
      </c>
    </row>
    <row r="31">
      <c r="A31" s="72" t="s">
        <v>109</v>
      </c>
      <c r="B31" s="43" t="s">
        <v>110</v>
      </c>
      <c r="C31" s="3" t="s">
        <v>57</v>
      </c>
      <c r="D31" s="30">
        <v>30000.0</v>
      </c>
      <c r="E31" s="19" t="s">
        <v>33</v>
      </c>
      <c r="F31" s="36"/>
      <c r="G31" s="20" t="s">
        <v>34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>
      <c r="B32" s="43" t="s">
        <v>111</v>
      </c>
      <c r="C32" s="37" t="s">
        <v>44</v>
      </c>
      <c r="D32" s="50"/>
      <c r="E32" s="19" t="s">
        <v>45</v>
      </c>
      <c r="F32" s="19" t="s">
        <v>46</v>
      </c>
      <c r="G32" s="20" t="s">
        <v>47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>
      <c r="A33" s="19" t="s">
        <v>112</v>
      </c>
      <c r="D33" s="73">
        <f>SUM(D3:D32)</f>
        <v>1512000</v>
      </c>
      <c r="G33" s="36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74"/>
      <c r="U33" s="32"/>
    </row>
    <row r="34">
      <c r="A34" s="3"/>
      <c r="B34" s="59"/>
      <c r="C34" s="39"/>
      <c r="G34" s="36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74"/>
      <c r="U34" s="32"/>
    </row>
    <row r="35">
      <c r="A35" s="1"/>
      <c r="B35" s="59"/>
      <c r="C35" s="39" t="s">
        <v>113</v>
      </c>
      <c r="D35" s="73">
        <f>SUM(D12,D31)</f>
        <v>110000</v>
      </c>
      <c r="G35" s="36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2" t="s">
        <v>114</v>
      </c>
      <c r="T35" s="74">
        <v>42968.0</v>
      </c>
      <c r="U35" s="32">
        <v>110000.0</v>
      </c>
    </row>
    <row r="36">
      <c r="A36" s="4"/>
      <c r="B36" s="1"/>
      <c r="C36" s="37" t="s">
        <v>115</v>
      </c>
      <c r="D36" s="75">
        <f>SUM(D7,D32,D24:D29)</f>
        <v>315000</v>
      </c>
      <c r="E36" s="36"/>
      <c r="F36" s="36"/>
      <c r="G36" s="36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>
      <c r="A37" s="76"/>
      <c r="B37" s="62"/>
      <c r="C37" s="37" t="s">
        <v>116</v>
      </c>
      <c r="D37" s="75">
        <f>SUM(D22,D8)</f>
        <v>25000</v>
      </c>
      <c r="E37" s="21"/>
      <c r="F37" s="21"/>
      <c r="G37" s="77"/>
      <c r="H37" s="2"/>
      <c r="I37" s="2"/>
      <c r="J37" s="2"/>
      <c r="K37" s="2"/>
      <c r="L37" s="78" t="s">
        <v>59</v>
      </c>
      <c r="M37" s="78" t="s">
        <v>59</v>
      </c>
      <c r="N37" s="78" t="s">
        <v>59</v>
      </c>
      <c r="O37" s="44" t="s">
        <v>59</v>
      </c>
      <c r="P37" s="44" t="s">
        <v>59</v>
      </c>
      <c r="Q37" s="78" t="s">
        <v>59</v>
      </c>
      <c r="R37" s="79"/>
      <c r="S37" s="80"/>
    </row>
    <row r="41">
      <c r="C41" s="53"/>
      <c r="E41" s="36"/>
      <c r="F41" s="36"/>
      <c r="G41" s="36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>
      <c r="C42" s="53"/>
      <c r="D42" s="3"/>
      <c r="E42" s="36"/>
      <c r="F42" s="36"/>
      <c r="G42" s="36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4">
      <c r="E44" s="81"/>
      <c r="F44" s="81"/>
      <c r="G44" s="81"/>
    </row>
    <row r="45">
      <c r="E45" s="81"/>
      <c r="F45" s="81"/>
      <c r="G45" s="81"/>
    </row>
    <row r="46">
      <c r="E46" s="81"/>
      <c r="F46" s="81"/>
      <c r="G46" s="81"/>
    </row>
    <row r="47">
      <c r="E47" s="81"/>
      <c r="F47" s="81"/>
      <c r="G47" s="81"/>
    </row>
    <row r="48">
      <c r="E48" s="81"/>
      <c r="F48" s="81"/>
      <c r="G48" s="81"/>
    </row>
    <row r="49">
      <c r="E49" s="81"/>
      <c r="F49" s="81"/>
      <c r="G49" s="81"/>
    </row>
    <row r="50">
      <c r="E50" s="81"/>
      <c r="F50" s="81"/>
      <c r="G50" s="81"/>
    </row>
    <row r="51">
      <c r="E51" s="81"/>
      <c r="F51" s="81"/>
      <c r="G51" s="81"/>
    </row>
    <row r="52">
      <c r="E52" s="81"/>
      <c r="F52" s="81"/>
      <c r="G52" s="81"/>
    </row>
    <row r="53">
      <c r="E53" s="81"/>
      <c r="F53" s="81"/>
      <c r="G53" s="81"/>
    </row>
    <row r="54">
      <c r="E54" s="81"/>
      <c r="F54" s="81"/>
      <c r="G54" s="81"/>
    </row>
    <row r="55">
      <c r="E55" s="81"/>
      <c r="F55" s="81"/>
      <c r="G55" s="81"/>
    </row>
    <row r="56">
      <c r="E56" s="81"/>
      <c r="F56" s="81"/>
      <c r="G56" s="81"/>
    </row>
    <row r="57">
      <c r="E57" s="81"/>
      <c r="F57" s="81"/>
      <c r="G57" s="81"/>
    </row>
    <row r="58">
      <c r="E58" s="81"/>
      <c r="F58" s="81"/>
      <c r="G58" s="81"/>
    </row>
    <row r="59">
      <c r="E59" s="81"/>
      <c r="F59" s="81"/>
      <c r="G59" s="81"/>
    </row>
    <row r="60">
      <c r="E60" s="81"/>
      <c r="F60" s="81"/>
      <c r="G60" s="81"/>
    </row>
    <row r="61">
      <c r="E61" s="81"/>
      <c r="F61" s="81"/>
      <c r="G61" s="81"/>
    </row>
    <row r="62">
      <c r="E62" s="81"/>
      <c r="F62" s="81"/>
      <c r="G62" s="81"/>
    </row>
    <row r="63">
      <c r="E63" s="81"/>
      <c r="F63" s="81"/>
      <c r="G63" s="81"/>
    </row>
    <row r="64">
      <c r="E64" s="81"/>
      <c r="F64" s="81"/>
      <c r="G64" s="81"/>
    </row>
    <row r="65">
      <c r="E65" s="81"/>
      <c r="F65" s="81"/>
      <c r="G65" s="81"/>
    </row>
    <row r="66">
      <c r="E66" s="81"/>
      <c r="F66" s="81"/>
      <c r="G66" s="81"/>
    </row>
    <row r="67">
      <c r="E67" s="81"/>
      <c r="F67" s="81"/>
      <c r="G67" s="81"/>
    </row>
    <row r="68">
      <c r="E68" s="81"/>
      <c r="F68" s="81"/>
      <c r="G68" s="81"/>
    </row>
    <row r="69">
      <c r="E69" s="81"/>
      <c r="F69" s="81"/>
      <c r="G69" s="81"/>
    </row>
    <row r="70">
      <c r="E70" s="81"/>
      <c r="F70" s="81"/>
      <c r="G70" s="81"/>
    </row>
    <row r="71">
      <c r="E71" s="81"/>
      <c r="F71" s="81"/>
      <c r="G71" s="81"/>
    </row>
    <row r="72">
      <c r="E72" s="81"/>
      <c r="F72" s="81"/>
      <c r="G72" s="81"/>
    </row>
    <row r="73">
      <c r="E73" s="81"/>
      <c r="F73" s="81"/>
      <c r="G73" s="81"/>
    </row>
    <row r="74">
      <c r="E74" s="81"/>
      <c r="F74" s="81"/>
      <c r="G74" s="81"/>
    </row>
    <row r="75">
      <c r="E75" s="81"/>
      <c r="F75" s="81"/>
      <c r="G75" s="81"/>
    </row>
    <row r="76">
      <c r="E76" s="81"/>
      <c r="F76" s="81"/>
      <c r="G76" s="81"/>
    </row>
    <row r="77">
      <c r="E77" s="81"/>
      <c r="F77" s="81"/>
      <c r="G77" s="81"/>
    </row>
    <row r="78">
      <c r="E78" s="81"/>
      <c r="F78" s="81"/>
      <c r="G78" s="81"/>
    </row>
    <row r="79">
      <c r="E79" s="81"/>
      <c r="F79" s="81"/>
      <c r="G79" s="81"/>
    </row>
    <row r="80">
      <c r="E80" s="81"/>
      <c r="F80" s="81"/>
      <c r="G80" s="81"/>
    </row>
    <row r="81">
      <c r="E81" s="81"/>
      <c r="F81" s="81"/>
      <c r="G81" s="81"/>
    </row>
    <row r="82">
      <c r="E82" s="81"/>
      <c r="F82" s="81"/>
      <c r="G82" s="81"/>
    </row>
    <row r="83">
      <c r="E83" s="81"/>
      <c r="F83" s="81"/>
      <c r="G83" s="81"/>
    </row>
    <row r="84">
      <c r="E84" s="81"/>
      <c r="F84" s="81"/>
      <c r="G84" s="81"/>
    </row>
    <row r="85">
      <c r="E85" s="81"/>
      <c r="F85" s="81"/>
      <c r="G85" s="81"/>
    </row>
    <row r="86">
      <c r="E86" s="81"/>
      <c r="F86" s="81"/>
      <c r="G86" s="81"/>
    </row>
    <row r="87">
      <c r="E87" s="81"/>
      <c r="F87" s="81"/>
      <c r="G87" s="81"/>
    </row>
    <row r="88">
      <c r="E88" s="81"/>
      <c r="F88" s="81"/>
      <c r="G88" s="81"/>
    </row>
    <row r="89">
      <c r="E89" s="81"/>
      <c r="F89" s="81"/>
      <c r="G89" s="81"/>
    </row>
    <row r="90">
      <c r="E90" s="81"/>
      <c r="F90" s="81"/>
      <c r="G90" s="81"/>
    </row>
    <row r="91">
      <c r="E91" s="81"/>
      <c r="F91" s="81"/>
      <c r="G91" s="81"/>
    </row>
    <row r="92">
      <c r="E92" s="81"/>
      <c r="F92" s="81"/>
      <c r="G92" s="81"/>
    </row>
    <row r="93">
      <c r="E93" s="81"/>
      <c r="F93" s="81"/>
      <c r="G93" s="81"/>
    </row>
    <row r="94">
      <c r="E94" s="81"/>
      <c r="F94" s="81"/>
      <c r="G94" s="81"/>
    </row>
    <row r="95">
      <c r="E95" s="81"/>
      <c r="F95" s="81"/>
      <c r="G95" s="81"/>
    </row>
    <row r="96">
      <c r="E96" s="81"/>
      <c r="F96" s="81"/>
      <c r="G96" s="81"/>
    </row>
    <row r="97">
      <c r="E97" s="81"/>
      <c r="F97" s="81"/>
      <c r="G97" s="81"/>
    </row>
    <row r="98">
      <c r="E98" s="81"/>
      <c r="F98" s="81"/>
      <c r="G98" s="81"/>
    </row>
    <row r="99">
      <c r="E99" s="81"/>
      <c r="F99" s="81"/>
      <c r="G99" s="81"/>
    </row>
    <row r="100">
      <c r="E100" s="81"/>
      <c r="F100" s="81"/>
      <c r="G100" s="81"/>
    </row>
    <row r="101">
      <c r="E101" s="81"/>
      <c r="F101" s="81"/>
      <c r="G101" s="81"/>
    </row>
    <row r="102">
      <c r="E102" s="81"/>
      <c r="F102" s="81"/>
      <c r="G102" s="81"/>
    </row>
    <row r="103">
      <c r="E103" s="81"/>
      <c r="F103" s="81"/>
      <c r="G103" s="81"/>
    </row>
    <row r="104">
      <c r="E104" s="81"/>
      <c r="F104" s="81"/>
      <c r="G104" s="81"/>
    </row>
    <row r="105">
      <c r="E105" s="81"/>
      <c r="F105" s="81"/>
      <c r="G105" s="81"/>
    </row>
    <row r="106">
      <c r="E106" s="81"/>
      <c r="F106" s="81"/>
      <c r="G106" s="81"/>
    </row>
    <row r="107">
      <c r="E107" s="81"/>
      <c r="F107" s="81"/>
      <c r="G107" s="81"/>
    </row>
    <row r="108">
      <c r="E108" s="81"/>
      <c r="F108" s="81"/>
      <c r="G108" s="81"/>
    </row>
    <row r="109">
      <c r="E109" s="81"/>
      <c r="F109" s="81"/>
      <c r="G109" s="81"/>
    </row>
    <row r="110">
      <c r="E110" s="81"/>
      <c r="F110" s="81"/>
      <c r="G110" s="81"/>
    </row>
    <row r="111">
      <c r="E111" s="81"/>
      <c r="F111" s="81"/>
      <c r="G111" s="81"/>
    </row>
    <row r="112">
      <c r="E112" s="81"/>
      <c r="F112" s="81"/>
      <c r="G112" s="81"/>
    </row>
    <row r="113">
      <c r="E113" s="81"/>
      <c r="F113" s="81"/>
      <c r="G113" s="81"/>
    </row>
    <row r="114">
      <c r="E114" s="81"/>
      <c r="F114" s="81"/>
      <c r="G114" s="81"/>
    </row>
    <row r="115">
      <c r="E115" s="81"/>
      <c r="F115" s="81"/>
      <c r="G115" s="81"/>
    </row>
    <row r="116">
      <c r="E116" s="81"/>
      <c r="F116" s="81"/>
      <c r="G116" s="81"/>
    </row>
    <row r="117">
      <c r="E117" s="81"/>
      <c r="F117" s="81"/>
      <c r="G117" s="81"/>
    </row>
    <row r="118">
      <c r="E118" s="81"/>
      <c r="F118" s="81"/>
      <c r="G118" s="81"/>
    </row>
    <row r="119">
      <c r="E119" s="81"/>
      <c r="F119" s="81"/>
      <c r="G119" s="81"/>
    </row>
    <row r="120">
      <c r="E120" s="81"/>
      <c r="F120" s="81"/>
      <c r="G120" s="81"/>
    </row>
    <row r="121">
      <c r="E121" s="81"/>
      <c r="F121" s="81"/>
      <c r="G121" s="81"/>
    </row>
    <row r="122">
      <c r="E122" s="81"/>
      <c r="F122" s="81"/>
      <c r="G122" s="81"/>
    </row>
    <row r="123">
      <c r="E123" s="81"/>
      <c r="F123" s="81"/>
      <c r="G123" s="81"/>
    </row>
    <row r="124">
      <c r="E124" s="81"/>
      <c r="F124" s="81"/>
      <c r="G124" s="81"/>
    </row>
    <row r="125">
      <c r="E125" s="81"/>
      <c r="F125" s="81"/>
      <c r="G125" s="81"/>
    </row>
    <row r="126">
      <c r="E126" s="81"/>
      <c r="F126" s="81"/>
      <c r="G126" s="81"/>
    </row>
    <row r="127">
      <c r="E127" s="81"/>
      <c r="F127" s="81"/>
      <c r="G127" s="81"/>
    </row>
    <row r="128">
      <c r="E128" s="81"/>
      <c r="F128" s="81"/>
      <c r="G128" s="81"/>
    </row>
    <row r="129">
      <c r="E129" s="81"/>
      <c r="F129" s="81"/>
      <c r="G129" s="81"/>
    </row>
    <row r="130">
      <c r="E130" s="81"/>
      <c r="F130" s="81"/>
      <c r="G130" s="81"/>
    </row>
    <row r="131">
      <c r="E131" s="81"/>
      <c r="F131" s="81"/>
      <c r="G131" s="81"/>
    </row>
    <row r="132">
      <c r="E132" s="81"/>
      <c r="F132" s="81"/>
      <c r="G132" s="81"/>
    </row>
    <row r="133">
      <c r="E133" s="81"/>
      <c r="F133" s="81"/>
      <c r="G133" s="81"/>
    </row>
    <row r="134">
      <c r="E134" s="81"/>
      <c r="F134" s="81"/>
      <c r="G134" s="81"/>
    </row>
    <row r="135">
      <c r="E135" s="81"/>
      <c r="F135" s="81"/>
      <c r="G135" s="81"/>
    </row>
    <row r="136">
      <c r="E136" s="81"/>
      <c r="F136" s="81"/>
      <c r="G136" s="81"/>
    </row>
    <row r="137">
      <c r="E137" s="81"/>
      <c r="F137" s="81"/>
      <c r="G137" s="81"/>
    </row>
    <row r="138">
      <c r="E138" s="81"/>
      <c r="F138" s="81"/>
      <c r="G138" s="81"/>
    </row>
    <row r="139">
      <c r="E139" s="81"/>
      <c r="F139" s="81"/>
      <c r="G139" s="81"/>
    </row>
    <row r="140">
      <c r="E140" s="81"/>
      <c r="F140" s="81"/>
      <c r="G140" s="81"/>
    </row>
    <row r="141">
      <c r="E141" s="81"/>
      <c r="F141" s="81"/>
      <c r="G141" s="81"/>
    </row>
    <row r="142">
      <c r="E142" s="81"/>
      <c r="F142" s="81"/>
      <c r="G142" s="81"/>
    </row>
    <row r="143">
      <c r="E143" s="81"/>
      <c r="F143" s="81"/>
      <c r="G143" s="81"/>
    </row>
    <row r="144">
      <c r="E144" s="81"/>
      <c r="F144" s="81"/>
      <c r="G144" s="81"/>
    </row>
    <row r="145">
      <c r="E145" s="81"/>
      <c r="F145" s="81"/>
      <c r="G145" s="81"/>
    </row>
    <row r="146">
      <c r="E146" s="81"/>
      <c r="F146" s="81"/>
      <c r="G146" s="81"/>
    </row>
    <row r="147">
      <c r="E147" s="81"/>
      <c r="F147" s="81"/>
      <c r="G147" s="81"/>
    </row>
    <row r="148">
      <c r="E148" s="81"/>
      <c r="F148" s="81"/>
      <c r="G148" s="81"/>
    </row>
    <row r="149">
      <c r="E149" s="81"/>
      <c r="F149" s="81"/>
      <c r="G149" s="81"/>
    </row>
    <row r="150">
      <c r="E150" s="81"/>
      <c r="F150" s="81"/>
      <c r="G150" s="81"/>
    </row>
    <row r="151">
      <c r="E151" s="81"/>
      <c r="F151" s="81"/>
      <c r="G151" s="81"/>
    </row>
    <row r="152">
      <c r="E152" s="81"/>
      <c r="F152" s="81"/>
      <c r="G152" s="81"/>
    </row>
    <row r="153">
      <c r="E153" s="81"/>
      <c r="F153" s="81"/>
      <c r="G153" s="81"/>
    </row>
    <row r="154">
      <c r="E154" s="81"/>
      <c r="F154" s="81"/>
      <c r="G154" s="81"/>
    </row>
    <row r="155">
      <c r="E155" s="81"/>
      <c r="F155" s="81"/>
      <c r="G155" s="81"/>
    </row>
    <row r="156">
      <c r="E156" s="81"/>
      <c r="F156" s="81"/>
      <c r="G156" s="81"/>
    </row>
    <row r="157">
      <c r="E157" s="81"/>
      <c r="F157" s="81"/>
      <c r="G157" s="81"/>
    </row>
    <row r="158">
      <c r="E158" s="81"/>
      <c r="F158" s="81"/>
      <c r="G158" s="81"/>
    </row>
    <row r="159">
      <c r="E159" s="81"/>
      <c r="F159" s="81"/>
      <c r="G159" s="81"/>
    </row>
    <row r="160">
      <c r="E160" s="81"/>
      <c r="F160" s="81"/>
      <c r="G160" s="81"/>
    </row>
    <row r="161">
      <c r="E161" s="81"/>
      <c r="F161" s="81"/>
      <c r="G161" s="81"/>
    </row>
    <row r="162">
      <c r="E162" s="81"/>
      <c r="F162" s="81"/>
      <c r="G162" s="81"/>
    </row>
    <row r="163">
      <c r="E163" s="81"/>
      <c r="F163" s="81"/>
      <c r="G163" s="81"/>
    </row>
    <row r="164">
      <c r="E164" s="81"/>
      <c r="F164" s="81"/>
      <c r="G164" s="81"/>
    </row>
    <row r="165">
      <c r="E165" s="81"/>
      <c r="F165" s="81"/>
      <c r="G165" s="81"/>
    </row>
    <row r="166">
      <c r="E166" s="81"/>
      <c r="F166" s="81"/>
      <c r="G166" s="81"/>
    </row>
    <row r="167">
      <c r="E167" s="81"/>
      <c r="F167" s="81"/>
      <c r="G167" s="81"/>
    </row>
    <row r="168">
      <c r="E168" s="81"/>
      <c r="F168" s="81"/>
      <c r="G168" s="81"/>
    </row>
    <row r="169">
      <c r="E169" s="81"/>
      <c r="F169" s="81"/>
      <c r="G169" s="81"/>
    </row>
    <row r="170">
      <c r="E170" s="81"/>
      <c r="F170" s="81"/>
      <c r="G170" s="81"/>
    </row>
    <row r="171">
      <c r="E171" s="81"/>
      <c r="F171" s="81"/>
      <c r="G171" s="81"/>
    </row>
    <row r="172">
      <c r="E172" s="81"/>
      <c r="F172" s="81"/>
      <c r="G172" s="81"/>
    </row>
    <row r="173">
      <c r="E173" s="81"/>
      <c r="F173" s="81"/>
      <c r="G173" s="81"/>
    </row>
    <row r="174">
      <c r="E174" s="81"/>
      <c r="F174" s="81"/>
      <c r="G174" s="81"/>
    </row>
    <row r="175">
      <c r="E175" s="81"/>
      <c r="F175" s="81"/>
      <c r="G175" s="81"/>
    </row>
    <row r="176">
      <c r="E176" s="81"/>
      <c r="F176" s="81"/>
      <c r="G176" s="81"/>
    </row>
    <row r="177">
      <c r="E177" s="81"/>
      <c r="F177" s="81"/>
      <c r="G177" s="81"/>
    </row>
    <row r="178">
      <c r="E178" s="81"/>
      <c r="F178" s="81"/>
      <c r="G178" s="81"/>
    </row>
    <row r="179">
      <c r="E179" s="81"/>
      <c r="F179" s="81"/>
      <c r="G179" s="81"/>
    </row>
    <row r="180">
      <c r="E180" s="81"/>
      <c r="F180" s="81"/>
      <c r="G180" s="81"/>
    </row>
    <row r="181">
      <c r="E181" s="81"/>
      <c r="F181" s="81"/>
      <c r="G181" s="81"/>
    </row>
    <row r="182">
      <c r="E182" s="81"/>
      <c r="F182" s="81"/>
      <c r="G182" s="81"/>
    </row>
    <row r="183">
      <c r="E183" s="81"/>
      <c r="F183" s="81"/>
      <c r="G183" s="81"/>
    </row>
    <row r="184">
      <c r="E184" s="81"/>
      <c r="F184" s="81"/>
      <c r="G184" s="81"/>
    </row>
    <row r="185">
      <c r="E185" s="81"/>
      <c r="F185" s="81"/>
      <c r="G185" s="81"/>
    </row>
    <row r="186">
      <c r="E186" s="81"/>
      <c r="F186" s="81"/>
      <c r="G186" s="81"/>
    </row>
    <row r="187">
      <c r="E187" s="81"/>
      <c r="F187" s="81"/>
      <c r="G187" s="81"/>
    </row>
    <row r="188">
      <c r="E188" s="81"/>
      <c r="F188" s="81"/>
      <c r="G188" s="81"/>
    </row>
    <row r="189">
      <c r="E189" s="81"/>
      <c r="F189" s="81"/>
      <c r="G189" s="81"/>
    </row>
    <row r="190">
      <c r="E190" s="81"/>
      <c r="F190" s="81"/>
      <c r="G190" s="81"/>
    </row>
    <row r="191">
      <c r="E191" s="81"/>
      <c r="F191" s="81"/>
      <c r="G191" s="81"/>
    </row>
    <row r="192">
      <c r="E192" s="81"/>
      <c r="F192" s="81"/>
      <c r="G192" s="81"/>
    </row>
    <row r="193">
      <c r="E193" s="81"/>
      <c r="F193" s="81"/>
      <c r="G193" s="81"/>
    </row>
    <row r="194">
      <c r="E194" s="81"/>
      <c r="F194" s="81"/>
      <c r="G194" s="81"/>
    </row>
    <row r="195">
      <c r="E195" s="81"/>
      <c r="F195" s="81"/>
      <c r="G195" s="81"/>
    </row>
    <row r="196">
      <c r="E196" s="81"/>
      <c r="F196" s="81"/>
      <c r="G196" s="81"/>
    </row>
    <row r="197">
      <c r="E197" s="81"/>
      <c r="F197" s="81"/>
      <c r="G197" s="81"/>
    </row>
    <row r="198">
      <c r="E198" s="81"/>
      <c r="F198" s="81"/>
      <c r="G198" s="81"/>
    </row>
    <row r="199">
      <c r="E199" s="81"/>
      <c r="F199" s="81"/>
      <c r="G199" s="81"/>
    </row>
    <row r="200">
      <c r="E200" s="81"/>
      <c r="F200" s="81"/>
      <c r="G200" s="81"/>
    </row>
    <row r="201">
      <c r="E201" s="81"/>
      <c r="F201" s="81"/>
      <c r="G201" s="81"/>
    </row>
    <row r="202">
      <c r="E202" s="81"/>
      <c r="F202" s="81"/>
      <c r="G202" s="81"/>
    </row>
    <row r="203">
      <c r="E203" s="81"/>
      <c r="F203" s="81"/>
      <c r="G203" s="81"/>
    </row>
    <row r="204">
      <c r="E204" s="81"/>
      <c r="F204" s="81"/>
      <c r="G204" s="81"/>
    </row>
    <row r="205">
      <c r="E205" s="81"/>
      <c r="F205" s="81"/>
      <c r="G205" s="81"/>
    </row>
    <row r="206">
      <c r="E206" s="81"/>
      <c r="F206" s="81"/>
      <c r="G206" s="81"/>
    </row>
    <row r="207">
      <c r="E207" s="81"/>
      <c r="F207" s="81"/>
      <c r="G207" s="81"/>
    </row>
    <row r="208">
      <c r="E208" s="81"/>
      <c r="F208" s="81"/>
      <c r="G208" s="81"/>
    </row>
    <row r="209">
      <c r="E209" s="81"/>
      <c r="F209" s="81"/>
      <c r="G209" s="81"/>
    </row>
    <row r="210">
      <c r="E210" s="81"/>
      <c r="F210" s="81"/>
      <c r="G210" s="81"/>
    </row>
    <row r="211">
      <c r="E211" s="81"/>
      <c r="F211" s="81"/>
      <c r="G211" s="81"/>
    </row>
    <row r="212">
      <c r="E212" s="81"/>
      <c r="F212" s="81"/>
      <c r="G212" s="81"/>
    </row>
    <row r="213">
      <c r="E213" s="81"/>
      <c r="F213" s="81"/>
      <c r="G213" s="81"/>
    </row>
    <row r="214">
      <c r="E214" s="81"/>
      <c r="F214" s="81"/>
      <c r="G214" s="81"/>
    </row>
    <row r="215">
      <c r="E215" s="81"/>
      <c r="F215" s="81"/>
      <c r="G215" s="81"/>
    </row>
    <row r="216">
      <c r="E216" s="81"/>
      <c r="F216" s="81"/>
      <c r="G216" s="81"/>
    </row>
    <row r="217">
      <c r="E217" s="81"/>
      <c r="F217" s="81"/>
      <c r="G217" s="81"/>
    </row>
    <row r="218">
      <c r="E218" s="81"/>
      <c r="F218" s="81"/>
      <c r="G218" s="81"/>
    </row>
    <row r="219">
      <c r="E219" s="81"/>
      <c r="F219" s="81"/>
      <c r="G219" s="81"/>
    </row>
    <row r="220">
      <c r="E220" s="81"/>
      <c r="F220" s="81"/>
      <c r="G220" s="81"/>
    </row>
    <row r="221">
      <c r="E221" s="81"/>
      <c r="F221" s="81"/>
      <c r="G221" s="81"/>
    </row>
    <row r="222">
      <c r="E222" s="81"/>
      <c r="F222" s="81"/>
      <c r="G222" s="81"/>
    </row>
    <row r="223">
      <c r="E223" s="81"/>
      <c r="F223" s="81"/>
      <c r="G223" s="81"/>
    </row>
    <row r="224">
      <c r="E224" s="81"/>
      <c r="F224" s="81"/>
      <c r="G224" s="81"/>
    </row>
    <row r="225">
      <c r="E225" s="81"/>
      <c r="F225" s="81"/>
      <c r="G225" s="81"/>
    </row>
    <row r="226">
      <c r="E226" s="81"/>
      <c r="F226" s="81"/>
      <c r="G226" s="81"/>
    </row>
    <row r="227">
      <c r="E227" s="81"/>
      <c r="F227" s="81"/>
      <c r="G227" s="81"/>
    </row>
    <row r="228">
      <c r="E228" s="81"/>
      <c r="F228" s="81"/>
      <c r="G228" s="81"/>
    </row>
    <row r="229">
      <c r="E229" s="81"/>
      <c r="F229" s="81"/>
      <c r="G229" s="81"/>
    </row>
    <row r="230">
      <c r="E230" s="81"/>
      <c r="F230" s="81"/>
      <c r="G230" s="81"/>
    </row>
    <row r="231">
      <c r="E231" s="81"/>
      <c r="F231" s="81"/>
      <c r="G231" s="81"/>
    </row>
    <row r="232">
      <c r="E232" s="81"/>
      <c r="F232" s="81"/>
      <c r="G232" s="81"/>
    </row>
    <row r="233">
      <c r="E233" s="81"/>
      <c r="F233" s="81"/>
      <c r="G233" s="81"/>
    </row>
    <row r="234">
      <c r="E234" s="81"/>
      <c r="F234" s="81"/>
      <c r="G234" s="81"/>
    </row>
    <row r="235">
      <c r="E235" s="81"/>
      <c r="F235" s="81"/>
      <c r="G235" s="81"/>
    </row>
    <row r="236">
      <c r="E236" s="81"/>
      <c r="F236" s="81"/>
      <c r="G236" s="81"/>
    </row>
    <row r="237">
      <c r="E237" s="81"/>
      <c r="F237" s="81"/>
      <c r="G237" s="81"/>
    </row>
    <row r="238">
      <c r="E238" s="81"/>
      <c r="F238" s="81"/>
      <c r="G238" s="81"/>
    </row>
    <row r="239">
      <c r="E239" s="81"/>
      <c r="F239" s="81"/>
      <c r="G239" s="81"/>
    </row>
    <row r="240">
      <c r="E240" s="81"/>
      <c r="F240" s="81"/>
      <c r="G240" s="81"/>
    </row>
    <row r="241">
      <c r="E241" s="81"/>
      <c r="F241" s="81"/>
      <c r="G241" s="81"/>
    </row>
    <row r="242">
      <c r="E242" s="81"/>
      <c r="F242" s="81"/>
      <c r="G242" s="81"/>
    </row>
    <row r="243">
      <c r="E243" s="81"/>
      <c r="F243" s="81"/>
      <c r="G243" s="81"/>
    </row>
    <row r="244">
      <c r="E244" s="81"/>
      <c r="F244" s="81"/>
      <c r="G244" s="81"/>
    </row>
    <row r="245">
      <c r="E245" s="81"/>
      <c r="F245" s="81"/>
      <c r="G245" s="81"/>
    </row>
    <row r="246">
      <c r="E246" s="81"/>
      <c r="F246" s="81"/>
      <c r="G246" s="81"/>
    </row>
    <row r="247">
      <c r="E247" s="81"/>
      <c r="F247" s="81"/>
      <c r="G247" s="81"/>
    </row>
    <row r="248">
      <c r="E248" s="81"/>
      <c r="F248" s="81"/>
      <c r="G248" s="81"/>
    </row>
    <row r="249">
      <c r="E249" s="81"/>
      <c r="F249" s="81"/>
      <c r="G249" s="81"/>
    </row>
    <row r="250">
      <c r="E250" s="81"/>
      <c r="F250" s="81"/>
      <c r="G250" s="81"/>
    </row>
    <row r="251">
      <c r="E251" s="81"/>
      <c r="F251" s="81"/>
      <c r="G251" s="81"/>
    </row>
    <row r="252">
      <c r="E252" s="81"/>
      <c r="F252" s="81"/>
      <c r="G252" s="81"/>
    </row>
    <row r="253">
      <c r="E253" s="81"/>
      <c r="F253" s="81"/>
      <c r="G253" s="81"/>
    </row>
    <row r="254">
      <c r="E254" s="81"/>
      <c r="F254" s="81"/>
      <c r="G254" s="81"/>
    </row>
    <row r="255">
      <c r="E255" s="81"/>
      <c r="F255" s="81"/>
      <c r="G255" s="81"/>
    </row>
    <row r="256">
      <c r="E256" s="81"/>
      <c r="F256" s="81"/>
      <c r="G256" s="81"/>
    </row>
    <row r="257">
      <c r="E257" s="81"/>
      <c r="F257" s="81"/>
      <c r="G257" s="81"/>
    </row>
    <row r="258">
      <c r="E258" s="81"/>
      <c r="F258" s="81"/>
      <c r="G258" s="81"/>
    </row>
    <row r="259">
      <c r="E259" s="81"/>
      <c r="F259" s="81"/>
      <c r="G259" s="81"/>
    </row>
    <row r="260">
      <c r="E260" s="81"/>
      <c r="F260" s="81"/>
      <c r="G260" s="81"/>
    </row>
    <row r="261">
      <c r="E261" s="81"/>
      <c r="F261" s="81"/>
      <c r="G261" s="81"/>
    </row>
    <row r="262">
      <c r="E262" s="81"/>
      <c r="F262" s="81"/>
      <c r="G262" s="81"/>
    </row>
    <row r="263">
      <c r="E263" s="81"/>
      <c r="F263" s="81"/>
      <c r="G263" s="81"/>
    </row>
    <row r="264">
      <c r="E264" s="81"/>
      <c r="F264" s="81"/>
      <c r="G264" s="81"/>
    </row>
    <row r="265">
      <c r="E265" s="81"/>
      <c r="F265" s="81"/>
      <c r="G265" s="81"/>
    </row>
    <row r="266">
      <c r="E266" s="81"/>
      <c r="F266" s="81"/>
      <c r="G266" s="81"/>
    </row>
    <row r="267">
      <c r="E267" s="81"/>
      <c r="F267" s="81"/>
      <c r="G267" s="81"/>
    </row>
    <row r="268">
      <c r="E268" s="81"/>
      <c r="F268" s="81"/>
      <c r="G268" s="81"/>
    </row>
    <row r="269">
      <c r="E269" s="81"/>
      <c r="F269" s="81"/>
      <c r="G269" s="81"/>
    </row>
    <row r="270">
      <c r="E270" s="81"/>
      <c r="F270" s="81"/>
      <c r="G270" s="81"/>
    </row>
    <row r="271">
      <c r="E271" s="81"/>
      <c r="F271" s="81"/>
      <c r="G271" s="81"/>
    </row>
    <row r="272">
      <c r="E272" s="81"/>
      <c r="F272" s="81"/>
      <c r="G272" s="81"/>
    </row>
    <row r="273">
      <c r="E273" s="81"/>
      <c r="F273" s="81"/>
      <c r="G273" s="81"/>
    </row>
    <row r="274">
      <c r="E274" s="81"/>
      <c r="F274" s="81"/>
      <c r="G274" s="81"/>
    </row>
    <row r="275">
      <c r="E275" s="81"/>
      <c r="F275" s="81"/>
      <c r="G275" s="81"/>
    </row>
    <row r="276">
      <c r="E276" s="81"/>
      <c r="F276" s="81"/>
      <c r="G276" s="81"/>
    </row>
    <row r="277">
      <c r="E277" s="81"/>
      <c r="F277" s="81"/>
      <c r="G277" s="81"/>
    </row>
    <row r="278">
      <c r="E278" s="81"/>
      <c r="F278" s="81"/>
      <c r="G278" s="81"/>
    </row>
    <row r="279">
      <c r="E279" s="81"/>
      <c r="F279" s="81"/>
      <c r="G279" s="81"/>
    </row>
    <row r="280">
      <c r="E280" s="81"/>
      <c r="F280" s="81"/>
      <c r="G280" s="81"/>
    </row>
    <row r="281">
      <c r="E281" s="81"/>
      <c r="F281" s="81"/>
      <c r="G281" s="81"/>
    </row>
    <row r="282">
      <c r="E282" s="81"/>
      <c r="F282" s="81"/>
      <c r="G282" s="81"/>
    </row>
    <row r="283">
      <c r="E283" s="81"/>
      <c r="F283" s="81"/>
      <c r="G283" s="81"/>
    </row>
    <row r="284">
      <c r="E284" s="81"/>
      <c r="F284" s="81"/>
      <c r="G284" s="81"/>
    </row>
    <row r="285">
      <c r="E285" s="81"/>
      <c r="F285" s="81"/>
      <c r="G285" s="81"/>
    </row>
    <row r="286">
      <c r="E286" s="81"/>
      <c r="F286" s="81"/>
      <c r="G286" s="81"/>
    </row>
    <row r="287">
      <c r="E287" s="81"/>
      <c r="F287" s="81"/>
      <c r="G287" s="81"/>
    </row>
    <row r="288">
      <c r="E288" s="81"/>
      <c r="F288" s="81"/>
      <c r="G288" s="81"/>
    </row>
    <row r="289">
      <c r="E289" s="81"/>
      <c r="F289" s="81"/>
      <c r="G289" s="81"/>
    </row>
    <row r="290">
      <c r="E290" s="81"/>
      <c r="F290" s="81"/>
      <c r="G290" s="81"/>
    </row>
    <row r="291">
      <c r="E291" s="81"/>
      <c r="F291" s="81"/>
      <c r="G291" s="81"/>
    </row>
    <row r="292">
      <c r="E292" s="81"/>
      <c r="F292" s="81"/>
      <c r="G292" s="81"/>
    </row>
    <row r="293">
      <c r="E293" s="81"/>
      <c r="F293" s="81"/>
      <c r="G293" s="81"/>
    </row>
    <row r="294">
      <c r="E294" s="81"/>
      <c r="F294" s="81"/>
      <c r="G294" s="81"/>
    </row>
    <row r="295">
      <c r="E295" s="81"/>
      <c r="F295" s="81"/>
      <c r="G295" s="81"/>
    </row>
    <row r="296">
      <c r="E296" s="81"/>
      <c r="F296" s="81"/>
      <c r="G296" s="81"/>
    </row>
    <row r="297">
      <c r="E297" s="81"/>
      <c r="F297" s="81"/>
      <c r="G297" s="81"/>
    </row>
    <row r="298">
      <c r="E298" s="81"/>
      <c r="F298" s="81"/>
      <c r="G298" s="81"/>
    </row>
    <row r="299">
      <c r="E299" s="81"/>
      <c r="F299" s="81"/>
      <c r="G299" s="81"/>
    </row>
    <row r="300">
      <c r="E300" s="81"/>
      <c r="F300" s="81"/>
      <c r="G300" s="81"/>
    </row>
    <row r="301">
      <c r="E301" s="81"/>
      <c r="F301" s="81"/>
      <c r="G301" s="81"/>
    </row>
    <row r="302">
      <c r="E302" s="81"/>
      <c r="F302" s="81"/>
      <c r="G302" s="81"/>
    </row>
    <row r="303">
      <c r="E303" s="81"/>
      <c r="F303" s="81"/>
      <c r="G303" s="81"/>
    </row>
    <row r="304">
      <c r="E304" s="81"/>
      <c r="F304" s="81"/>
      <c r="G304" s="81"/>
    </row>
    <row r="305">
      <c r="E305" s="81"/>
      <c r="F305" s="81"/>
      <c r="G305" s="81"/>
    </row>
    <row r="306">
      <c r="E306" s="81"/>
      <c r="F306" s="81"/>
      <c r="G306" s="81"/>
    </row>
    <row r="307">
      <c r="E307" s="81"/>
      <c r="F307" s="81"/>
      <c r="G307" s="81"/>
    </row>
    <row r="308">
      <c r="E308" s="81"/>
      <c r="F308" s="81"/>
      <c r="G308" s="81"/>
    </row>
    <row r="309">
      <c r="E309" s="81"/>
      <c r="F309" s="81"/>
      <c r="G309" s="81"/>
    </row>
    <row r="310">
      <c r="E310" s="81"/>
      <c r="F310" s="81"/>
      <c r="G310" s="81"/>
    </row>
    <row r="311">
      <c r="E311" s="81"/>
      <c r="F311" s="81"/>
      <c r="G311" s="81"/>
    </row>
    <row r="312">
      <c r="E312" s="81"/>
      <c r="F312" s="81"/>
      <c r="G312" s="81"/>
    </row>
    <row r="313">
      <c r="E313" s="81"/>
      <c r="F313" s="81"/>
      <c r="G313" s="81"/>
    </row>
    <row r="314">
      <c r="E314" s="81"/>
      <c r="F314" s="81"/>
      <c r="G314" s="81"/>
    </row>
    <row r="315">
      <c r="E315" s="81"/>
      <c r="F315" s="81"/>
      <c r="G315" s="81"/>
    </row>
    <row r="316">
      <c r="E316" s="81"/>
      <c r="F316" s="81"/>
      <c r="G316" s="81"/>
    </row>
    <row r="317">
      <c r="E317" s="81"/>
      <c r="F317" s="81"/>
      <c r="G317" s="81"/>
    </row>
    <row r="318">
      <c r="E318" s="81"/>
      <c r="F318" s="81"/>
      <c r="G318" s="81"/>
    </row>
    <row r="319">
      <c r="E319" s="81"/>
      <c r="F319" s="81"/>
      <c r="G319" s="81"/>
    </row>
    <row r="320">
      <c r="E320" s="81"/>
      <c r="F320" s="81"/>
      <c r="G320" s="81"/>
    </row>
    <row r="321">
      <c r="E321" s="81"/>
      <c r="F321" s="81"/>
      <c r="G321" s="81"/>
    </row>
    <row r="322">
      <c r="E322" s="81"/>
      <c r="F322" s="81"/>
      <c r="G322" s="81"/>
    </row>
    <row r="323">
      <c r="E323" s="81"/>
      <c r="F323" s="81"/>
      <c r="G323" s="81"/>
    </row>
    <row r="324">
      <c r="E324" s="81"/>
      <c r="F324" s="81"/>
      <c r="G324" s="81"/>
    </row>
    <row r="325">
      <c r="E325" s="81"/>
      <c r="F325" s="81"/>
      <c r="G325" s="81"/>
    </row>
    <row r="326">
      <c r="E326" s="81"/>
      <c r="F326" s="81"/>
      <c r="G326" s="81"/>
    </row>
    <row r="327">
      <c r="E327" s="81"/>
      <c r="F327" s="81"/>
      <c r="G327" s="81"/>
    </row>
    <row r="328">
      <c r="E328" s="81"/>
      <c r="F328" s="81"/>
      <c r="G328" s="81"/>
    </row>
    <row r="329">
      <c r="E329" s="81"/>
      <c r="F329" s="81"/>
      <c r="G329" s="81"/>
    </row>
    <row r="330">
      <c r="E330" s="81"/>
      <c r="F330" s="81"/>
      <c r="G330" s="81"/>
    </row>
    <row r="331">
      <c r="E331" s="81"/>
      <c r="F331" s="81"/>
      <c r="G331" s="81"/>
    </row>
    <row r="332">
      <c r="E332" s="81"/>
      <c r="F332" s="81"/>
      <c r="G332" s="81"/>
    </row>
    <row r="333">
      <c r="E333" s="81"/>
      <c r="F333" s="81"/>
      <c r="G333" s="81"/>
    </row>
    <row r="334">
      <c r="E334" s="81"/>
      <c r="F334" s="81"/>
      <c r="G334" s="81"/>
    </row>
    <row r="335">
      <c r="E335" s="81"/>
      <c r="F335" s="81"/>
      <c r="G335" s="81"/>
    </row>
    <row r="336">
      <c r="E336" s="81"/>
      <c r="F336" s="81"/>
      <c r="G336" s="81"/>
    </row>
    <row r="337">
      <c r="E337" s="81"/>
      <c r="F337" s="81"/>
      <c r="G337" s="81"/>
    </row>
    <row r="338">
      <c r="E338" s="81"/>
      <c r="F338" s="81"/>
      <c r="G338" s="81"/>
    </row>
    <row r="339">
      <c r="E339" s="81"/>
      <c r="F339" s="81"/>
      <c r="G339" s="81"/>
    </row>
    <row r="340">
      <c r="E340" s="81"/>
      <c r="F340" s="81"/>
      <c r="G340" s="81"/>
    </row>
    <row r="341">
      <c r="E341" s="81"/>
      <c r="F341" s="81"/>
      <c r="G341" s="81"/>
    </row>
    <row r="342">
      <c r="E342" s="81"/>
      <c r="F342" s="81"/>
      <c r="G342" s="81"/>
    </row>
    <row r="343">
      <c r="E343" s="81"/>
      <c r="F343" s="81"/>
      <c r="G343" s="81"/>
    </row>
    <row r="344">
      <c r="E344" s="81"/>
      <c r="F344" s="81"/>
      <c r="G344" s="81"/>
    </row>
    <row r="345">
      <c r="E345" s="81"/>
      <c r="F345" s="81"/>
      <c r="G345" s="81"/>
    </row>
    <row r="346">
      <c r="E346" s="81"/>
      <c r="F346" s="81"/>
      <c r="G346" s="81"/>
    </row>
    <row r="347">
      <c r="E347" s="81"/>
      <c r="F347" s="81"/>
      <c r="G347" s="81"/>
    </row>
    <row r="348">
      <c r="E348" s="81"/>
      <c r="F348" s="81"/>
      <c r="G348" s="81"/>
    </row>
    <row r="349">
      <c r="E349" s="81"/>
      <c r="F349" s="81"/>
      <c r="G349" s="81"/>
    </row>
    <row r="350">
      <c r="E350" s="81"/>
      <c r="F350" s="81"/>
      <c r="G350" s="81"/>
    </row>
    <row r="351">
      <c r="E351" s="81"/>
      <c r="F351" s="81"/>
      <c r="G351" s="81"/>
    </row>
    <row r="352">
      <c r="E352" s="81"/>
      <c r="F352" s="81"/>
      <c r="G352" s="81"/>
    </row>
    <row r="353">
      <c r="E353" s="81"/>
      <c r="F353" s="81"/>
      <c r="G353" s="81"/>
    </row>
    <row r="354">
      <c r="E354" s="81"/>
      <c r="F354" s="81"/>
      <c r="G354" s="81"/>
    </row>
    <row r="355">
      <c r="E355" s="81"/>
      <c r="F355" s="81"/>
      <c r="G355" s="81"/>
    </row>
    <row r="356">
      <c r="E356" s="81"/>
      <c r="F356" s="81"/>
      <c r="G356" s="81"/>
    </row>
    <row r="357">
      <c r="E357" s="81"/>
      <c r="F357" s="81"/>
      <c r="G357" s="81"/>
    </row>
    <row r="358">
      <c r="E358" s="81"/>
      <c r="F358" s="81"/>
      <c r="G358" s="81"/>
    </row>
    <row r="359">
      <c r="E359" s="81"/>
      <c r="F359" s="81"/>
      <c r="G359" s="81"/>
    </row>
    <row r="360">
      <c r="E360" s="81"/>
      <c r="F360" s="81"/>
      <c r="G360" s="81"/>
    </row>
    <row r="361">
      <c r="E361" s="81"/>
      <c r="F361" s="81"/>
      <c r="G361" s="81"/>
    </row>
    <row r="362">
      <c r="E362" s="81"/>
      <c r="F362" s="81"/>
      <c r="G362" s="81"/>
    </row>
    <row r="363">
      <c r="E363" s="81"/>
      <c r="F363" s="81"/>
      <c r="G363" s="81"/>
    </row>
    <row r="364">
      <c r="E364" s="81"/>
      <c r="F364" s="81"/>
      <c r="G364" s="81"/>
    </row>
    <row r="365">
      <c r="E365" s="81"/>
      <c r="F365" s="81"/>
      <c r="G365" s="81"/>
    </row>
    <row r="366">
      <c r="E366" s="81"/>
      <c r="F366" s="81"/>
      <c r="G366" s="81"/>
    </row>
    <row r="367">
      <c r="E367" s="81"/>
      <c r="F367" s="81"/>
      <c r="G367" s="81"/>
    </row>
    <row r="368">
      <c r="E368" s="81"/>
      <c r="F368" s="81"/>
      <c r="G368" s="81"/>
    </row>
    <row r="369">
      <c r="E369" s="81"/>
      <c r="F369" s="81"/>
      <c r="G369" s="81"/>
    </row>
    <row r="370">
      <c r="E370" s="81"/>
      <c r="F370" s="81"/>
      <c r="G370" s="81"/>
    </row>
    <row r="371">
      <c r="E371" s="81"/>
      <c r="F371" s="81"/>
      <c r="G371" s="81"/>
    </row>
    <row r="372">
      <c r="E372" s="81"/>
      <c r="F372" s="81"/>
      <c r="G372" s="81"/>
    </row>
    <row r="373">
      <c r="E373" s="81"/>
      <c r="F373" s="81"/>
      <c r="G373" s="81"/>
    </row>
    <row r="374">
      <c r="E374" s="81"/>
      <c r="F374" s="81"/>
      <c r="G374" s="81"/>
    </row>
    <row r="375">
      <c r="E375" s="81"/>
      <c r="F375" s="81"/>
      <c r="G375" s="81"/>
    </row>
    <row r="376">
      <c r="E376" s="81"/>
      <c r="F376" s="81"/>
      <c r="G376" s="81"/>
    </row>
    <row r="377">
      <c r="E377" s="81"/>
      <c r="F377" s="81"/>
      <c r="G377" s="81"/>
    </row>
    <row r="378">
      <c r="E378" s="81"/>
      <c r="F378" s="81"/>
      <c r="G378" s="81"/>
    </row>
    <row r="379">
      <c r="E379" s="81"/>
      <c r="F379" s="81"/>
      <c r="G379" s="81"/>
    </row>
    <row r="380">
      <c r="E380" s="81"/>
      <c r="F380" s="81"/>
      <c r="G380" s="81"/>
    </row>
    <row r="381">
      <c r="E381" s="81"/>
      <c r="F381" s="81"/>
      <c r="G381" s="81"/>
    </row>
    <row r="382">
      <c r="E382" s="81"/>
      <c r="F382" s="81"/>
      <c r="G382" s="81"/>
    </row>
    <row r="383">
      <c r="E383" s="81"/>
      <c r="F383" s="81"/>
      <c r="G383" s="81"/>
    </row>
    <row r="384">
      <c r="E384" s="81"/>
      <c r="F384" s="81"/>
      <c r="G384" s="81"/>
    </row>
    <row r="385">
      <c r="E385" s="81"/>
      <c r="F385" s="81"/>
      <c r="G385" s="81"/>
    </row>
    <row r="386">
      <c r="E386" s="81"/>
      <c r="F386" s="81"/>
      <c r="G386" s="81"/>
    </row>
    <row r="387">
      <c r="E387" s="81"/>
      <c r="F387" s="81"/>
      <c r="G387" s="81"/>
    </row>
    <row r="388">
      <c r="E388" s="81"/>
      <c r="F388" s="81"/>
      <c r="G388" s="81"/>
    </row>
    <row r="389">
      <c r="E389" s="81"/>
      <c r="F389" s="81"/>
      <c r="G389" s="81"/>
    </row>
    <row r="390">
      <c r="E390" s="81"/>
      <c r="F390" s="81"/>
      <c r="G390" s="81"/>
    </row>
    <row r="391">
      <c r="E391" s="81"/>
      <c r="F391" s="81"/>
      <c r="G391" s="81"/>
    </row>
    <row r="392">
      <c r="E392" s="81"/>
      <c r="F392" s="81"/>
      <c r="G392" s="81"/>
    </row>
    <row r="393">
      <c r="E393" s="81"/>
      <c r="F393" s="81"/>
      <c r="G393" s="81"/>
    </row>
    <row r="394">
      <c r="E394" s="81"/>
      <c r="F394" s="81"/>
      <c r="G394" s="81"/>
    </row>
    <row r="395">
      <c r="E395" s="81"/>
      <c r="F395" s="81"/>
      <c r="G395" s="81"/>
    </row>
    <row r="396">
      <c r="E396" s="81"/>
      <c r="F396" s="81"/>
      <c r="G396" s="81"/>
    </row>
    <row r="397">
      <c r="E397" s="81"/>
      <c r="F397" s="81"/>
      <c r="G397" s="81"/>
    </row>
    <row r="398">
      <c r="E398" s="81"/>
      <c r="F398" s="81"/>
      <c r="G398" s="81"/>
    </row>
    <row r="399">
      <c r="E399" s="81"/>
      <c r="F399" s="81"/>
      <c r="G399" s="81"/>
    </row>
    <row r="400">
      <c r="E400" s="81"/>
      <c r="F400" s="81"/>
      <c r="G400" s="81"/>
    </row>
    <row r="401">
      <c r="E401" s="81"/>
      <c r="F401" s="81"/>
      <c r="G401" s="81"/>
    </row>
    <row r="402">
      <c r="E402" s="81"/>
      <c r="F402" s="81"/>
      <c r="G402" s="81"/>
    </row>
    <row r="403">
      <c r="E403" s="81"/>
      <c r="F403" s="81"/>
      <c r="G403" s="81"/>
    </row>
    <row r="404">
      <c r="E404" s="81"/>
      <c r="F404" s="81"/>
      <c r="G404" s="81"/>
    </row>
    <row r="405">
      <c r="E405" s="81"/>
      <c r="F405" s="81"/>
      <c r="G405" s="81"/>
    </row>
    <row r="406">
      <c r="E406" s="81"/>
      <c r="F406" s="81"/>
      <c r="G406" s="81"/>
    </row>
    <row r="407">
      <c r="E407" s="81"/>
      <c r="F407" s="81"/>
      <c r="G407" s="81"/>
    </row>
    <row r="408">
      <c r="E408" s="81"/>
      <c r="F408" s="81"/>
      <c r="G408" s="81"/>
    </row>
    <row r="409">
      <c r="E409" s="81"/>
      <c r="F409" s="81"/>
      <c r="G409" s="81"/>
    </row>
    <row r="410">
      <c r="E410" s="81"/>
      <c r="F410" s="81"/>
      <c r="G410" s="81"/>
    </row>
    <row r="411">
      <c r="E411" s="81"/>
      <c r="F411" s="81"/>
      <c r="G411" s="81"/>
    </row>
    <row r="412">
      <c r="E412" s="81"/>
      <c r="F412" s="81"/>
      <c r="G412" s="81"/>
    </row>
    <row r="413">
      <c r="E413" s="81"/>
      <c r="F413" s="81"/>
      <c r="G413" s="81"/>
    </row>
    <row r="414">
      <c r="E414" s="81"/>
      <c r="F414" s="81"/>
      <c r="G414" s="81"/>
    </row>
    <row r="415">
      <c r="E415" s="81"/>
      <c r="F415" s="81"/>
      <c r="G415" s="81"/>
    </row>
    <row r="416">
      <c r="E416" s="81"/>
      <c r="F416" s="81"/>
      <c r="G416" s="81"/>
    </row>
    <row r="417">
      <c r="E417" s="81"/>
      <c r="F417" s="81"/>
      <c r="G417" s="81"/>
    </row>
    <row r="418">
      <c r="E418" s="81"/>
      <c r="F418" s="81"/>
      <c r="G418" s="81"/>
    </row>
    <row r="419">
      <c r="E419" s="81"/>
      <c r="F419" s="81"/>
      <c r="G419" s="81"/>
    </row>
    <row r="420">
      <c r="E420" s="81"/>
      <c r="F420" s="81"/>
      <c r="G420" s="81"/>
    </row>
    <row r="421">
      <c r="E421" s="81"/>
      <c r="F421" s="81"/>
      <c r="G421" s="81"/>
    </row>
    <row r="422">
      <c r="E422" s="81"/>
      <c r="F422" s="81"/>
      <c r="G422" s="81"/>
    </row>
    <row r="423">
      <c r="E423" s="81"/>
      <c r="F423" s="81"/>
      <c r="G423" s="81"/>
    </row>
    <row r="424">
      <c r="E424" s="81"/>
      <c r="F424" s="81"/>
      <c r="G424" s="81"/>
    </row>
    <row r="425">
      <c r="E425" s="81"/>
      <c r="F425" s="81"/>
      <c r="G425" s="81"/>
    </row>
    <row r="426">
      <c r="E426" s="81"/>
      <c r="F426" s="81"/>
      <c r="G426" s="81"/>
    </row>
    <row r="427">
      <c r="E427" s="81"/>
      <c r="F427" s="81"/>
      <c r="G427" s="81"/>
    </row>
    <row r="428">
      <c r="E428" s="81"/>
      <c r="F428" s="81"/>
      <c r="G428" s="81"/>
    </row>
    <row r="429">
      <c r="E429" s="81"/>
      <c r="F429" s="81"/>
      <c r="G429" s="81"/>
    </row>
    <row r="430">
      <c r="E430" s="81"/>
      <c r="F430" s="81"/>
      <c r="G430" s="81"/>
    </row>
    <row r="431">
      <c r="E431" s="81"/>
      <c r="F431" s="81"/>
      <c r="G431" s="81"/>
    </row>
    <row r="432">
      <c r="E432" s="81"/>
      <c r="F432" s="81"/>
      <c r="G432" s="81"/>
    </row>
    <row r="433">
      <c r="E433" s="81"/>
      <c r="F433" s="81"/>
      <c r="G433" s="81"/>
    </row>
    <row r="434">
      <c r="E434" s="81"/>
      <c r="F434" s="81"/>
      <c r="G434" s="81"/>
    </row>
    <row r="435">
      <c r="E435" s="81"/>
      <c r="F435" s="81"/>
      <c r="G435" s="81"/>
    </row>
    <row r="436">
      <c r="E436" s="81"/>
      <c r="F436" s="81"/>
      <c r="G436" s="81"/>
    </row>
    <row r="437">
      <c r="E437" s="81"/>
      <c r="F437" s="81"/>
      <c r="G437" s="81"/>
    </row>
    <row r="438">
      <c r="E438" s="81"/>
      <c r="F438" s="81"/>
      <c r="G438" s="81"/>
    </row>
    <row r="439">
      <c r="E439" s="81"/>
      <c r="F439" s="81"/>
      <c r="G439" s="81"/>
    </row>
    <row r="440">
      <c r="E440" s="81"/>
      <c r="F440" s="81"/>
      <c r="G440" s="81"/>
    </row>
    <row r="441">
      <c r="E441" s="81"/>
      <c r="F441" s="81"/>
      <c r="G441" s="81"/>
    </row>
    <row r="442">
      <c r="E442" s="81"/>
      <c r="F442" s="81"/>
      <c r="G442" s="81"/>
    </row>
    <row r="443">
      <c r="E443" s="81"/>
      <c r="F443" s="81"/>
      <c r="G443" s="81"/>
    </row>
    <row r="444">
      <c r="E444" s="81"/>
      <c r="F444" s="81"/>
      <c r="G444" s="81"/>
    </row>
    <row r="445">
      <c r="E445" s="81"/>
      <c r="F445" s="81"/>
      <c r="G445" s="81"/>
    </row>
    <row r="446">
      <c r="E446" s="81"/>
      <c r="F446" s="81"/>
      <c r="G446" s="81"/>
    </row>
    <row r="447">
      <c r="E447" s="81"/>
      <c r="F447" s="81"/>
      <c r="G447" s="81"/>
    </row>
    <row r="448">
      <c r="E448" s="81"/>
      <c r="F448" s="81"/>
      <c r="G448" s="81"/>
    </row>
    <row r="449">
      <c r="E449" s="81"/>
      <c r="F449" s="81"/>
      <c r="G449" s="81"/>
    </row>
    <row r="450">
      <c r="E450" s="81"/>
      <c r="F450" s="81"/>
      <c r="G450" s="81"/>
    </row>
    <row r="451">
      <c r="E451" s="81"/>
      <c r="F451" s="81"/>
      <c r="G451" s="81"/>
    </row>
    <row r="452">
      <c r="E452" s="81"/>
      <c r="F452" s="81"/>
      <c r="G452" s="81"/>
    </row>
    <row r="453">
      <c r="E453" s="81"/>
      <c r="F453" s="81"/>
      <c r="G453" s="81"/>
    </row>
    <row r="454">
      <c r="E454" s="81"/>
      <c r="F454" s="81"/>
      <c r="G454" s="81"/>
    </row>
    <row r="455">
      <c r="E455" s="81"/>
      <c r="F455" s="81"/>
      <c r="G455" s="81"/>
    </row>
    <row r="456">
      <c r="E456" s="81"/>
      <c r="F456" s="81"/>
      <c r="G456" s="81"/>
    </row>
    <row r="457">
      <c r="E457" s="81"/>
      <c r="F457" s="81"/>
      <c r="G457" s="81"/>
    </row>
    <row r="458">
      <c r="E458" s="81"/>
      <c r="F458" s="81"/>
      <c r="G458" s="81"/>
    </row>
    <row r="459">
      <c r="E459" s="81"/>
      <c r="F459" s="81"/>
      <c r="G459" s="81"/>
    </row>
    <row r="460">
      <c r="E460" s="81"/>
      <c r="F460" s="81"/>
      <c r="G460" s="81"/>
    </row>
    <row r="461">
      <c r="E461" s="81"/>
      <c r="F461" s="81"/>
      <c r="G461" s="81"/>
    </row>
    <row r="462">
      <c r="E462" s="81"/>
      <c r="F462" s="81"/>
      <c r="G462" s="81"/>
    </row>
    <row r="463">
      <c r="E463" s="81"/>
      <c r="F463" s="81"/>
      <c r="G463" s="81"/>
    </row>
    <row r="464">
      <c r="E464" s="81"/>
      <c r="F464" s="81"/>
      <c r="G464" s="81"/>
    </row>
    <row r="465">
      <c r="E465" s="81"/>
      <c r="F465" s="81"/>
      <c r="G465" s="81"/>
    </row>
    <row r="466">
      <c r="E466" s="81"/>
      <c r="F466" s="81"/>
      <c r="G466" s="81"/>
    </row>
    <row r="467">
      <c r="E467" s="81"/>
      <c r="F467" s="81"/>
      <c r="G467" s="81"/>
    </row>
    <row r="468">
      <c r="E468" s="81"/>
      <c r="F468" s="81"/>
      <c r="G468" s="81"/>
    </row>
    <row r="469">
      <c r="E469" s="81"/>
      <c r="F469" s="81"/>
      <c r="G469" s="81"/>
    </row>
    <row r="470">
      <c r="E470" s="81"/>
      <c r="F470" s="81"/>
      <c r="G470" s="81"/>
    </row>
    <row r="471">
      <c r="E471" s="81"/>
      <c r="F471" s="81"/>
      <c r="G471" s="81"/>
    </row>
    <row r="472">
      <c r="E472" s="81"/>
      <c r="F472" s="81"/>
      <c r="G472" s="81"/>
    </row>
    <row r="473">
      <c r="E473" s="81"/>
      <c r="F473" s="81"/>
      <c r="G473" s="81"/>
    </row>
    <row r="474">
      <c r="E474" s="81"/>
      <c r="F474" s="81"/>
      <c r="G474" s="81"/>
    </row>
    <row r="475">
      <c r="E475" s="81"/>
      <c r="F475" s="81"/>
      <c r="G475" s="81"/>
    </row>
    <row r="476">
      <c r="E476" s="81"/>
      <c r="F476" s="81"/>
      <c r="G476" s="81"/>
    </row>
    <row r="477">
      <c r="E477" s="81"/>
      <c r="F477" s="81"/>
      <c r="G477" s="81"/>
    </row>
    <row r="478">
      <c r="E478" s="81"/>
      <c r="F478" s="81"/>
      <c r="G478" s="81"/>
    </row>
    <row r="479">
      <c r="E479" s="81"/>
      <c r="F479" s="81"/>
      <c r="G479" s="81"/>
    </row>
    <row r="480">
      <c r="E480" s="81"/>
      <c r="F480" s="81"/>
      <c r="G480" s="81"/>
    </row>
    <row r="481">
      <c r="E481" s="81"/>
      <c r="F481" s="81"/>
      <c r="G481" s="81"/>
    </row>
    <row r="482">
      <c r="E482" s="81"/>
      <c r="F482" s="81"/>
      <c r="G482" s="81"/>
    </row>
    <row r="483">
      <c r="E483" s="81"/>
      <c r="F483" s="81"/>
      <c r="G483" s="81"/>
    </row>
    <row r="484">
      <c r="E484" s="81"/>
      <c r="F484" s="81"/>
      <c r="G484" s="81"/>
    </row>
    <row r="485">
      <c r="E485" s="81"/>
      <c r="F485" s="81"/>
      <c r="G485" s="81"/>
    </row>
    <row r="486">
      <c r="E486" s="81"/>
      <c r="F486" s="81"/>
      <c r="G486" s="81"/>
    </row>
    <row r="487">
      <c r="E487" s="81"/>
      <c r="F487" s="81"/>
      <c r="G487" s="81"/>
    </row>
    <row r="488">
      <c r="E488" s="81"/>
      <c r="F488" s="81"/>
      <c r="G488" s="81"/>
    </row>
    <row r="489">
      <c r="E489" s="81"/>
      <c r="F489" s="81"/>
      <c r="G489" s="81"/>
    </row>
    <row r="490">
      <c r="E490" s="81"/>
      <c r="F490" s="81"/>
      <c r="G490" s="81"/>
    </row>
    <row r="491">
      <c r="E491" s="81"/>
      <c r="F491" s="81"/>
      <c r="G491" s="81"/>
    </row>
    <row r="492">
      <c r="E492" s="81"/>
      <c r="F492" s="81"/>
      <c r="G492" s="81"/>
    </row>
    <row r="493">
      <c r="E493" s="81"/>
      <c r="F493" s="81"/>
      <c r="G493" s="81"/>
    </row>
    <row r="494">
      <c r="E494" s="81"/>
      <c r="F494" s="81"/>
      <c r="G494" s="81"/>
    </row>
    <row r="495">
      <c r="E495" s="81"/>
      <c r="F495" s="81"/>
      <c r="G495" s="81"/>
    </row>
    <row r="496">
      <c r="E496" s="81"/>
      <c r="F496" s="81"/>
      <c r="G496" s="81"/>
    </row>
    <row r="497">
      <c r="E497" s="81"/>
      <c r="F497" s="81"/>
      <c r="G497" s="81"/>
    </row>
    <row r="498">
      <c r="E498" s="81"/>
      <c r="F498" s="81"/>
      <c r="G498" s="81"/>
    </row>
    <row r="499">
      <c r="E499" s="81"/>
      <c r="F499" s="81"/>
      <c r="G499" s="81"/>
    </row>
    <row r="500">
      <c r="E500" s="81"/>
      <c r="F500" s="81"/>
      <c r="G500" s="81"/>
    </row>
    <row r="501">
      <c r="E501" s="81"/>
      <c r="F501" s="81"/>
      <c r="G501" s="81"/>
    </row>
    <row r="502">
      <c r="E502" s="81"/>
      <c r="F502" s="81"/>
      <c r="G502" s="81"/>
    </row>
    <row r="503">
      <c r="E503" s="81"/>
      <c r="F503" s="81"/>
      <c r="G503" s="81"/>
    </row>
    <row r="504">
      <c r="E504" s="81"/>
      <c r="F504" s="81"/>
      <c r="G504" s="81"/>
    </row>
    <row r="505">
      <c r="E505" s="81"/>
      <c r="F505" s="81"/>
      <c r="G505" s="81"/>
    </row>
    <row r="506">
      <c r="E506" s="81"/>
      <c r="F506" s="81"/>
      <c r="G506" s="81"/>
    </row>
    <row r="507">
      <c r="E507" s="81"/>
      <c r="F507" s="81"/>
      <c r="G507" s="81"/>
    </row>
    <row r="508">
      <c r="E508" s="81"/>
      <c r="F508" s="81"/>
      <c r="G508" s="81"/>
    </row>
    <row r="509">
      <c r="E509" s="81"/>
      <c r="F509" s="81"/>
      <c r="G509" s="81"/>
    </row>
    <row r="510">
      <c r="E510" s="81"/>
      <c r="F510" s="81"/>
      <c r="G510" s="81"/>
    </row>
    <row r="511">
      <c r="E511" s="81"/>
      <c r="F511" s="81"/>
      <c r="G511" s="81"/>
    </row>
    <row r="512">
      <c r="E512" s="81"/>
      <c r="F512" s="81"/>
      <c r="G512" s="81"/>
    </row>
    <row r="513">
      <c r="E513" s="81"/>
      <c r="F513" s="81"/>
      <c r="G513" s="81"/>
    </row>
    <row r="514">
      <c r="E514" s="81"/>
      <c r="F514" s="81"/>
      <c r="G514" s="81"/>
    </row>
    <row r="515">
      <c r="E515" s="81"/>
      <c r="F515" s="81"/>
      <c r="G515" s="81"/>
    </row>
    <row r="516">
      <c r="E516" s="81"/>
      <c r="F516" s="81"/>
      <c r="G516" s="81"/>
    </row>
    <row r="517">
      <c r="E517" s="81"/>
      <c r="F517" s="81"/>
      <c r="G517" s="81"/>
    </row>
    <row r="518">
      <c r="E518" s="81"/>
      <c r="F518" s="81"/>
      <c r="G518" s="81"/>
    </row>
    <row r="519">
      <c r="E519" s="81"/>
      <c r="F519" s="81"/>
      <c r="G519" s="81"/>
    </row>
    <row r="520">
      <c r="E520" s="81"/>
      <c r="F520" s="81"/>
      <c r="G520" s="81"/>
    </row>
    <row r="521">
      <c r="E521" s="81"/>
      <c r="F521" s="81"/>
      <c r="G521" s="81"/>
    </row>
    <row r="522">
      <c r="E522" s="81"/>
      <c r="F522" s="81"/>
      <c r="G522" s="81"/>
    </row>
    <row r="523">
      <c r="E523" s="81"/>
      <c r="F523" s="81"/>
      <c r="G523" s="81"/>
    </row>
    <row r="524">
      <c r="E524" s="81"/>
      <c r="F524" s="81"/>
      <c r="G524" s="81"/>
    </row>
    <row r="525">
      <c r="E525" s="81"/>
      <c r="F525" s="81"/>
      <c r="G525" s="81"/>
    </row>
    <row r="526">
      <c r="E526" s="81"/>
      <c r="F526" s="81"/>
      <c r="G526" s="81"/>
    </row>
    <row r="527">
      <c r="E527" s="81"/>
      <c r="F527" s="81"/>
      <c r="G527" s="81"/>
    </row>
    <row r="528">
      <c r="E528" s="81"/>
      <c r="F528" s="81"/>
      <c r="G528" s="81"/>
    </row>
    <row r="529">
      <c r="E529" s="81"/>
      <c r="F529" s="81"/>
      <c r="G529" s="81"/>
    </row>
    <row r="530">
      <c r="E530" s="81"/>
      <c r="F530" s="81"/>
      <c r="G530" s="81"/>
    </row>
    <row r="531">
      <c r="E531" s="81"/>
      <c r="F531" s="81"/>
      <c r="G531" s="81"/>
    </row>
    <row r="532">
      <c r="E532" s="81"/>
      <c r="F532" s="81"/>
      <c r="G532" s="81"/>
    </row>
    <row r="533">
      <c r="E533" s="81"/>
      <c r="F533" s="81"/>
      <c r="G533" s="81"/>
    </row>
    <row r="534">
      <c r="E534" s="81"/>
      <c r="F534" s="81"/>
      <c r="G534" s="81"/>
    </row>
    <row r="535">
      <c r="E535" s="81"/>
      <c r="F535" s="81"/>
      <c r="G535" s="81"/>
    </row>
    <row r="536">
      <c r="E536" s="81"/>
      <c r="F536" s="81"/>
      <c r="G536" s="81"/>
    </row>
    <row r="537">
      <c r="E537" s="81"/>
      <c r="F537" s="81"/>
      <c r="G537" s="81"/>
    </row>
    <row r="538">
      <c r="E538" s="81"/>
      <c r="F538" s="81"/>
      <c r="G538" s="81"/>
    </row>
    <row r="539">
      <c r="E539" s="81"/>
      <c r="F539" s="81"/>
      <c r="G539" s="81"/>
    </row>
    <row r="540">
      <c r="E540" s="81"/>
      <c r="F540" s="81"/>
      <c r="G540" s="81"/>
    </row>
    <row r="541">
      <c r="E541" s="81"/>
      <c r="F541" s="81"/>
      <c r="G541" s="81"/>
    </row>
    <row r="542">
      <c r="E542" s="81"/>
      <c r="F542" s="81"/>
      <c r="G542" s="81"/>
    </row>
    <row r="543">
      <c r="E543" s="81"/>
      <c r="F543" s="81"/>
      <c r="G543" s="81"/>
    </row>
    <row r="544">
      <c r="E544" s="81"/>
      <c r="F544" s="81"/>
      <c r="G544" s="81"/>
    </row>
    <row r="545">
      <c r="E545" s="81"/>
      <c r="F545" s="81"/>
      <c r="G545" s="81"/>
    </row>
    <row r="546">
      <c r="E546" s="81"/>
      <c r="F546" s="81"/>
      <c r="G546" s="81"/>
    </row>
    <row r="547">
      <c r="E547" s="81"/>
      <c r="F547" s="81"/>
      <c r="G547" s="81"/>
    </row>
    <row r="548">
      <c r="E548" s="81"/>
      <c r="F548" s="81"/>
      <c r="G548" s="81"/>
    </row>
    <row r="549">
      <c r="E549" s="81"/>
      <c r="F549" s="81"/>
      <c r="G549" s="81"/>
    </row>
    <row r="550">
      <c r="E550" s="81"/>
      <c r="F550" s="81"/>
      <c r="G550" s="81"/>
    </row>
    <row r="551">
      <c r="E551" s="81"/>
      <c r="F551" s="81"/>
      <c r="G551" s="81"/>
    </row>
    <row r="552">
      <c r="E552" s="81"/>
      <c r="F552" s="81"/>
      <c r="G552" s="81"/>
    </row>
    <row r="553">
      <c r="E553" s="81"/>
      <c r="F553" s="81"/>
      <c r="G553" s="81"/>
    </row>
    <row r="554">
      <c r="E554" s="81"/>
      <c r="F554" s="81"/>
      <c r="G554" s="81"/>
    </row>
    <row r="555">
      <c r="E555" s="81"/>
      <c r="F555" s="81"/>
      <c r="G555" s="81"/>
    </row>
    <row r="556">
      <c r="E556" s="81"/>
      <c r="F556" s="81"/>
      <c r="G556" s="81"/>
    </row>
    <row r="557">
      <c r="E557" s="81"/>
      <c r="F557" s="81"/>
      <c r="G557" s="81"/>
    </row>
    <row r="558">
      <c r="E558" s="81"/>
      <c r="F558" s="81"/>
      <c r="G558" s="81"/>
    </row>
    <row r="559">
      <c r="E559" s="81"/>
      <c r="F559" s="81"/>
      <c r="G559" s="81"/>
    </row>
    <row r="560">
      <c r="E560" s="81"/>
      <c r="F560" s="81"/>
      <c r="G560" s="81"/>
    </row>
    <row r="561">
      <c r="E561" s="81"/>
      <c r="F561" s="81"/>
      <c r="G561" s="81"/>
    </row>
    <row r="562">
      <c r="E562" s="81"/>
      <c r="F562" s="81"/>
      <c r="G562" s="81"/>
    </row>
    <row r="563">
      <c r="E563" s="81"/>
      <c r="F563" s="81"/>
      <c r="G563" s="81"/>
    </row>
    <row r="564">
      <c r="E564" s="81"/>
      <c r="F564" s="81"/>
      <c r="G564" s="81"/>
    </row>
    <row r="565">
      <c r="E565" s="81"/>
      <c r="F565" s="81"/>
      <c r="G565" s="81"/>
    </row>
    <row r="566">
      <c r="E566" s="81"/>
      <c r="F566" s="81"/>
      <c r="G566" s="81"/>
    </row>
    <row r="567">
      <c r="E567" s="81"/>
      <c r="F567" s="81"/>
      <c r="G567" s="81"/>
    </row>
    <row r="568">
      <c r="E568" s="81"/>
      <c r="F568" s="81"/>
      <c r="G568" s="81"/>
    </row>
    <row r="569">
      <c r="E569" s="81"/>
      <c r="F569" s="81"/>
      <c r="G569" s="81"/>
    </row>
    <row r="570">
      <c r="E570" s="81"/>
      <c r="F570" s="81"/>
      <c r="G570" s="81"/>
    </row>
    <row r="571">
      <c r="E571" s="81"/>
      <c r="F571" s="81"/>
      <c r="G571" s="81"/>
    </row>
    <row r="572">
      <c r="E572" s="81"/>
      <c r="F572" s="81"/>
      <c r="G572" s="81"/>
    </row>
    <row r="573">
      <c r="E573" s="81"/>
      <c r="F573" s="81"/>
      <c r="G573" s="81"/>
    </row>
    <row r="574">
      <c r="E574" s="81"/>
      <c r="F574" s="81"/>
      <c r="G574" s="81"/>
    </row>
    <row r="575">
      <c r="E575" s="81"/>
      <c r="F575" s="81"/>
      <c r="G575" s="81"/>
    </row>
    <row r="576">
      <c r="E576" s="81"/>
      <c r="F576" s="81"/>
      <c r="G576" s="81"/>
    </row>
    <row r="577">
      <c r="E577" s="81"/>
      <c r="F577" s="81"/>
      <c r="G577" s="81"/>
    </row>
    <row r="578">
      <c r="E578" s="81"/>
      <c r="F578" s="81"/>
      <c r="G578" s="81"/>
    </row>
    <row r="579">
      <c r="E579" s="81"/>
      <c r="F579" s="81"/>
      <c r="G579" s="81"/>
    </row>
    <row r="580">
      <c r="E580" s="81"/>
      <c r="F580" s="81"/>
      <c r="G580" s="81"/>
    </row>
    <row r="581">
      <c r="E581" s="81"/>
      <c r="F581" s="81"/>
      <c r="G581" s="81"/>
    </row>
    <row r="582">
      <c r="E582" s="81"/>
      <c r="F582" s="81"/>
      <c r="G582" s="81"/>
    </row>
    <row r="583">
      <c r="E583" s="81"/>
      <c r="F583" s="81"/>
      <c r="G583" s="81"/>
    </row>
    <row r="584">
      <c r="E584" s="81"/>
      <c r="F584" s="81"/>
      <c r="G584" s="81"/>
    </row>
    <row r="585">
      <c r="E585" s="81"/>
      <c r="F585" s="81"/>
      <c r="G585" s="81"/>
    </row>
    <row r="586">
      <c r="E586" s="81"/>
      <c r="F586" s="81"/>
      <c r="G586" s="81"/>
    </row>
    <row r="587">
      <c r="E587" s="81"/>
      <c r="F587" s="81"/>
      <c r="G587" s="81"/>
    </row>
    <row r="588">
      <c r="E588" s="81"/>
      <c r="F588" s="81"/>
      <c r="G588" s="81"/>
    </row>
    <row r="589">
      <c r="E589" s="81"/>
      <c r="F589" s="81"/>
      <c r="G589" s="81"/>
    </row>
    <row r="590">
      <c r="E590" s="81"/>
      <c r="F590" s="81"/>
      <c r="G590" s="81"/>
    </row>
    <row r="591">
      <c r="E591" s="81"/>
      <c r="F591" s="81"/>
      <c r="G591" s="81"/>
    </row>
    <row r="592">
      <c r="E592" s="81"/>
      <c r="F592" s="81"/>
      <c r="G592" s="81"/>
    </row>
    <row r="593">
      <c r="E593" s="81"/>
      <c r="F593" s="81"/>
      <c r="G593" s="81"/>
    </row>
    <row r="594">
      <c r="E594" s="81"/>
      <c r="F594" s="81"/>
      <c r="G594" s="81"/>
    </row>
    <row r="595">
      <c r="E595" s="81"/>
      <c r="F595" s="81"/>
      <c r="G595" s="81"/>
    </row>
    <row r="596">
      <c r="E596" s="81"/>
      <c r="F596" s="81"/>
      <c r="G596" s="81"/>
    </row>
    <row r="597">
      <c r="E597" s="81"/>
      <c r="F597" s="81"/>
      <c r="G597" s="81"/>
    </row>
    <row r="598">
      <c r="E598" s="81"/>
      <c r="F598" s="81"/>
      <c r="G598" s="81"/>
    </row>
    <row r="599">
      <c r="E599" s="81"/>
      <c r="F599" s="81"/>
      <c r="G599" s="81"/>
    </row>
    <row r="600">
      <c r="E600" s="81"/>
      <c r="F600" s="81"/>
      <c r="G600" s="81"/>
    </row>
    <row r="601">
      <c r="E601" s="81"/>
      <c r="F601" s="81"/>
      <c r="G601" s="81"/>
    </row>
    <row r="602">
      <c r="E602" s="81"/>
      <c r="F602" s="81"/>
      <c r="G602" s="81"/>
    </row>
    <row r="603">
      <c r="E603" s="81"/>
      <c r="F603" s="81"/>
      <c r="G603" s="81"/>
    </row>
    <row r="604">
      <c r="E604" s="81"/>
      <c r="F604" s="81"/>
      <c r="G604" s="81"/>
    </row>
    <row r="605">
      <c r="E605" s="81"/>
      <c r="F605" s="81"/>
      <c r="G605" s="81"/>
    </row>
    <row r="606">
      <c r="E606" s="81"/>
      <c r="F606" s="81"/>
      <c r="G606" s="81"/>
    </row>
    <row r="607">
      <c r="E607" s="81"/>
      <c r="F607" s="81"/>
      <c r="G607" s="81"/>
    </row>
    <row r="608">
      <c r="E608" s="81"/>
      <c r="F608" s="81"/>
      <c r="G608" s="81"/>
    </row>
    <row r="609">
      <c r="E609" s="81"/>
      <c r="F609" s="81"/>
      <c r="G609" s="81"/>
    </row>
    <row r="610">
      <c r="E610" s="81"/>
      <c r="F610" s="81"/>
      <c r="G610" s="81"/>
    </row>
    <row r="611">
      <c r="E611" s="81"/>
      <c r="F611" s="81"/>
      <c r="G611" s="81"/>
    </row>
    <row r="612">
      <c r="E612" s="81"/>
      <c r="F612" s="81"/>
      <c r="G612" s="81"/>
    </row>
    <row r="613">
      <c r="E613" s="81"/>
      <c r="F613" s="81"/>
      <c r="G613" s="81"/>
    </row>
    <row r="614">
      <c r="E614" s="81"/>
      <c r="F614" s="81"/>
      <c r="G614" s="81"/>
    </row>
    <row r="615">
      <c r="E615" s="81"/>
      <c r="F615" s="81"/>
      <c r="G615" s="81"/>
    </row>
    <row r="616">
      <c r="E616" s="81"/>
      <c r="F616" s="81"/>
      <c r="G616" s="81"/>
    </row>
    <row r="617">
      <c r="E617" s="81"/>
      <c r="F617" s="81"/>
      <c r="G617" s="81"/>
    </row>
    <row r="618">
      <c r="E618" s="81"/>
      <c r="F618" s="81"/>
      <c r="G618" s="81"/>
    </row>
    <row r="619">
      <c r="E619" s="81"/>
      <c r="F619" s="81"/>
      <c r="G619" s="81"/>
    </row>
    <row r="620">
      <c r="E620" s="81"/>
      <c r="F620" s="81"/>
      <c r="G620" s="81"/>
    </row>
    <row r="621">
      <c r="E621" s="81"/>
      <c r="F621" s="81"/>
      <c r="G621" s="81"/>
    </row>
    <row r="622">
      <c r="E622" s="81"/>
      <c r="F622" s="81"/>
      <c r="G622" s="81"/>
    </row>
    <row r="623">
      <c r="E623" s="81"/>
      <c r="F623" s="81"/>
      <c r="G623" s="81"/>
    </row>
    <row r="624">
      <c r="E624" s="81"/>
      <c r="F624" s="81"/>
      <c r="G624" s="81"/>
    </row>
    <row r="625">
      <c r="E625" s="81"/>
      <c r="F625" s="81"/>
      <c r="G625" s="81"/>
    </row>
    <row r="626">
      <c r="E626" s="81"/>
      <c r="F626" s="81"/>
      <c r="G626" s="81"/>
    </row>
    <row r="627">
      <c r="E627" s="81"/>
      <c r="F627" s="81"/>
      <c r="G627" s="81"/>
    </row>
    <row r="628">
      <c r="E628" s="81"/>
      <c r="F628" s="81"/>
      <c r="G628" s="81"/>
    </row>
    <row r="629">
      <c r="E629" s="81"/>
      <c r="F629" s="81"/>
      <c r="G629" s="81"/>
    </row>
    <row r="630">
      <c r="E630" s="81"/>
      <c r="F630" s="81"/>
      <c r="G630" s="81"/>
    </row>
    <row r="631">
      <c r="E631" s="81"/>
      <c r="F631" s="81"/>
      <c r="G631" s="81"/>
    </row>
    <row r="632">
      <c r="E632" s="81"/>
      <c r="F632" s="81"/>
      <c r="G632" s="81"/>
    </row>
    <row r="633">
      <c r="E633" s="81"/>
      <c r="F633" s="81"/>
      <c r="G633" s="81"/>
    </row>
    <row r="634">
      <c r="E634" s="81"/>
      <c r="F634" s="81"/>
      <c r="G634" s="81"/>
    </row>
    <row r="635">
      <c r="E635" s="81"/>
      <c r="F635" s="81"/>
      <c r="G635" s="81"/>
    </row>
    <row r="636">
      <c r="E636" s="81"/>
      <c r="F636" s="81"/>
      <c r="G636" s="81"/>
    </row>
    <row r="637">
      <c r="E637" s="81"/>
      <c r="F637" s="81"/>
      <c r="G637" s="81"/>
    </row>
    <row r="638">
      <c r="E638" s="81"/>
      <c r="F638" s="81"/>
      <c r="G638" s="81"/>
    </row>
    <row r="639">
      <c r="E639" s="81"/>
      <c r="F639" s="81"/>
      <c r="G639" s="81"/>
    </row>
    <row r="640">
      <c r="E640" s="81"/>
      <c r="F640" s="81"/>
      <c r="G640" s="81"/>
    </row>
    <row r="641">
      <c r="E641" s="81"/>
      <c r="F641" s="81"/>
      <c r="G641" s="81"/>
    </row>
    <row r="642">
      <c r="E642" s="81"/>
      <c r="F642" s="81"/>
      <c r="G642" s="81"/>
    </row>
    <row r="643">
      <c r="E643" s="81"/>
      <c r="F643" s="81"/>
      <c r="G643" s="81"/>
    </row>
    <row r="644">
      <c r="E644" s="81"/>
      <c r="F644" s="81"/>
      <c r="G644" s="81"/>
    </row>
    <row r="645">
      <c r="E645" s="81"/>
      <c r="F645" s="81"/>
      <c r="G645" s="81"/>
    </row>
    <row r="646">
      <c r="E646" s="81"/>
      <c r="F646" s="81"/>
      <c r="G646" s="81"/>
    </row>
    <row r="647">
      <c r="E647" s="81"/>
      <c r="F647" s="81"/>
      <c r="G647" s="81"/>
    </row>
    <row r="648">
      <c r="E648" s="81"/>
      <c r="F648" s="81"/>
      <c r="G648" s="81"/>
    </row>
    <row r="649">
      <c r="E649" s="81"/>
      <c r="F649" s="81"/>
      <c r="G649" s="81"/>
    </row>
    <row r="650">
      <c r="E650" s="81"/>
      <c r="F650" s="81"/>
      <c r="G650" s="81"/>
    </row>
    <row r="651">
      <c r="E651" s="81"/>
      <c r="F651" s="81"/>
      <c r="G651" s="81"/>
    </row>
    <row r="652">
      <c r="E652" s="81"/>
      <c r="F652" s="81"/>
      <c r="G652" s="81"/>
    </row>
    <row r="653">
      <c r="E653" s="81"/>
      <c r="F653" s="81"/>
      <c r="G653" s="81"/>
    </row>
    <row r="654">
      <c r="E654" s="81"/>
      <c r="F654" s="81"/>
      <c r="G654" s="81"/>
    </row>
    <row r="655">
      <c r="E655" s="81"/>
      <c r="F655" s="81"/>
      <c r="G655" s="81"/>
    </row>
    <row r="656">
      <c r="E656" s="81"/>
      <c r="F656" s="81"/>
      <c r="G656" s="81"/>
    </row>
    <row r="657">
      <c r="E657" s="81"/>
      <c r="F657" s="81"/>
      <c r="G657" s="81"/>
    </row>
    <row r="658">
      <c r="E658" s="81"/>
      <c r="F658" s="81"/>
      <c r="G658" s="81"/>
    </row>
    <row r="659">
      <c r="E659" s="81"/>
      <c r="F659" s="81"/>
      <c r="G659" s="81"/>
    </row>
    <row r="660">
      <c r="E660" s="81"/>
      <c r="F660" s="81"/>
      <c r="G660" s="81"/>
    </row>
    <row r="661">
      <c r="E661" s="81"/>
      <c r="F661" s="81"/>
      <c r="G661" s="81"/>
    </row>
    <row r="662">
      <c r="E662" s="81"/>
      <c r="F662" s="81"/>
      <c r="G662" s="81"/>
    </row>
    <row r="663">
      <c r="E663" s="81"/>
      <c r="F663" s="81"/>
      <c r="G663" s="81"/>
    </row>
    <row r="664">
      <c r="E664" s="81"/>
      <c r="F664" s="81"/>
      <c r="G664" s="81"/>
    </row>
    <row r="665">
      <c r="E665" s="81"/>
      <c r="F665" s="81"/>
      <c r="G665" s="81"/>
    </row>
    <row r="666">
      <c r="E666" s="81"/>
      <c r="F666" s="81"/>
      <c r="G666" s="81"/>
    </row>
    <row r="667">
      <c r="E667" s="81"/>
      <c r="F667" s="81"/>
      <c r="G667" s="81"/>
    </row>
    <row r="668">
      <c r="E668" s="81"/>
      <c r="F668" s="81"/>
      <c r="G668" s="81"/>
    </row>
    <row r="669">
      <c r="E669" s="81"/>
      <c r="F669" s="81"/>
      <c r="G669" s="81"/>
    </row>
    <row r="670">
      <c r="E670" s="81"/>
      <c r="F670" s="81"/>
      <c r="G670" s="81"/>
    </row>
    <row r="671">
      <c r="E671" s="81"/>
      <c r="F671" s="81"/>
      <c r="G671" s="81"/>
    </row>
    <row r="672">
      <c r="E672" s="81"/>
      <c r="F672" s="81"/>
      <c r="G672" s="81"/>
    </row>
    <row r="673">
      <c r="E673" s="81"/>
      <c r="F673" s="81"/>
      <c r="G673" s="81"/>
    </row>
    <row r="674">
      <c r="E674" s="81"/>
      <c r="F674" s="81"/>
      <c r="G674" s="81"/>
    </row>
    <row r="675">
      <c r="E675" s="81"/>
      <c r="F675" s="81"/>
      <c r="G675" s="81"/>
    </row>
    <row r="676">
      <c r="E676" s="81"/>
      <c r="F676" s="81"/>
      <c r="G676" s="81"/>
    </row>
    <row r="677">
      <c r="E677" s="81"/>
      <c r="F677" s="81"/>
      <c r="G677" s="81"/>
    </row>
    <row r="678">
      <c r="E678" s="81"/>
      <c r="F678" s="81"/>
      <c r="G678" s="81"/>
    </row>
    <row r="679">
      <c r="E679" s="81"/>
      <c r="F679" s="81"/>
      <c r="G679" s="81"/>
    </row>
    <row r="680">
      <c r="E680" s="81"/>
      <c r="F680" s="81"/>
      <c r="G680" s="81"/>
    </row>
    <row r="681">
      <c r="E681" s="81"/>
      <c r="F681" s="81"/>
      <c r="G681" s="81"/>
    </row>
    <row r="682">
      <c r="E682" s="81"/>
      <c r="F682" s="81"/>
      <c r="G682" s="81"/>
    </row>
    <row r="683">
      <c r="E683" s="81"/>
      <c r="F683" s="81"/>
      <c r="G683" s="81"/>
    </row>
    <row r="684">
      <c r="E684" s="81"/>
      <c r="F684" s="81"/>
      <c r="G684" s="81"/>
    </row>
    <row r="685">
      <c r="E685" s="81"/>
      <c r="F685" s="81"/>
      <c r="G685" s="81"/>
    </row>
    <row r="686">
      <c r="E686" s="81"/>
      <c r="F686" s="81"/>
      <c r="G686" s="81"/>
    </row>
    <row r="687">
      <c r="E687" s="81"/>
      <c r="F687" s="81"/>
      <c r="G687" s="81"/>
    </row>
    <row r="688">
      <c r="E688" s="81"/>
      <c r="F688" s="81"/>
      <c r="G688" s="81"/>
    </row>
    <row r="689">
      <c r="E689" s="81"/>
      <c r="F689" s="81"/>
      <c r="G689" s="81"/>
    </row>
    <row r="690">
      <c r="E690" s="81"/>
      <c r="F690" s="81"/>
      <c r="G690" s="81"/>
    </row>
    <row r="691">
      <c r="E691" s="81"/>
      <c r="F691" s="81"/>
      <c r="G691" s="81"/>
    </row>
    <row r="692">
      <c r="E692" s="81"/>
      <c r="F692" s="81"/>
      <c r="G692" s="81"/>
    </row>
    <row r="693">
      <c r="E693" s="81"/>
      <c r="F693" s="81"/>
      <c r="G693" s="81"/>
    </row>
    <row r="694">
      <c r="E694" s="81"/>
      <c r="F694" s="81"/>
      <c r="G694" s="81"/>
    </row>
    <row r="695">
      <c r="E695" s="81"/>
      <c r="F695" s="81"/>
      <c r="G695" s="81"/>
    </row>
    <row r="696">
      <c r="E696" s="81"/>
      <c r="F696" s="81"/>
      <c r="G696" s="81"/>
    </row>
    <row r="697">
      <c r="E697" s="81"/>
      <c r="F697" s="81"/>
      <c r="G697" s="81"/>
    </row>
    <row r="698">
      <c r="E698" s="81"/>
      <c r="F698" s="81"/>
      <c r="G698" s="81"/>
    </row>
    <row r="699">
      <c r="E699" s="81"/>
      <c r="F699" s="81"/>
      <c r="G699" s="81"/>
    </row>
    <row r="700">
      <c r="E700" s="81"/>
      <c r="F700" s="81"/>
      <c r="G700" s="81"/>
    </row>
    <row r="701">
      <c r="E701" s="81"/>
      <c r="F701" s="81"/>
      <c r="G701" s="81"/>
    </row>
    <row r="702">
      <c r="E702" s="81"/>
      <c r="F702" s="81"/>
      <c r="G702" s="81"/>
    </row>
    <row r="703">
      <c r="E703" s="81"/>
      <c r="F703" s="81"/>
      <c r="G703" s="81"/>
    </row>
    <row r="704">
      <c r="E704" s="81"/>
      <c r="F704" s="81"/>
      <c r="G704" s="81"/>
    </row>
    <row r="705">
      <c r="E705" s="81"/>
      <c r="F705" s="81"/>
      <c r="G705" s="81"/>
    </row>
    <row r="706">
      <c r="E706" s="81"/>
      <c r="F706" s="81"/>
      <c r="G706" s="81"/>
    </row>
    <row r="707">
      <c r="E707" s="81"/>
      <c r="F707" s="81"/>
      <c r="G707" s="81"/>
    </row>
    <row r="708">
      <c r="E708" s="81"/>
      <c r="F708" s="81"/>
      <c r="G708" s="81"/>
    </row>
    <row r="709">
      <c r="E709" s="81"/>
      <c r="F709" s="81"/>
      <c r="G709" s="81"/>
    </row>
    <row r="710">
      <c r="E710" s="81"/>
      <c r="F710" s="81"/>
      <c r="G710" s="81"/>
    </row>
    <row r="711">
      <c r="E711" s="81"/>
      <c r="F711" s="81"/>
      <c r="G711" s="81"/>
    </row>
    <row r="712">
      <c r="E712" s="81"/>
      <c r="F712" s="81"/>
      <c r="G712" s="81"/>
    </row>
    <row r="713">
      <c r="E713" s="81"/>
      <c r="F713" s="81"/>
      <c r="G713" s="81"/>
    </row>
    <row r="714">
      <c r="E714" s="81"/>
      <c r="F714" s="81"/>
      <c r="G714" s="81"/>
    </row>
    <row r="715">
      <c r="E715" s="81"/>
      <c r="F715" s="81"/>
      <c r="G715" s="81"/>
    </row>
    <row r="716">
      <c r="E716" s="81"/>
      <c r="F716" s="81"/>
      <c r="G716" s="81"/>
    </row>
    <row r="717">
      <c r="E717" s="81"/>
      <c r="F717" s="81"/>
      <c r="G717" s="81"/>
    </row>
    <row r="718">
      <c r="E718" s="81"/>
      <c r="F718" s="81"/>
      <c r="G718" s="81"/>
    </row>
    <row r="719">
      <c r="E719" s="81"/>
      <c r="F719" s="81"/>
      <c r="G719" s="81"/>
    </row>
    <row r="720">
      <c r="E720" s="81"/>
      <c r="F720" s="81"/>
      <c r="G720" s="81"/>
    </row>
    <row r="721">
      <c r="E721" s="81"/>
      <c r="F721" s="81"/>
      <c r="G721" s="81"/>
    </row>
    <row r="722">
      <c r="E722" s="81"/>
      <c r="F722" s="81"/>
      <c r="G722" s="81"/>
    </row>
    <row r="723">
      <c r="E723" s="81"/>
      <c r="F723" s="81"/>
      <c r="G723" s="81"/>
    </row>
    <row r="724">
      <c r="E724" s="81"/>
      <c r="F724" s="81"/>
      <c r="G724" s="81"/>
    </row>
    <row r="725">
      <c r="E725" s="81"/>
      <c r="F725" s="81"/>
      <c r="G725" s="81"/>
    </row>
    <row r="726">
      <c r="E726" s="81"/>
      <c r="F726" s="81"/>
      <c r="G726" s="81"/>
    </row>
    <row r="727">
      <c r="E727" s="81"/>
      <c r="F727" s="81"/>
      <c r="G727" s="81"/>
    </row>
    <row r="728">
      <c r="E728" s="81"/>
      <c r="F728" s="81"/>
      <c r="G728" s="81"/>
    </row>
    <row r="729">
      <c r="E729" s="81"/>
      <c r="F729" s="81"/>
      <c r="G729" s="81"/>
    </row>
    <row r="730">
      <c r="E730" s="81"/>
      <c r="F730" s="81"/>
      <c r="G730" s="81"/>
    </row>
    <row r="731">
      <c r="E731" s="81"/>
      <c r="F731" s="81"/>
      <c r="G731" s="81"/>
    </row>
    <row r="732">
      <c r="E732" s="81"/>
      <c r="F732" s="81"/>
      <c r="G732" s="81"/>
    </row>
    <row r="733">
      <c r="E733" s="81"/>
      <c r="F733" s="81"/>
      <c r="G733" s="81"/>
    </row>
    <row r="734">
      <c r="E734" s="81"/>
      <c r="F734" s="81"/>
      <c r="G734" s="81"/>
    </row>
    <row r="735">
      <c r="E735" s="81"/>
      <c r="F735" s="81"/>
      <c r="G735" s="81"/>
    </row>
    <row r="736">
      <c r="E736" s="81"/>
      <c r="F736" s="81"/>
      <c r="G736" s="81"/>
    </row>
    <row r="737">
      <c r="E737" s="81"/>
      <c r="F737" s="81"/>
      <c r="G737" s="81"/>
    </row>
    <row r="738">
      <c r="E738" s="81"/>
      <c r="F738" s="81"/>
      <c r="G738" s="81"/>
    </row>
    <row r="739">
      <c r="E739" s="81"/>
      <c r="F739" s="81"/>
      <c r="G739" s="81"/>
    </row>
    <row r="740">
      <c r="E740" s="81"/>
      <c r="F740" s="81"/>
      <c r="G740" s="81"/>
    </row>
    <row r="741">
      <c r="E741" s="81"/>
      <c r="F741" s="81"/>
      <c r="G741" s="81"/>
    </row>
    <row r="742">
      <c r="E742" s="81"/>
      <c r="F742" s="81"/>
      <c r="G742" s="81"/>
    </row>
    <row r="743">
      <c r="E743" s="81"/>
      <c r="F743" s="81"/>
      <c r="G743" s="81"/>
    </row>
    <row r="744">
      <c r="E744" s="81"/>
      <c r="F744" s="81"/>
      <c r="G744" s="81"/>
    </row>
    <row r="745">
      <c r="E745" s="81"/>
      <c r="F745" s="81"/>
      <c r="G745" s="81"/>
    </row>
    <row r="746">
      <c r="E746" s="81"/>
      <c r="F746" s="81"/>
      <c r="G746" s="81"/>
    </row>
    <row r="747">
      <c r="E747" s="81"/>
      <c r="F747" s="81"/>
      <c r="G747" s="81"/>
    </row>
    <row r="748">
      <c r="E748" s="81"/>
      <c r="F748" s="81"/>
      <c r="G748" s="81"/>
    </row>
    <row r="749">
      <c r="E749" s="81"/>
      <c r="F749" s="81"/>
      <c r="G749" s="81"/>
    </row>
    <row r="750">
      <c r="E750" s="81"/>
      <c r="F750" s="81"/>
      <c r="G750" s="81"/>
    </row>
    <row r="751">
      <c r="E751" s="81"/>
      <c r="F751" s="81"/>
      <c r="G751" s="81"/>
    </row>
    <row r="752">
      <c r="E752" s="81"/>
      <c r="F752" s="81"/>
      <c r="G752" s="81"/>
    </row>
    <row r="753">
      <c r="E753" s="81"/>
      <c r="F753" s="81"/>
      <c r="G753" s="81"/>
    </row>
    <row r="754">
      <c r="E754" s="81"/>
      <c r="F754" s="81"/>
      <c r="G754" s="81"/>
    </row>
    <row r="755">
      <c r="E755" s="81"/>
      <c r="F755" s="81"/>
      <c r="G755" s="81"/>
    </row>
    <row r="756">
      <c r="E756" s="81"/>
      <c r="F756" s="81"/>
      <c r="G756" s="81"/>
    </row>
    <row r="757">
      <c r="E757" s="81"/>
      <c r="F757" s="81"/>
      <c r="G757" s="81"/>
    </row>
    <row r="758">
      <c r="E758" s="81"/>
      <c r="F758" s="81"/>
      <c r="G758" s="81"/>
    </row>
    <row r="759">
      <c r="E759" s="81"/>
      <c r="F759" s="81"/>
      <c r="G759" s="81"/>
    </row>
    <row r="760">
      <c r="E760" s="81"/>
      <c r="F760" s="81"/>
      <c r="G760" s="81"/>
    </row>
    <row r="761">
      <c r="E761" s="81"/>
      <c r="F761" s="81"/>
      <c r="G761" s="81"/>
    </row>
    <row r="762">
      <c r="E762" s="81"/>
      <c r="F762" s="81"/>
      <c r="G762" s="81"/>
    </row>
    <row r="763">
      <c r="E763" s="81"/>
      <c r="F763" s="81"/>
      <c r="G763" s="81"/>
    </row>
    <row r="764">
      <c r="E764" s="81"/>
      <c r="F764" s="81"/>
      <c r="G764" s="81"/>
    </row>
    <row r="765">
      <c r="E765" s="81"/>
      <c r="F765" s="81"/>
      <c r="G765" s="81"/>
    </row>
    <row r="766">
      <c r="E766" s="81"/>
      <c r="F766" s="81"/>
      <c r="G766" s="81"/>
    </row>
    <row r="767">
      <c r="E767" s="81"/>
      <c r="F767" s="81"/>
      <c r="G767" s="81"/>
    </row>
    <row r="768">
      <c r="E768" s="81"/>
      <c r="F768" s="81"/>
      <c r="G768" s="81"/>
    </row>
    <row r="769">
      <c r="E769" s="81"/>
      <c r="F769" s="81"/>
      <c r="G769" s="81"/>
    </row>
    <row r="770">
      <c r="E770" s="81"/>
      <c r="F770" s="81"/>
      <c r="G770" s="81"/>
    </row>
    <row r="771">
      <c r="E771" s="81"/>
      <c r="F771" s="81"/>
      <c r="G771" s="81"/>
    </row>
    <row r="772">
      <c r="E772" s="81"/>
      <c r="F772" s="81"/>
      <c r="G772" s="81"/>
    </row>
    <row r="773">
      <c r="E773" s="81"/>
      <c r="F773" s="81"/>
      <c r="G773" s="81"/>
    </row>
    <row r="774">
      <c r="E774" s="81"/>
      <c r="F774" s="81"/>
      <c r="G774" s="81"/>
    </row>
    <row r="775">
      <c r="E775" s="81"/>
      <c r="F775" s="81"/>
      <c r="G775" s="81"/>
    </row>
    <row r="776">
      <c r="E776" s="81"/>
      <c r="F776" s="81"/>
      <c r="G776" s="81"/>
    </row>
    <row r="777">
      <c r="E777" s="81"/>
      <c r="F777" s="81"/>
      <c r="G777" s="81"/>
    </row>
    <row r="778">
      <c r="E778" s="81"/>
      <c r="F778" s="81"/>
      <c r="G778" s="81"/>
    </row>
    <row r="779">
      <c r="E779" s="81"/>
      <c r="F779" s="81"/>
      <c r="G779" s="81"/>
    </row>
    <row r="780">
      <c r="E780" s="81"/>
      <c r="F780" s="81"/>
      <c r="G780" s="81"/>
    </row>
    <row r="781">
      <c r="E781" s="81"/>
      <c r="F781" s="81"/>
      <c r="G781" s="81"/>
    </row>
    <row r="782">
      <c r="E782" s="81"/>
      <c r="F782" s="81"/>
      <c r="G782" s="81"/>
    </row>
    <row r="783">
      <c r="E783" s="81"/>
      <c r="F783" s="81"/>
      <c r="G783" s="81"/>
    </row>
    <row r="784">
      <c r="E784" s="81"/>
      <c r="F784" s="81"/>
      <c r="G784" s="81"/>
    </row>
    <row r="785">
      <c r="E785" s="81"/>
      <c r="F785" s="81"/>
      <c r="G785" s="81"/>
    </row>
    <row r="786">
      <c r="E786" s="81"/>
      <c r="F786" s="81"/>
      <c r="G786" s="81"/>
    </row>
    <row r="787">
      <c r="E787" s="81"/>
      <c r="F787" s="81"/>
      <c r="G787" s="81"/>
    </row>
    <row r="788">
      <c r="E788" s="81"/>
      <c r="F788" s="81"/>
      <c r="G788" s="81"/>
    </row>
    <row r="789">
      <c r="E789" s="81"/>
      <c r="F789" s="81"/>
      <c r="G789" s="81"/>
    </row>
    <row r="790">
      <c r="E790" s="81"/>
      <c r="F790" s="81"/>
      <c r="G790" s="81"/>
    </row>
    <row r="791">
      <c r="E791" s="81"/>
      <c r="F791" s="81"/>
      <c r="G791" s="81"/>
    </row>
    <row r="792">
      <c r="E792" s="81"/>
      <c r="F792" s="81"/>
      <c r="G792" s="81"/>
    </row>
    <row r="793">
      <c r="E793" s="81"/>
      <c r="F793" s="81"/>
      <c r="G793" s="81"/>
    </row>
    <row r="794">
      <c r="E794" s="81"/>
      <c r="F794" s="81"/>
      <c r="G794" s="81"/>
    </row>
    <row r="795">
      <c r="E795" s="81"/>
      <c r="F795" s="81"/>
      <c r="G795" s="81"/>
    </row>
    <row r="796">
      <c r="E796" s="81"/>
      <c r="F796" s="81"/>
      <c r="G796" s="81"/>
    </row>
    <row r="797">
      <c r="E797" s="81"/>
      <c r="F797" s="81"/>
      <c r="G797" s="81"/>
    </row>
    <row r="798">
      <c r="E798" s="81"/>
      <c r="F798" s="81"/>
      <c r="G798" s="81"/>
    </row>
    <row r="799">
      <c r="E799" s="81"/>
      <c r="F799" s="81"/>
      <c r="G799" s="81"/>
    </row>
    <row r="800">
      <c r="E800" s="81"/>
      <c r="F800" s="81"/>
      <c r="G800" s="81"/>
    </row>
    <row r="801">
      <c r="E801" s="81"/>
      <c r="F801" s="81"/>
      <c r="G801" s="81"/>
    </row>
    <row r="802">
      <c r="E802" s="81"/>
      <c r="F802" s="81"/>
      <c r="G802" s="81"/>
    </row>
    <row r="803">
      <c r="E803" s="81"/>
      <c r="F803" s="81"/>
      <c r="G803" s="81"/>
    </row>
    <row r="804">
      <c r="E804" s="81"/>
      <c r="F804" s="81"/>
      <c r="G804" s="81"/>
    </row>
    <row r="805">
      <c r="E805" s="81"/>
      <c r="F805" s="81"/>
      <c r="G805" s="81"/>
    </row>
    <row r="806">
      <c r="E806" s="81"/>
      <c r="F806" s="81"/>
      <c r="G806" s="81"/>
    </row>
    <row r="807">
      <c r="E807" s="81"/>
      <c r="F807" s="81"/>
      <c r="G807" s="81"/>
    </row>
    <row r="808">
      <c r="E808" s="81"/>
      <c r="F808" s="81"/>
      <c r="G808" s="81"/>
    </row>
    <row r="809">
      <c r="E809" s="81"/>
      <c r="F809" s="81"/>
      <c r="G809" s="81"/>
    </row>
    <row r="810">
      <c r="E810" s="81"/>
      <c r="F810" s="81"/>
      <c r="G810" s="81"/>
    </row>
    <row r="811">
      <c r="E811" s="81"/>
      <c r="F811" s="81"/>
      <c r="G811" s="81"/>
    </row>
    <row r="812">
      <c r="E812" s="81"/>
      <c r="F812" s="81"/>
      <c r="G812" s="81"/>
    </row>
    <row r="813">
      <c r="E813" s="81"/>
      <c r="F813" s="81"/>
      <c r="G813" s="81"/>
    </row>
    <row r="814">
      <c r="E814" s="81"/>
      <c r="F814" s="81"/>
      <c r="G814" s="81"/>
    </row>
    <row r="815">
      <c r="E815" s="81"/>
      <c r="F815" s="81"/>
      <c r="G815" s="81"/>
    </row>
    <row r="816">
      <c r="E816" s="81"/>
      <c r="F816" s="81"/>
      <c r="G816" s="81"/>
    </row>
    <row r="817">
      <c r="E817" s="81"/>
      <c r="F817" s="81"/>
      <c r="G817" s="81"/>
    </row>
    <row r="818">
      <c r="E818" s="81"/>
      <c r="F818" s="81"/>
      <c r="G818" s="81"/>
    </row>
    <row r="819">
      <c r="E819" s="81"/>
      <c r="F819" s="81"/>
      <c r="G819" s="81"/>
    </row>
    <row r="820">
      <c r="E820" s="81"/>
      <c r="F820" s="81"/>
      <c r="G820" s="81"/>
    </row>
    <row r="821">
      <c r="E821" s="81"/>
      <c r="F821" s="81"/>
      <c r="G821" s="81"/>
    </row>
    <row r="822">
      <c r="E822" s="81"/>
      <c r="F822" s="81"/>
      <c r="G822" s="81"/>
    </row>
    <row r="823">
      <c r="E823" s="81"/>
      <c r="F823" s="81"/>
      <c r="G823" s="81"/>
    </row>
    <row r="824">
      <c r="E824" s="81"/>
      <c r="F824" s="81"/>
      <c r="G824" s="81"/>
    </row>
    <row r="825">
      <c r="E825" s="81"/>
      <c r="F825" s="81"/>
      <c r="G825" s="81"/>
    </row>
    <row r="826">
      <c r="E826" s="81"/>
      <c r="F826" s="81"/>
      <c r="G826" s="81"/>
    </row>
    <row r="827">
      <c r="E827" s="81"/>
      <c r="F827" s="81"/>
      <c r="G827" s="81"/>
    </row>
    <row r="828">
      <c r="E828" s="81"/>
      <c r="F828" s="81"/>
      <c r="G828" s="81"/>
    </row>
    <row r="829">
      <c r="E829" s="81"/>
      <c r="F829" s="81"/>
      <c r="G829" s="81"/>
    </row>
    <row r="830">
      <c r="E830" s="81"/>
      <c r="F830" s="81"/>
      <c r="G830" s="81"/>
    </row>
    <row r="831">
      <c r="E831" s="81"/>
      <c r="F831" s="81"/>
      <c r="G831" s="81"/>
    </row>
    <row r="832">
      <c r="E832" s="81"/>
      <c r="F832" s="81"/>
      <c r="G832" s="81"/>
    </row>
    <row r="833">
      <c r="E833" s="81"/>
      <c r="F833" s="81"/>
      <c r="G833" s="81"/>
    </row>
    <row r="834">
      <c r="E834" s="81"/>
      <c r="F834" s="81"/>
      <c r="G834" s="81"/>
    </row>
    <row r="835">
      <c r="E835" s="81"/>
      <c r="F835" s="81"/>
      <c r="G835" s="81"/>
    </row>
    <row r="836">
      <c r="E836" s="81"/>
      <c r="F836" s="81"/>
      <c r="G836" s="81"/>
    </row>
    <row r="837">
      <c r="E837" s="81"/>
      <c r="F837" s="81"/>
      <c r="G837" s="81"/>
    </row>
    <row r="838">
      <c r="E838" s="81"/>
      <c r="F838" s="81"/>
      <c r="G838" s="81"/>
    </row>
    <row r="839">
      <c r="E839" s="81"/>
      <c r="F839" s="81"/>
      <c r="G839" s="81"/>
    </row>
    <row r="840">
      <c r="E840" s="81"/>
      <c r="F840" s="81"/>
      <c r="G840" s="81"/>
    </row>
    <row r="841">
      <c r="E841" s="81"/>
      <c r="F841" s="81"/>
      <c r="G841" s="81"/>
    </row>
    <row r="842">
      <c r="E842" s="81"/>
      <c r="F842" s="81"/>
      <c r="G842" s="81"/>
    </row>
    <row r="843">
      <c r="E843" s="81"/>
      <c r="F843" s="81"/>
      <c r="G843" s="81"/>
    </row>
    <row r="844">
      <c r="E844" s="81"/>
      <c r="F844" s="81"/>
      <c r="G844" s="81"/>
    </row>
    <row r="845">
      <c r="E845" s="81"/>
      <c r="F845" s="81"/>
      <c r="G845" s="81"/>
    </row>
    <row r="846">
      <c r="E846" s="81"/>
      <c r="F846" s="81"/>
      <c r="G846" s="81"/>
    </row>
    <row r="847">
      <c r="E847" s="81"/>
      <c r="F847" s="81"/>
      <c r="G847" s="81"/>
    </row>
    <row r="848">
      <c r="E848" s="81"/>
      <c r="F848" s="81"/>
      <c r="G848" s="81"/>
    </row>
    <row r="849">
      <c r="E849" s="81"/>
      <c r="F849" s="81"/>
      <c r="G849" s="81"/>
    </row>
    <row r="850">
      <c r="E850" s="81"/>
      <c r="F850" s="81"/>
      <c r="G850" s="81"/>
    </row>
    <row r="851">
      <c r="E851" s="81"/>
      <c r="F851" s="81"/>
      <c r="G851" s="81"/>
    </row>
    <row r="852">
      <c r="E852" s="81"/>
      <c r="F852" s="81"/>
      <c r="G852" s="81"/>
    </row>
    <row r="853">
      <c r="E853" s="81"/>
      <c r="F853" s="81"/>
      <c r="G853" s="81"/>
    </row>
    <row r="854">
      <c r="E854" s="81"/>
      <c r="F854" s="81"/>
      <c r="G854" s="81"/>
    </row>
    <row r="855">
      <c r="E855" s="81"/>
      <c r="F855" s="81"/>
      <c r="G855" s="81"/>
    </row>
    <row r="856">
      <c r="E856" s="81"/>
      <c r="F856" s="81"/>
      <c r="G856" s="81"/>
    </row>
    <row r="857">
      <c r="E857" s="81"/>
      <c r="F857" s="81"/>
      <c r="G857" s="81"/>
    </row>
    <row r="858">
      <c r="E858" s="81"/>
      <c r="F858" s="81"/>
      <c r="G858" s="81"/>
    </row>
    <row r="859">
      <c r="E859" s="81"/>
      <c r="F859" s="81"/>
      <c r="G859" s="81"/>
    </row>
    <row r="860">
      <c r="E860" s="81"/>
      <c r="F860" s="81"/>
      <c r="G860" s="81"/>
    </row>
    <row r="861">
      <c r="E861" s="81"/>
      <c r="F861" s="81"/>
      <c r="G861" s="81"/>
    </row>
    <row r="862">
      <c r="E862" s="81"/>
      <c r="F862" s="81"/>
      <c r="G862" s="81"/>
    </row>
    <row r="863">
      <c r="E863" s="81"/>
      <c r="F863" s="81"/>
      <c r="G863" s="81"/>
    </row>
    <row r="864">
      <c r="E864" s="81"/>
      <c r="F864" s="81"/>
      <c r="G864" s="81"/>
    </row>
    <row r="865">
      <c r="E865" s="81"/>
      <c r="F865" s="81"/>
      <c r="G865" s="81"/>
    </row>
    <row r="866">
      <c r="E866" s="81"/>
      <c r="F866" s="81"/>
      <c r="G866" s="81"/>
    </row>
    <row r="867">
      <c r="E867" s="81"/>
      <c r="F867" s="81"/>
      <c r="G867" s="81"/>
    </row>
    <row r="868">
      <c r="E868" s="81"/>
      <c r="F868" s="81"/>
      <c r="G868" s="81"/>
    </row>
    <row r="869">
      <c r="E869" s="81"/>
      <c r="F869" s="81"/>
      <c r="G869" s="81"/>
    </row>
    <row r="870">
      <c r="E870" s="81"/>
      <c r="F870" s="81"/>
      <c r="G870" s="81"/>
    </row>
    <row r="871">
      <c r="E871" s="81"/>
      <c r="F871" s="81"/>
      <c r="G871" s="81"/>
    </row>
    <row r="872">
      <c r="E872" s="81"/>
      <c r="F872" s="81"/>
      <c r="G872" s="81"/>
    </row>
    <row r="873">
      <c r="E873" s="81"/>
      <c r="F873" s="81"/>
      <c r="G873" s="81"/>
    </row>
    <row r="874">
      <c r="E874" s="81"/>
      <c r="F874" s="81"/>
      <c r="G874" s="81"/>
    </row>
    <row r="875">
      <c r="E875" s="81"/>
      <c r="F875" s="81"/>
      <c r="G875" s="81"/>
    </row>
    <row r="876">
      <c r="E876" s="81"/>
      <c r="F876" s="81"/>
      <c r="G876" s="81"/>
    </row>
    <row r="877">
      <c r="E877" s="81"/>
      <c r="F877" s="81"/>
      <c r="G877" s="81"/>
    </row>
    <row r="878">
      <c r="E878" s="81"/>
      <c r="F878" s="81"/>
      <c r="G878" s="81"/>
    </row>
    <row r="879">
      <c r="E879" s="81"/>
      <c r="F879" s="81"/>
      <c r="G879" s="81"/>
    </row>
    <row r="880">
      <c r="E880" s="81"/>
      <c r="F880" s="81"/>
      <c r="G880" s="81"/>
    </row>
    <row r="881">
      <c r="E881" s="81"/>
      <c r="F881" s="81"/>
      <c r="G881" s="81"/>
    </row>
    <row r="882">
      <c r="E882" s="81"/>
      <c r="F882" s="81"/>
      <c r="G882" s="81"/>
    </row>
    <row r="883">
      <c r="E883" s="81"/>
      <c r="F883" s="81"/>
      <c r="G883" s="81"/>
    </row>
    <row r="884">
      <c r="E884" s="81"/>
      <c r="F884" s="81"/>
      <c r="G884" s="81"/>
    </row>
    <row r="885">
      <c r="E885" s="81"/>
      <c r="F885" s="81"/>
      <c r="G885" s="81"/>
    </row>
    <row r="886">
      <c r="E886" s="81"/>
      <c r="F886" s="81"/>
      <c r="G886" s="81"/>
    </row>
    <row r="887">
      <c r="E887" s="81"/>
      <c r="F887" s="81"/>
      <c r="G887" s="81"/>
    </row>
    <row r="888">
      <c r="E888" s="81"/>
      <c r="F888" s="81"/>
      <c r="G888" s="81"/>
    </row>
    <row r="889">
      <c r="E889" s="81"/>
      <c r="F889" s="81"/>
      <c r="G889" s="81"/>
    </row>
    <row r="890">
      <c r="E890" s="81"/>
      <c r="F890" s="81"/>
      <c r="G890" s="81"/>
    </row>
    <row r="891">
      <c r="E891" s="81"/>
      <c r="F891" s="81"/>
      <c r="G891" s="81"/>
    </row>
    <row r="892">
      <c r="E892" s="81"/>
      <c r="F892" s="81"/>
      <c r="G892" s="81"/>
    </row>
    <row r="893">
      <c r="E893" s="81"/>
      <c r="F893" s="81"/>
      <c r="G893" s="81"/>
    </row>
    <row r="894">
      <c r="E894" s="81"/>
      <c r="F894" s="81"/>
      <c r="G894" s="81"/>
    </row>
    <row r="895">
      <c r="E895" s="81"/>
      <c r="F895" s="81"/>
      <c r="G895" s="81"/>
    </row>
    <row r="896">
      <c r="E896" s="81"/>
      <c r="F896" s="81"/>
      <c r="G896" s="81"/>
    </row>
    <row r="897">
      <c r="E897" s="81"/>
      <c r="F897" s="81"/>
      <c r="G897" s="81"/>
    </row>
    <row r="898">
      <c r="E898" s="81"/>
      <c r="F898" s="81"/>
      <c r="G898" s="81"/>
    </row>
    <row r="899">
      <c r="E899" s="81"/>
      <c r="F899" s="81"/>
      <c r="G899" s="81"/>
    </row>
    <row r="900">
      <c r="E900" s="81"/>
      <c r="F900" s="81"/>
      <c r="G900" s="81"/>
    </row>
    <row r="901">
      <c r="E901" s="81"/>
      <c r="F901" s="81"/>
      <c r="G901" s="81"/>
    </row>
    <row r="902">
      <c r="E902" s="81"/>
      <c r="F902" s="81"/>
      <c r="G902" s="81"/>
    </row>
    <row r="903">
      <c r="E903" s="81"/>
      <c r="F903" s="81"/>
      <c r="G903" s="81"/>
    </row>
    <row r="904">
      <c r="E904" s="81"/>
      <c r="F904" s="81"/>
      <c r="G904" s="81"/>
    </row>
    <row r="905">
      <c r="E905" s="81"/>
      <c r="F905" s="81"/>
      <c r="G905" s="81"/>
    </row>
    <row r="906">
      <c r="E906" s="81"/>
      <c r="F906" s="81"/>
      <c r="G906" s="81"/>
    </row>
    <row r="907">
      <c r="E907" s="81"/>
      <c r="F907" s="81"/>
      <c r="G907" s="81"/>
    </row>
    <row r="908">
      <c r="E908" s="81"/>
      <c r="F908" s="81"/>
      <c r="G908" s="81"/>
    </row>
    <row r="909">
      <c r="E909" s="81"/>
      <c r="F909" s="81"/>
      <c r="G909" s="81"/>
    </row>
    <row r="910">
      <c r="E910" s="81"/>
      <c r="F910" s="81"/>
      <c r="G910" s="81"/>
    </row>
    <row r="911">
      <c r="E911" s="81"/>
      <c r="F911" s="81"/>
      <c r="G911" s="81"/>
    </row>
    <row r="912">
      <c r="E912" s="81"/>
      <c r="F912" s="81"/>
      <c r="G912" s="81"/>
    </row>
    <row r="913">
      <c r="E913" s="81"/>
      <c r="F913" s="81"/>
      <c r="G913" s="81"/>
    </row>
    <row r="914">
      <c r="E914" s="81"/>
      <c r="F914" s="81"/>
      <c r="G914" s="81"/>
    </row>
    <row r="915">
      <c r="E915" s="81"/>
      <c r="F915" s="81"/>
      <c r="G915" s="81"/>
    </row>
    <row r="916">
      <c r="E916" s="81"/>
      <c r="F916" s="81"/>
      <c r="G916" s="81"/>
    </row>
    <row r="917">
      <c r="E917" s="81"/>
      <c r="F917" s="81"/>
      <c r="G917" s="81"/>
    </row>
    <row r="918">
      <c r="E918" s="81"/>
      <c r="F918" s="81"/>
      <c r="G918" s="81"/>
    </row>
    <row r="919">
      <c r="E919" s="81"/>
      <c r="F919" s="81"/>
      <c r="G919" s="81"/>
    </row>
    <row r="920">
      <c r="E920" s="81"/>
      <c r="F920" s="81"/>
      <c r="G920" s="81"/>
    </row>
    <row r="921">
      <c r="E921" s="81"/>
      <c r="F921" s="81"/>
      <c r="G921" s="81"/>
    </row>
    <row r="922">
      <c r="E922" s="81"/>
      <c r="F922" s="81"/>
      <c r="G922" s="81"/>
    </row>
    <row r="923">
      <c r="E923" s="81"/>
      <c r="F923" s="81"/>
      <c r="G923" s="81"/>
    </row>
    <row r="924">
      <c r="E924" s="81"/>
      <c r="F924" s="81"/>
      <c r="G924" s="81"/>
    </row>
    <row r="925">
      <c r="E925" s="81"/>
      <c r="F925" s="81"/>
      <c r="G925" s="81"/>
    </row>
    <row r="926">
      <c r="E926" s="81"/>
      <c r="F926" s="81"/>
      <c r="G926" s="81"/>
    </row>
    <row r="927">
      <c r="E927" s="81"/>
      <c r="F927" s="81"/>
      <c r="G927" s="81"/>
    </row>
    <row r="928">
      <c r="E928" s="81"/>
      <c r="F928" s="81"/>
      <c r="G928" s="81"/>
    </row>
    <row r="929">
      <c r="E929" s="81"/>
      <c r="F929" s="81"/>
      <c r="G929" s="81"/>
    </row>
    <row r="930">
      <c r="E930" s="81"/>
      <c r="F930" s="81"/>
      <c r="G930" s="81"/>
    </row>
    <row r="931">
      <c r="E931" s="81"/>
      <c r="F931" s="81"/>
      <c r="G931" s="81"/>
    </row>
    <row r="932">
      <c r="E932" s="81"/>
      <c r="F932" s="81"/>
      <c r="G932" s="81"/>
    </row>
    <row r="933">
      <c r="E933" s="81"/>
      <c r="F933" s="81"/>
      <c r="G933" s="81"/>
    </row>
    <row r="934">
      <c r="E934" s="81"/>
      <c r="F934" s="81"/>
      <c r="G934" s="81"/>
    </row>
    <row r="935">
      <c r="E935" s="81"/>
      <c r="F935" s="81"/>
      <c r="G935" s="81"/>
    </row>
    <row r="936">
      <c r="E936" s="81"/>
      <c r="F936" s="81"/>
      <c r="G936" s="81"/>
    </row>
    <row r="937">
      <c r="E937" s="81"/>
      <c r="F937" s="81"/>
      <c r="G937" s="81"/>
    </row>
    <row r="938">
      <c r="E938" s="81"/>
      <c r="F938" s="81"/>
      <c r="G938" s="81"/>
    </row>
    <row r="939">
      <c r="E939" s="81"/>
      <c r="F939" s="81"/>
      <c r="G939" s="81"/>
    </row>
    <row r="940">
      <c r="E940" s="81"/>
      <c r="F940" s="81"/>
      <c r="G940" s="81"/>
    </row>
    <row r="941">
      <c r="E941" s="81"/>
      <c r="F941" s="81"/>
      <c r="G941" s="81"/>
    </row>
    <row r="942">
      <c r="E942" s="81"/>
      <c r="F942" s="81"/>
      <c r="G942" s="81"/>
    </row>
    <row r="943">
      <c r="E943" s="81"/>
      <c r="F943" s="81"/>
      <c r="G943" s="81"/>
    </row>
    <row r="944">
      <c r="E944" s="81"/>
      <c r="F944" s="81"/>
      <c r="G944" s="81"/>
    </row>
    <row r="945">
      <c r="E945" s="81"/>
      <c r="F945" s="81"/>
      <c r="G945" s="81"/>
    </row>
    <row r="946">
      <c r="E946" s="81"/>
      <c r="F946" s="81"/>
      <c r="G946" s="81"/>
    </row>
    <row r="947">
      <c r="E947" s="81"/>
      <c r="F947" s="81"/>
      <c r="G947" s="81"/>
    </row>
    <row r="948">
      <c r="E948" s="81"/>
      <c r="F948" s="81"/>
      <c r="G948" s="81"/>
    </row>
    <row r="949">
      <c r="E949" s="81"/>
      <c r="F949" s="81"/>
      <c r="G949" s="81"/>
    </row>
    <row r="950">
      <c r="E950" s="81"/>
      <c r="F950" s="81"/>
      <c r="G950" s="81"/>
    </row>
    <row r="951">
      <c r="E951" s="81"/>
      <c r="F951" s="81"/>
      <c r="G951" s="81"/>
    </row>
    <row r="952">
      <c r="E952" s="81"/>
      <c r="F952" s="81"/>
      <c r="G952" s="81"/>
    </row>
    <row r="953">
      <c r="E953" s="81"/>
      <c r="F953" s="81"/>
      <c r="G953" s="81"/>
    </row>
    <row r="954">
      <c r="E954" s="81"/>
      <c r="F954" s="81"/>
      <c r="G954" s="81"/>
    </row>
    <row r="955">
      <c r="E955" s="81"/>
      <c r="F955" s="81"/>
      <c r="G955" s="81"/>
    </row>
    <row r="956">
      <c r="E956" s="81"/>
      <c r="F956" s="81"/>
      <c r="G956" s="81"/>
    </row>
    <row r="957">
      <c r="E957" s="81"/>
      <c r="F957" s="81"/>
      <c r="G957" s="81"/>
    </row>
    <row r="958">
      <c r="E958" s="81"/>
      <c r="F958" s="81"/>
      <c r="G958" s="81"/>
    </row>
    <row r="959">
      <c r="E959" s="81"/>
      <c r="F959" s="81"/>
      <c r="G959" s="81"/>
    </row>
    <row r="960">
      <c r="E960" s="81"/>
      <c r="F960" s="81"/>
      <c r="G960" s="81"/>
    </row>
    <row r="961">
      <c r="E961" s="81"/>
      <c r="F961" s="81"/>
      <c r="G961" s="81"/>
    </row>
    <row r="962">
      <c r="E962" s="81"/>
      <c r="F962" s="81"/>
      <c r="G962" s="81"/>
    </row>
    <row r="963">
      <c r="E963" s="81"/>
      <c r="F963" s="81"/>
      <c r="G963" s="81"/>
    </row>
    <row r="964">
      <c r="E964" s="81"/>
      <c r="F964" s="81"/>
      <c r="G964" s="81"/>
    </row>
    <row r="965">
      <c r="E965" s="81"/>
      <c r="F965" s="81"/>
      <c r="G965" s="81"/>
    </row>
    <row r="966">
      <c r="E966" s="81"/>
      <c r="F966" s="81"/>
      <c r="G966" s="81"/>
    </row>
    <row r="967">
      <c r="E967" s="81"/>
      <c r="F967" s="81"/>
      <c r="G967" s="81"/>
    </row>
    <row r="968">
      <c r="E968" s="81"/>
      <c r="F968" s="81"/>
      <c r="G968" s="81"/>
    </row>
    <row r="969">
      <c r="E969" s="81"/>
      <c r="F969" s="81"/>
      <c r="G969" s="81"/>
    </row>
    <row r="970">
      <c r="E970" s="81"/>
      <c r="F970" s="81"/>
      <c r="G970" s="81"/>
    </row>
    <row r="971">
      <c r="E971" s="81"/>
      <c r="F971" s="81"/>
      <c r="G971" s="81"/>
    </row>
    <row r="972">
      <c r="E972" s="81"/>
      <c r="F972" s="81"/>
      <c r="G972" s="81"/>
    </row>
    <row r="973">
      <c r="E973" s="81"/>
      <c r="F973" s="81"/>
      <c r="G973" s="81"/>
    </row>
    <row r="974">
      <c r="E974" s="81"/>
      <c r="F974" s="81"/>
      <c r="G974" s="81"/>
    </row>
    <row r="975">
      <c r="E975" s="81"/>
      <c r="F975" s="81"/>
      <c r="G975" s="81"/>
    </row>
    <row r="976">
      <c r="E976" s="81"/>
      <c r="F976" s="81"/>
      <c r="G976" s="81"/>
    </row>
    <row r="977">
      <c r="E977" s="81"/>
      <c r="F977" s="81"/>
      <c r="G977" s="81"/>
    </row>
    <row r="978">
      <c r="E978" s="81"/>
      <c r="F978" s="81"/>
      <c r="G978" s="81"/>
    </row>
    <row r="979">
      <c r="E979" s="81"/>
      <c r="F979" s="81"/>
      <c r="G979" s="81"/>
    </row>
    <row r="980">
      <c r="E980" s="81"/>
      <c r="F980" s="81"/>
      <c r="G980" s="81"/>
    </row>
    <row r="981">
      <c r="E981" s="81"/>
      <c r="F981" s="81"/>
      <c r="G981" s="81"/>
    </row>
    <row r="982">
      <c r="E982" s="81"/>
      <c r="F982" s="81"/>
      <c r="G982" s="81"/>
    </row>
    <row r="983">
      <c r="E983" s="81"/>
      <c r="F983" s="81"/>
      <c r="G983" s="81"/>
    </row>
    <row r="984">
      <c r="E984" s="81"/>
      <c r="F984" s="81"/>
      <c r="G984" s="81"/>
    </row>
    <row r="985">
      <c r="E985" s="81"/>
      <c r="F985" s="81"/>
      <c r="G985" s="81"/>
    </row>
    <row r="986">
      <c r="E986" s="81"/>
      <c r="F986" s="81"/>
      <c r="G986" s="81"/>
    </row>
    <row r="987">
      <c r="E987" s="81"/>
      <c r="F987" s="81"/>
      <c r="G987" s="81"/>
    </row>
    <row r="988">
      <c r="E988" s="81"/>
      <c r="F988" s="81"/>
      <c r="G988" s="81"/>
    </row>
    <row r="989">
      <c r="E989" s="81"/>
      <c r="F989" s="81"/>
      <c r="G989" s="81"/>
    </row>
    <row r="990">
      <c r="E990" s="81"/>
      <c r="F990" s="81"/>
      <c r="G990" s="81"/>
    </row>
    <row r="991">
      <c r="E991" s="81"/>
      <c r="F991" s="81"/>
      <c r="G991" s="81"/>
    </row>
    <row r="992">
      <c r="E992" s="81"/>
      <c r="F992" s="81"/>
      <c r="G992" s="81"/>
    </row>
    <row r="993">
      <c r="E993" s="81"/>
      <c r="F993" s="81"/>
      <c r="G993" s="81"/>
    </row>
    <row r="994">
      <c r="E994" s="81"/>
      <c r="F994" s="81"/>
      <c r="G994" s="81"/>
    </row>
    <row r="995">
      <c r="E995" s="81"/>
      <c r="F995" s="81"/>
      <c r="G995" s="81"/>
    </row>
    <row r="996">
      <c r="E996" s="81"/>
      <c r="F996" s="81"/>
      <c r="G996" s="81"/>
    </row>
    <row r="997">
      <c r="E997" s="81"/>
      <c r="F997" s="81"/>
      <c r="G997" s="81"/>
    </row>
    <row r="998">
      <c r="E998" s="81"/>
      <c r="F998" s="81"/>
      <c r="G998" s="81"/>
    </row>
    <row r="999">
      <c r="E999" s="81"/>
      <c r="F999" s="81"/>
      <c r="G999" s="81"/>
    </row>
    <row r="1000">
      <c r="E1000" s="81"/>
      <c r="F1000" s="81"/>
      <c r="G1000" s="81"/>
    </row>
  </sheetData>
  <mergeCells count="7">
    <mergeCell ref="A3:A10"/>
    <mergeCell ref="A12:A20"/>
    <mergeCell ref="A21:A22"/>
    <mergeCell ref="A24:A25"/>
    <mergeCell ref="A27:A28"/>
    <mergeCell ref="A31:A32"/>
    <mergeCell ref="A33:C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6.14"/>
    <col customWidth="1" min="2" max="2" width="28.0"/>
    <col customWidth="1" min="7" max="7" width="17.0"/>
    <col customWidth="1" min="8" max="8" width="29.29"/>
    <col customWidth="1" min="12" max="12" width="29.0"/>
    <col customWidth="1" min="13" max="13" width="43.57"/>
    <col customWidth="1" min="14" max="14" width="26.43"/>
    <col customWidth="1" min="16" max="16" width="15.43"/>
  </cols>
  <sheetData>
    <row r="1">
      <c r="A1" s="82" t="s">
        <v>2</v>
      </c>
      <c r="B1" s="82" t="s">
        <v>117</v>
      </c>
      <c r="C1" s="82" t="s">
        <v>118</v>
      </c>
      <c r="D1" s="82" t="s">
        <v>119</v>
      </c>
      <c r="E1" s="82" t="s">
        <v>120</v>
      </c>
      <c r="F1" s="82" t="s">
        <v>121</v>
      </c>
      <c r="G1" s="82" t="s">
        <v>122</v>
      </c>
      <c r="H1" s="82" t="s">
        <v>21</v>
      </c>
      <c r="I1" s="83" t="s">
        <v>123</v>
      </c>
      <c r="J1" s="82" t="s">
        <v>124</v>
      </c>
      <c r="K1" s="82" t="s">
        <v>125</v>
      </c>
      <c r="L1" s="82" t="s">
        <v>126</v>
      </c>
      <c r="M1" s="82" t="s">
        <v>127</v>
      </c>
      <c r="N1" s="84" t="s">
        <v>128</v>
      </c>
      <c r="O1" s="83"/>
      <c r="P1" s="83" t="s">
        <v>129</v>
      </c>
      <c r="Q1" s="84" t="s">
        <v>130</v>
      </c>
    </row>
    <row r="2">
      <c r="A2" s="85">
        <v>1.0</v>
      </c>
      <c r="B2" s="3" t="s">
        <v>25</v>
      </c>
      <c r="C2" s="18">
        <f>'廠商一覽表'!D3</f>
        <v>100000</v>
      </c>
      <c r="D2">
        <f>'廠商一覽表'!U3</f>
        <v>100000</v>
      </c>
      <c r="E2" t="str">
        <f t="shared" ref="E2:E21" si="1">if(D2&lt;&gt;C2,C2-D2,"--")</f>
        <v>--</v>
      </c>
      <c r="F2" s="86">
        <f>'廠商一覽表'!T3</f>
        <v>43002</v>
      </c>
      <c r="G2" s="87" t="s">
        <v>131</v>
      </c>
      <c r="H2" s="39" t="s">
        <v>132</v>
      </c>
      <c r="I2" s="88" t="s">
        <v>133</v>
      </c>
      <c r="J2" s="89" t="s">
        <v>134</v>
      </c>
      <c r="K2" s="54">
        <v>43039.0</v>
      </c>
      <c r="L2" s="39" t="s">
        <v>135</v>
      </c>
      <c r="M2" s="39" t="s">
        <v>136</v>
      </c>
      <c r="N2" s="90"/>
      <c r="O2" s="91"/>
      <c r="P2" s="91"/>
      <c r="Q2" s="90"/>
    </row>
    <row r="3">
      <c r="A3" s="85">
        <v>2.0</v>
      </c>
      <c r="B3" s="29" t="s">
        <v>32</v>
      </c>
      <c r="C3" s="18">
        <f>'廠商一覽表'!D4</f>
        <v>20000</v>
      </c>
      <c r="D3">
        <f>'廠商一覽表'!U4</f>
        <v>19970</v>
      </c>
      <c r="E3" s="73">
        <f t="shared" si="1"/>
        <v>30</v>
      </c>
      <c r="F3" s="86">
        <f>'廠商一覽表'!T4</f>
        <v>42993</v>
      </c>
      <c r="G3" s="87" t="s">
        <v>137</v>
      </c>
      <c r="H3" s="39" t="s">
        <v>138</v>
      </c>
      <c r="I3" s="88" t="s">
        <v>139</v>
      </c>
      <c r="J3" s="89" t="s">
        <v>140</v>
      </c>
      <c r="K3" s="54">
        <v>43039.0</v>
      </c>
      <c r="L3" s="39" t="s">
        <v>141</v>
      </c>
      <c r="M3" s="39" t="s">
        <v>142</v>
      </c>
      <c r="N3" s="90"/>
      <c r="O3" s="91"/>
      <c r="P3" s="91"/>
      <c r="Q3" s="90"/>
    </row>
    <row r="4">
      <c r="A4" s="85">
        <v>3.0</v>
      </c>
      <c r="B4" s="32" t="s">
        <v>143</v>
      </c>
      <c r="C4" s="18">
        <f>'廠商一覽表'!D5</f>
        <v>100000</v>
      </c>
      <c r="D4">
        <f>'廠商一覽表'!U5</f>
        <v>99990</v>
      </c>
      <c r="E4" s="73">
        <f t="shared" si="1"/>
        <v>10</v>
      </c>
      <c r="F4" s="92">
        <f>'廠商一覽表'!T5</f>
        <v>43033</v>
      </c>
      <c r="G4" s="87" t="s">
        <v>143</v>
      </c>
      <c r="H4" s="39" t="s">
        <v>144</v>
      </c>
      <c r="I4" s="88" t="s">
        <v>145</v>
      </c>
      <c r="J4" s="89" t="s">
        <v>146</v>
      </c>
      <c r="K4" s="54">
        <v>43039.0</v>
      </c>
      <c r="L4" s="39" t="s">
        <v>147</v>
      </c>
      <c r="M4" s="39" t="s">
        <v>148</v>
      </c>
      <c r="N4" s="90"/>
      <c r="O4" s="91"/>
      <c r="P4" s="91"/>
      <c r="Q4" s="90"/>
    </row>
    <row r="5">
      <c r="A5" s="85">
        <v>5.0</v>
      </c>
      <c r="B5" s="39" t="s">
        <v>49</v>
      </c>
      <c r="C5" s="18">
        <f>'廠商一覽表'!D37</f>
        <v>25000</v>
      </c>
      <c r="D5">
        <f>25000</f>
        <v>25000</v>
      </c>
      <c r="E5" t="str">
        <f t="shared" si="1"/>
        <v>--</v>
      </c>
      <c r="F5" t="str">
        <f>'廠商一覽表'!T37</f>
        <v/>
      </c>
      <c r="I5" s="91"/>
      <c r="J5" s="39" t="s">
        <v>149</v>
      </c>
      <c r="M5" s="93"/>
      <c r="N5" s="94"/>
      <c r="O5" s="91"/>
      <c r="P5" s="91"/>
      <c r="Q5" s="90"/>
    </row>
    <row r="6">
      <c r="A6" s="85">
        <v>4.0</v>
      </c>
      <c r="B6" s="32" t="s">
        <v>41</v>
      </c>
      <c r="C6" s="18">
        <f>'廠商一覽表'!D6</f>
        <v>100000</v>
      </c>
      <c r="D6">
        <f>'廠商一覽表'!U6</f>
        <v>100000</v>
      </c>
      <c r="E6" t="str">
        <f t="shared" si="1"/>
        <v>--</v>
      </c>
      <c r="F6" t="str">
        <f>'廠商一覽表'!T6</f>
        <v/>
      </c>
      <c r="I6" s="91"/>
      <c r="J6" s="39" t="s">
        <v>150</v>
      </c>
      <c r="N6" s="90"/>
      <c r="O6" s="91"/>
      <c r="P6" s="91"/>
      <c r="Q6" s="90"/>
    </row>
    <row r="7">
      <c r="A7" s="85">
        <v>6.0</v>
      </c>
      <c r="B7" s="39" t="s">
        <v>51</v>
      </c>
      <c r="C7" s="18">
        <f>'廠商一覽表'!D9</f>
        <v>20000</v>
      </c>
      <c r="D7">
        <f>'廠商一覽表'!U9</f>
        <v>20000</v>
      </c>
      <c r="E7" t="str">
        <f t="shared" si="1"/>
        <v>--</v>
      </c>
      <c r="F7" t="str">
        <f>'廠商一覽表'!T9</f>
        <v/>
      </c>
      <c r="I7" s="91"/>
      <c r="J7" s="39" t="s">
        <v>149</v>
      </c>
      <c r="M7" s="93"/>
      <c r="N7" s="94"/>
      <c r="O7" s="91"/>
      <c r="P7" s="91"/>
      <c r="Q7" s="90"/>
    </row>
    <row r="8">
      <c r="A8" s="85">
        <v>7.0</v>
      </c>
      <c r="B8" s="39" t="s">
        <v>53</v>
      </c>
      <c r="C8" s="18">
        <f>'廠商一覽表'!D10</f>
        <v>100000</v>
      </c>
      <c r="D8">
        <f>'廠商一覽表'!U10</f>
        <v>100000</v>
      </c>
      <c r="E8" t="str">
        <f t="shared" si="1"/>
        <v>--</v>
      </c>
      <c r="F8" s="92">
        <f>'廠商一覽表'!T10</f>
        <v>43032</v>
      </c>
      <c r="G8" s="95" t="s">
        <v>151</v>
      </c>
      <c r="H8" s="39" t="s">
        <v>152</v>
      </c>
      <c r="I8" s="88" t="s">
        <v>153</v>
      </c>
      <c r="J8" s="89" t="s">
        <v>154</v>
      </c>
      <c r="K8" s="54">
        <v>43039.0</v>
      </c>
      <c r="L8" s="39" t="s">
        <v>155</v>
      </c>
      <c r="M8" s="96" t="s">
        <v>156</v>
      </c>
      <c r="N8" s="94"/>
      <c r="O8" s="91"/>
      <c r="P8" s="91"/>
      <c r="Q8" s="90"/>
    </row>
    <row r="9">
      <c r="A9" s="85">
        <v>8.0</v>
      </c>
      <c r="B9" s="53" t="s">
        <v>57</v>
      </c>
      <c r="C9" s="97">
        <f>'廠商一覽表'!D35</f>
        <v>110000</v>
      </c>
      <c r="D9" s="98">
        <f>'廠商一覽表'!U35</f>
        <v>110000</v>
      </c>
      <c r="E9" s="98" t="str">
        <f t="shared" si="1"/>
        <v>--</v>
      </c>
      <c r="F9" s="99">
        <f>'廠商一覽表'!T35</f>
        <v>42968</v>
      </c>
      <c r="G9" s="100" t="s">
        <v>157</v>
      </c>
      <c r="H9" s="101" t="s">
        <v>158</v>
      </c>
      <c r="I9" s="102" t="s">
        <v>159</v>
      </c>
      <c r="J9" s="101" t="s">
        <v>160</v>
      </c>
      <c r="K9" s="103">
        <v>43039.0</v>
      </c>
      <c r="L9" s="53" t="s">
        <v>161</v>
      </c>
      <c r="M9" s="104" t="s">
        <v>162</v>
      </c>
      <c r="N9" s="105" t="s">
        <v>163</v>
      </c>
      <c r="O9" s="106"/>
      <c r="P9" s="106"/>
      <c r="Q9" s="107"/>
      <c r="R9" s="108">
        <v>43041.0</v>
      </c>
      <c r="S9" s="98"/>
      <c r="T9" s="98"/>
      <c r="U9" s="98"/>
      <c r="V9" s="98"/>
      <c r="W9" s="98"/>
      <c r="X9" s="98"/>
      <c r="Y9" s="98"/>
      <c r="Z9" s="98"/>
      <c r="AA9" s="98"/>
    </row>
    <row r="10">
      <c r="A10" s="85">
        <v>9.0</v>
      </c>
      <c r="B10" s="29" t="s">
        <v>62</v>
      </c>
      <c r="C10" s="18">
        <f>'廠商一覽表'!D13</f>
        <v>60000</v>
      </c>
      <c r="D10">
        <f>'廠商一覽表'!U13</f>
        <v>60000</v>
      </c>
      <c r="E10" t="str">
        <f t="shared" si="1"/>
        <v>--</v>
      </c>
      <c r="F10" s="92">
        <f>'廠商一覽表'!T13</f>
        <v>43021</v>
      </c>
      <c r="G10" s="95" t="s">
        <v>164</v>
      </c>
      <c r="H10" s="39" t="s">
        <v>165</v>
      </c>
      <c r="I10" s="91"/>
      <c r="J10" s="39" t="s">
        <v>150</v>
      </c>
      <c r="M10" s="93"/>
      <c r="N10" s="109" t="s">
        <v>166</v>
      </c>
      <c r="O10" s="91"/>
      <c r="P10" s="91"/>
      <c r="Q10" s="90"/>
    </row>
    <row r="11">
      <c r="A11" s="85">
        <v>10.0</v>
      </c>
      <c r="B11" s="3" t="s">
        <v>65</v>
      </c>
      <c r="C11" s="18">
        <f>'廠商一覽表'!D14</f>
        <v>47000</v>
      </c>
      <c r="D11" t="str">
        <f>'廠商一覽表'!U14</f>
        <v/>
      </c>
      <c r="E11" s="73">
        <f t="shared" si="1"/>
        <v>47000</v>
      </c>
      <c r="F11" t="str">
        <f>'廠商一覽表'!T14</f>
        <v/>
      </c>
      <c r="I11" s="91"/>
      <c r="J11" s="39" t="s">
        <v>149</v>
      </c>
      <c r="M11" s="93"/>
      <c r="N11" s="110" t="s">
        <v>167</v>
      </c>
      <c r="O11" s="91"/>
      <c r="P11" s="91"/>
      <c r="Q11" s="90"/>
      <c r="R11" s="89" t="s">
        <v>167</v>
      </c>
    </row>
    <row r="12">
      <c r="A12" s="85">
        <v>11.0</v>
      </c>
      <c r="B12" s="3" t="s">
        <v>69</v>
      </c>
      <c r="C12" s="18">
        <f>'廠商一覽表'!D15</f>
        <v>80000</v>
      </c>
      <c r="D12">
        <f>'廠商一覽表'!U15</f>
        <v>80000</v>
      </c>
      <c r="E12" t="str">
        <f t="shared" si="1"/>
        <v>--</v>
      </c>
      <c r="F12" s="92">
        <f>'廠商一覽表'!T15</f>
        <v>43028</v>
      </c>
      <c r="G12" s="87" t="s">
        <v>168</v>
      </c>
      <c r="H12" s="39" t="s">
        <v>168</v>
      </c>
      <c r="I12" s="88" t="s">
        <v>169</v>
      </c>
      <c r="J12" s="89" t="s">
        <v>170</v>
      </c>
      <c r="K12" s="54">
        <v>43039.0</v>
      </c>
      <c r="L12" s="39" t="s">
        <v>171</v>
      </c>
      <c r="M12" s="111" t="s">
        <v>172</v>
      </c>
      <c r="N12" s="109" t="s">
        <v>72</v>
      </c>
      <c r="O12" s="91"/>
      <c r="P12" s="91"/>
      <c r="Q12" s="90"/>
      <c r="R12" s="112">
        <v>43042.0</v>
      </c>
    </row>
    <row r="13">
      <c r="A13" s="85">
        <v>12.0</v>
      </c>
      <c r="B13" s="50" t="s">
        <v>75</v>
      </c>
      <c r="C13" s="18">
        <f>'廠商一覽表'!D16</f>
        <v>60000</v>
      </c>
      <c r="D13">
        <f>'廠商一覽表'!U16</f>
        <v>60000</v>
      </c>
      <c r="E13" t="str">
        <f t="shared" si="1"/>
        <v>--</v>
      </c>
      <c r="F13" s="92">
        <f>'廠商一覽表'!T16</f>
        <v>43020</v>
      </c>
      <c r="G13" s="87" t="s">
        <v>75</v>
      </c>
      <c r="H13" s="39" t="s">
        <v>173</v>
      </c>
      <c r="I13" s="88" t="s">
        <v>174</v>
      </c>
      <c r="J13" s="89" t="s">
        <v>175</v>
      </c>
      <c r="K13" s="54">
        <v>43039.0</v>
      </c>
      <c r="L13" s="39" t="s">
        <v>176</v>
      </c>
      <c r="M13" s="111" t="s">
        <v>177</v>
      </c>
      <c r="N13" s="109" t="s">
        <v>178</v>
      </c>
      <c r="O13" s="113"/>
      <c r="P13" s="113" t="s">
        <v>179</v>
      </c>
      <c r="Q13" s="114" t="s">
        <v>180</v>
      </c>
      <c r="R13" s="112">
        <v>43040.0</v>
      </c>
    </row>
    <row r="14">
      <c r="A14" s="85">
        <v>13.0</v>
      </c>
      <c r="B14" s="39" t="s">
        <v>77</v>
      </c>
      <c r="C14" s="18">
        <f>'廠商一覽表'!D17</f>
        <v>60000</v>
      </c>
      <c r="D14">
        <f>'廠商一覽表'!U17</f>
        <v>60000</v>
      </c>
      <c r="E14" t="str">
        <f t="shared" si="1"/>
        <v>--</v>
      </c>
      <c r="F14" t="str">
        <f>'廠商一覽表'!T17</f>
        <v/>
      </c>
      <c r="G14" s="115" t="s">
        <v>181</v>
      </c>
      <c r="H14" s="101" t="s">
        <v>181</v>
      </c>
      <c r="I14" s="106"/>
      <c r="J14" s="116" t="s">
        <v>182</v>
      </c>
      <c r="K14" s="54">
        <v>43039.0</v>
      </c>
      <c r="L14" s="101" t="s">
        <v>183</v>
      </c>
      <c r="M14" s="101" t="s">
        <v>184</v>
      </c>
      <c r="N14" s="117" t="s">
        <v>72</v>
      </c>
      <c r="O14" s="91"/>
      <c r="P14" s="91"/>
      <c r="Q14" s="90"/>
      <c r="R14" s="112">
        <v>43042.0</v>
      </c>
    </row>
    <row r="15">
      <c r="A15" s="85">
        <v>14.0</v>
      </c>
      <c r="B15" s="53" t="s">
        <v>79</v>
      </c>
      <c r="C15" s="18">
        <f>'廠商一覽表'!D18</f>
        <v>80000</v>
      </c>
      <c r="D15">
        <f>'廠商一覽表'!U18</f>
        <v>80000</v>
      </c>
      <c r="E15" t="str">
        <f t="shared" si="1"/>
        <v>--</v>
      </c>
      <c r="F15" s="86">
        <f>'廠商一覽表'!T19</f>
        <v>42986</v>
      </c>
      <c r="G15" s="87" t="s">
        <v>185</v>
      </c>
      <c r="H15" s="39" t="s">
        <v>186</v>
      </c>
      <c r="I15" s="91"/>
      <c r="J15" s="39" t="s">
        <v>150</v>
      </c>
      <c r="L15" s="39" t="s">
        <v>187</v>
      </c>
      <c r="M15" s="39" t="s">
        <v>188</v>
      </c>
      <c r="N15" s="114" t="s">
        <v>178</v>
      </c>
      <c r="O15" s="88" t="s">
        <v>189</v>
      </c>
      <c r="P15" s="88" t="s">
        <v>190</v>
      </c>
      <c r="Q15" s="114" t="s">
        <v>187</v>
      </c>
    </row>
    <row r="16">
      <c r="A16" s="85">
        <v>15.0</v>
      </c>
      <c r="B16" s="55" t="s">
        <v>84</v>
      </c>
      <c r="C16" s="18">
        <f>'廠商一覽表'!D19</f>
        <v>60000</v>
      </c>
      <c r="D16">
        <f>'廠商一覽表'!U19</f>
        <v>60000</v>
      </c>
      <c r="E16" t="str">
        <f t="shared" si="1"/>
        <v>--</v>
      </c>
      <c r="F16" s="86">
        <f>'廠商一覽表'!T20</f>
        <v>42899</v>
      </c>
      <c r="G16" s="87" t="s">
        <v>158</v>
      </c>
      <c r="H16" s="39" t="s">
        <v>158</v>
      </c>
      <c r="I16" s="88" t="s">
        <v>159</v>
      </c>
      <c r="J16" s="89" t="s">
        <v>191</v>
      </c>
      <c r="K16" s="54">
        <v>43039.0</v>
      </c>
      <c r="L16" s="39" t="s">
        <v>161</v>
      </c>
      <c r="M16" s="39" t="s">
        <v>162</v>
      </c>
      <c r="N16" s="114" t="s">
        <v>192</v>
      </c>
      <c r="O16" s="88" t="s">
        <v>193</v>
      </c>
      <c r="P16" s="88" t="s">
        <v>194</v>
      </c>
      <c r="Q16" s="114" t="s">
        <v>158</v>
      </c>
      <c r="R16" s="112">
        <v>43041.0</v>
      </c>
    </row>
    <row r="17">
      <c r="A17" s="85">
        <v>16.0</v>
      </c>
      <c r="B17" s="37" t="s">
        <v>87</v>
      </c>
      <c r="C17" s="18">
        <f>'廠商一覽表'!D20</f>
        <v>60000</v>
      </c>
      <c r="D17">
        <f>'廠商一覽表'!U20</f>
        <v>60000</v>
      </c>
      <c r="E17" t="str">
        <f t="shared" si="1"/>
        <v>--</v>
      </c>
      <c r="F17" s="92">
        <f>'廠商一覽表'!T21</f>
        <v>43025</v>
      </c>
      <c r="G17" s="87" t="s">
        <v>195</v>
      </c>
      <c r="H17" s="39" t="s">
        <v>195</v>
      </c>
      <c r="I17" s="88" t="s">
        <v>196</v>
      </c>
      <c r="J17" s="89" t="s">
        <v>197</v>
      </c>
      <c r="K17" s="54">
        <v>43039.0</v>
      </c>
      <c r="L17" s="39" t="s">
        <v>195</v>
      </c>
      <c r="M17" s="39" t="s">
        <v>198</v>
      </c>
      <c r="N17" s="114" t="s">
        <v>199</v>
      </c>
      <c r="O17" s="88" t="s">
        <v>200</v>
      </c>
      <c r="P17" s="88" t="s">
        <v>201</v>
      </c>
      <c r="Q17" s="39" t="s">
        <v>195</v>
      </c>
      <c r="R17" s="112">
        <v>43042.0</v>
      </c>
    </row>
    <row r="18">
      <c r="A18" s="85">
        <v>17.0</v>
      </c>
      <c r="B18" s="37" t="s">
        <v>90</v>
      </c>
      <c r="C18" s="18">
        <f>'廠商一覽表'!D21</f>
        <v>20000</v>
      </c>
      <c r="D18">
        <f>'廠商一覽表'!U21</f>
        <v>20000</v>
      </c>
      <c r="E18" t="str">
        <f t="shared" si="1"/>
        <v>--</v>
      </c>
      <c r="F18" s="92">
        <f>'廠商一覽表'!T21</f>
        <v>43025</v>
      </c>
      <c r="G18" s="87" t="s">
        <v>202</v>
      </c>
      <c r="H18" s="39" t="s">
        <v>203</v>
      </c>
      <c r="I18" s="88" t="s">
        <v>204</v>
      </c>
      <c r="J18" s="89" t="s">
        <v>205</v>
      </c>
      <c r="K18" s="54">
        <v>43039.0</v>
      </c>
      <c r="L18" s="39" t="s">
        <v>203</v>
      </c>
      <c r="M18" s="39" t="s">
        <v>206</v>
      </c>
      <c r="N18" s="110" t="s">
        <v>167</v>
      </c>
      <c r="Q18" s="90"/>
    </row>
    <row r="19">
      <c r="A19" s="85">
        <v>18.0</v>
      </c>
      <c r="B19" s="37" t="s">
        <v>95</v>
      </c>
      <c r="C19" s="18">
        <f>'廠商一覽表'!D23</f>
        <v>55000</v>
      </c>
      <c r="D19">
        <f>'廠商一覽表'!U23</f>
        <v>55000</v>
      </c>
      <c r="E19" t="str">
        <f t="shared" si="1"/>
        <v>--</v>
      </c>
      <c r="F19" s="86">
        <f>'廠商一覽表'!T23</f>
        <v>43007</v>
      </c>
      <c r="G19" s="87" t="s">
        <v>207</v>
      </c>
      <c r="H19" s="39" t="s">
        <v>208</v>
      </c>
      <c r="I19" s="88" t="s">
        <v>209</v>
      </c>
      <c r="J19" s="89" t="s">
        <v>210</v>
      </c>
      <c r="K19" s="54">
        <v>43039.0</v>
      </c>
      <c r="L19" s="39" t="s">
        <v>211</v>
      </c>
      <c r="M19" s="39" t="s">
        <v>212</v>
      </c>
      <c r="N19" s="90"/>
      <c r="O19" s="91"/>
      <c r="P19" s="91"/>
      <c r="Q19" s="90"/>
    </row>
    <row r="20">
      <c r="A20" s="85">
        <v>19.0</v>
      </c>
      <c r="B20" s="118" t="s">
        <v>44</v>
      </c>
      <c r="C20" s="73">
        <f>'廠商一覽表'!D36</f>
        <v>315000</v>
      </c>
      <c r="D20" t="str">
        <f>'廠商一覽表'!U36</f>
        <v/>
      </c>
      <c r="E20" s="73">
        <f t="shared" si="1"/>
        <v>315000</v>
      </c>
      <c r="F20" t="str">
        <f>'廠商一覽表'!T37</f>
        <v/>
      </c>
      <c r="I20" s="91"/>
      <c r="N20" s="90"/>
      <c r="O20" s="91"/>
      <c r="P20" s="91"/>
      <c r="Q20" s="90"/>
    </row>
    <row r="21">
      <c r="A21" s="85">
        <v>20.0</v>
      </c>
      <c r="B21" s="3" t="s">
        <v>106</v>
      </c>
      <c r="C21">
        <f>'廠商一覽表'!D30</f>
        <v>40000</v>
      </c>
      <c r="D21">
        <f>'廠商一覽表'!U30</f>
        <v>40000</v>
      </c>
      <c r="E21" t="str">
        <f t="shared" si="1"/>
        <v>--</v>
      </c>
      <c r="F21" s="92">
        <f>'廠商一覽表'!T30</f>
        <v>43027</v>
      </c>
      <c r="G21" s="87" t="s">
        <v>213</v>
      </c>
      <c r="H21" s="39" t="s">
        <v>214</v>
      </c>
      <c r="I21" s="88" t="s">
        <v>215</v>
      </c>
      <c r="J21" s="89" t="s">
        <v>216</v>
      </c>
      <c r="K21" s="54">
        <v>43039.0</v>
      </c>
      <c r="L21" s="39" t="s">
        <v>217</v>
      </c>
      <c r="M21" s="39" t="s">
        <v>218</v>
      </c>
      <c r="N21" s="90"/>
      <c r="O21" s="91"/>
      <c r="P21" s="91"/>
      <c r="Q21" s="90"/>
    </row>
    <row r="22">
      <c r="A22" s="85"/>
      <c r="C22" s="73">
        <f t="shared" ref="C22:E22" si="2">SUM(C2:C21)</f>
        <v>1512000</v>
      </c>
      <c r="D22">
        <f t="shared" si="2"/>
        <v>1149960</v>
      </c>
      <c r="E22">
        <f t="shared" si="2"/>
        <v>362040</v>
      </c>
      <c r="I22" s="91"/>
      <c r="N22" s="90"/>
      <c r="O22" s="91"/>
      <c r="P22" s="91"/>
      <c r="Q22" s="90"/>
    </row>
    <row r="23">
      <c r="A23" s="81"/>
      <c r="I23" s="91"/>
      <c r="M23" s="119"/>
      <c r="N23" s="90"/>
      <c r="O23" s="91"/>
      <c r="P23" s="91"/>
      <c r="Q23" s="90"/>
    </row>
    <row r="24">
      <c r="A24" s="81"/>
      <c r="I24" s="91"/>
      <c r="M24" s="119"/>
      <c r="N24" s="90"/>
      <c r="O24" s="91"/>
      <c r="P24" s="91"/>
      <c r="Q24" s="90"/>
    </row>
    <row r="25">
      <c r="A25" s="85" t="s">
        <v>219</v>
      </c>
      <c r="B25" s="39" t="s">
        <v>220</v>
      </c>
      <c r="C25" s="39">
        <v>7500.0</v>
      </c>
      <c r="D25" s="39">
        <v>7500.0</v>
      </c>
      <c r="G25" s="39" t="s">
        <v>221</v>
      </c>
      <c r="H25" s="39" t="s">
        <v>221</v>
      </c>
      <c r="I25" s="88" t="s">
        <v>222</v>
      </c>
      <c r="J25" s="89" t="s">
        <v>223</v>
      </c>
      <c r="K25" s="54">
        <v>43039.0</v>
      </c>
      <c r="L25" s="39" t="s">
        <v>224</v>
      </c>
      <c r="M25" s="120" t="s">
        <v>225</v>
      </c>
      <c r="N25" s="90"/>
      <c r="O25" s="91"/>
      <c r="P25" s="91"/>
      <c r="Q25" s="90"/>
    </row>
    <row r="26">
      <c r="A26" s="81"/>
      <c r="I26" s="91"/>
      <c r="N26" s="90"/>
      <c r="O26" s="91"/>
      <c r="P26" s="91"/>
      <c r="Q26" s="90"/>
    </row>
    <row r="27">
      <c r="A27" s="81"/>
      <c r="I27" s="91"/>
      <c r="N27" s="90"/>
      <c r="O27" s="91"/>
      <c r="P27" s="91"/>
      <c r="Q27" s="90"/>
    </row>
    <row r="28">
      <c r="A28" s="81"/>
      <c r="I28" s="91"/>
      <c r="N28" s="90"/>
      <c r="O28" s="91"/>
      <c r="P28" s="91"/>
      <c r="Q28" s="90"/>
    </row>
    <row r="29">
      <c r="A29" s="81"/>
      <c r="I29" s="91"/>
      <c r="N29" s="90"/>
      <c r="O29" s="91"/>
      <c r="P29" s="91"/>
      <c r="Q29" s="90"/>
    </row>
    <row r="30">
      <c r="A30" s="81"/>
      <c r="I30" s="91"/>
      <c r="N30" s="90"/>
      <c r="O30" s="91"/>
      <c r="P30" s="91"/>
      <c r="Q30" s="90"/>
    </row>
    <row r="31">
      <c r="A31" s="81"/>
      <c r="I31" s="91"/>
      <c r="N31" s="90"/>
      <c r="O31" s="91"/>
      <c r="P31" s="91"/>
      <c r="Q31" s="90"/>
    </row>
    <row r="32">
      <c r="A32" s="81"/>
      <c r="I32" s="91"/>
      <c r="N32" s="90"/>
      <c r="O32" s="91"/>
      <c r="P32" s="91"/>
      <c r="Q32" s="90"/>
    </row>
    <row r="33">
      <c r="A33" s="81"/>
      <c r="I33" s="91"/>
      <c r="N33" s="90"/>
      <c r="O33" s="91"/>
      <c r="P33" s="91"/>
      <c r="Q33" s="90"/>
    </row>
    <row r="34">
      <c r="A34" s="81"/>
      <c r="I34" s="91"/>
      <c r="N34" s="90"/>
      <c r="O34" s="91"/>
      <c r="P34" s="91"/>
      <c r="Q34" s="90"/>
    </row>
    <row r="35">
      <c r="A35" s="81"/>
      <c r="I35" s="91"/>
      <c r="N35" s="90"/>
      <c r="O35" s="91"/>
      <c r="P35" s="91"/>
      <c r="Q35" s="90"/>
    </row>
    <row r="36">
      <c r="A36" s="81"/>
      <c r="I36" s="91"/>
      <c r="N36" s="90"/>
      <c r="O36" s="91"/>
      <c r="P36" s="91"/>
      <c r="Q36" s="90"/>
    </row>
    <row r="37">
      <c r="A37" s="81"/>
      <c r="I37" s="91"/>
      <c r="N37" s="90"/>
      <c r="O37" s="91"/>
      <c r="P37" s="91"/>
      <c r="Q37" s="90"/>
    </row>
    <row r="38">
      <c r="A38" s="81"/>
      <c r="I38" s="91"/>
      <c r="N38" s="90"/>
      <c r="O38" s="91"/>
      <c r="P38" s="91"/>
      <c r="Q38" s="90"/>
    </row>
    <row r="39">
      <c r="A39" s="81"/>
      <c r="I39" s="91"/>
      <c r="N39" s="90"/>
      <c r="O39" s="91"/>
      <c r="P39" s="91"/>
      <c r="Q39" s="90"/>
    </row>
    <row r="40">
      <c r="A40" s="81"/>
      <c r="I40" s="91"/>
      <c r="N40" s="90"/>
      <c r="O40" s="91"/>
      <c r="P40" s="91"/>
      <c r="Q40" s="90"/>
    </row>
    <row r="41">
      <c r="A41" s="81"/>
      <c r="I41" s="91"/>
      <c r="N41" s="90"/>
      <c r="O41" s="91"/>
      <c r="P41" s="91"/>
      <c r="Q41" s="90"/>
    </row>
    <row r="42">
      <c r="A42" s="81"/>
      <c r="I42" s="91"/>
      <c r="N42" s="90"/>
      <c r="O42" s="91"/>
      <c r="P42" s="91"/>
      <c r="Q42" s="90"/>
    </row>
    <row r="43">
      <c r="A43" s="81"/>
      <c r="I43" s="91"/>
      <c r="N43" s="90"/>
      <c r="O43" s="91"/>
      <c r="P43" s="91"/>
      <c r="Q43" s="90"/>
    </row>
    <row r="44">
      <c r="A44" s="81"/>
      <c r="I44" s="91"/>
      <c r="N44" s="90"/>
      <c r="O44" s="91"/>
      <c r="P44" s="91"/>
      <c r="Q44" s="90"/>
    </row>
    <row r="45">
      <c r="A45" s="81"/>
      <c r="I45" s="91"/>
      <c r="N45" s="90"/>
      <c r="O45" s="91"/>
      <c r="P45" s="91"/>
      <c r="Q45" s="90"/>
    </row>
    <row r="46">
      <c r="A46" s="81"/>
      <c r="I46" s="91"/>
      <c r="N46" s="90"/>
      <c r="O46" s="91"/>
      <c r="P46" s="91"/>
      <c r="Q46" s="90"/>
    </row>
    <row r="47">
      <c r="A47" s="81"/>
      <c r="I47" s="91"/>
      <c r="N47" s="90"/>
      <c r="O47" s="91"/>
      <c r="P47" s="91"/>
      <c r="Q47" s="90"/>
    </row>
    <row r="48">
      <c r="A48" s="81"/>
      <c r="I48" s="91"/>
      <c r="N48" s="90"/>
      <c r="O48" s="91"/>
      <c r="P48" s="91"/>
      <c r="Q48" s="90"/>
    </row>
    <row r="49">
      <c r="A49" s="81"/>
      <c r="I49" s="91"/>
      <c r="N49" s="90"/>
      <c r="O49" s="91"/>
      <c r="P49" s="91"/>
      <c r="Q49" s="90"/>
    </row>
    <row r="50">
      <c r="A50" s="81"/>
      <c r="I50" s="91"/>
      <c r="N50" s="90"/>
      <c r="O50" s="91"/>
      <c r="P50" s="91"/>
      <c r="Q50" s="90"/>
    </row>
    <row r="51">
      <c r="A51" s="81"/>
      <c r="I51" s="91"/>
      <c r="N51" s="90"/>
      <c r="O51" s="91"/>
      <c r="P51" s="91"/>
      <c r="Q51" s="90"/>
    </row>
    <row r="52">
      <c r="A52" s="81"/>
      <c r="I52" s="91"/>
      <c r="N52" s="90"/>
      <c r="O52" s="91"/>
      <c r="P52" s="91"/>
      <c r="Q52" s="90"/>
    </row>
    <row r="53">
      <c r="A53" s="81"/>
      <c r="I53" s="91"/>
      <c r="N53" s="90"/>
      <c r="O53" s="91"/>
      <c r="P53" s="91"/>
      <c r="Q53" s="90"/>
    </row>
    <row r="54">
      <c r="A54" s="81"/>
      <c r="I54" s="91"/>
      <c r="N54" s="90"/>
      <c r="O54" s="91"/>
      <c r="P54" s="91"/>
      <c r="Q54" s="90"/>
    </row>
    <row r="55">
      <c r="A55" s="81"/>
      <c r="I55" s="91"/>
      <c r="N55" s="90"/>
      <c r="O55" s="91"/>
      <c r="P55" s="91"/>
      <c r="Q55" s="90"/>
    </row>
    <row r="56">
      <c r="A56" s="81"/>
      <c r="I56" s="91"/>
      <c r="N56" s="90"/>
      <c r="O56" s="91"/>
      <c r="P56" s="91"/>
      <c r="Q56" s="90"/>
    </row>
    <row r="57">
      <c r="A57" s="81"/>
      <c r="I57" s="91"/>
      <c r="N57" s="90"/>
      <c r="O57" s="91"/>
      <c r="P57" s="91"/>
      <c r="Q57" s="90"/>
    </row>
    <row r="58">
      <c r="A58" s="81"/>
      <c r="I58" s="91"/>
      <c r="N58" s="90"/>
      <c r="O58" s="91"/>
      <c r="P58" s="91"/>
      <c r="Q58" s="90"/>
    </row>
    <row r="59">
      <c r="A59" s="81"/>
      <c r="I59" s="91"/>
      <c r="N59" s="90"/>
      <c r="O59" s="91"/>
      <c r="P59" s="91"/>
      <c r="Q59" s="90"/>
    </row>
    <row r="60">
      <c r="A60" s="81"/>
      <c r="I60" s="91"/>
      <c r="N60" s="90"/>
      <c r="O60" s="91"/>
      <c r="P60" s="91"/>
      <c r="Q60" s="90"/>
    </row>
    <row r="61">
      <c r="A61" s="81"/>
      <c r="I61" s="91"/>
      <c r="N61" s="90"/>
      <c r="O61" s="91"/>
      <c r="P61" s="91"/>
      <c r="Q61" s="90"/>
    </row>
    <row r="62">
      <c r="A62" s="81"/>
      <c r="I62" s="91"/>
      <c r="N62" s="90"/>
      <c r="O62" s="91"/>
      <c r="P62" s="91"/>
      <c r="Q62" s="90"/>
    </row>
    <row r="63">
      <c r="A63" s="81"/>
      <c r="I63" s="91"/>
      <c r="N63" s="90"/>
      <c r="O63" s="91"/>
      <c r="P63" s="91"/>
      <c r="Q63" s="90"/>
    </row>
    <row r="64">
      <c r="A64" s="81"/>
      <c r="I64" s="91"/>
      <c r="N64" s="90"/>
      <c r="O64" s="91"/>
      <c r="P64" s="91"/>
      <c r="Q64" s="90"/>
    </row>
    <row r="65">
      <c r="A65" s="81"/>
      <c r="I65" s="91"/>
      <c r="N65" s="90"/>
      <c r="O65" s="91"/>
      <c r="P65" s="91"/>
      <c r="Q65" s="90"/>
    </row>
    <row r="66">
      <c r="A66" s="81"/>
      <c r="I66" s="91"/>
      <c r="N66" s="90"/>
      <c r="O66" s="91"/>
      <c r="P66" s="91"/>
      <c r="Q66" s="90"/>
    </row>
    <row r="67">
      <c r="A67" s="81"/>
      <c r="I67" s="91"/>
      <c r="N67" s="90"/>
      <c r="O67" s="91"/>
      <c r="P67" s="91"/>
      <c r="Q67" s="90"/>
    </row>
    <row r="68">
      <c r="A68" s="81"/>
      <c r="I68" s="91"/>
      <c r="N68" s="90"/>
      <c r="O68" s="91"/>
      <c r="P68" s="91"/>
      <c r="Q68" s="90"/>
    </row>
    <row r="69">
      <c r="A69" s="81"/>
      <c r="I69" s="91"/>
      <c r="N69" s="90"/>
      <c r="O69" s="91"/>
      <c r="P69" s="91"/>
      <c r="Q69" s="90"/>
    </row>
    <row r="70">
      <c r="A70" s="81"/>
      <c r="I70" s="91"/>
      <c r="N70" s="90"/>
      <c r="O70" s="91"/>
      <c r="P70" s="91"/>
      <c r="Q70" s="90"/>
    </row>
    <row r="71">
      <c r="A71" s="81"/>
      <c r="I71" s="91"/>
      <c r="N71" s="90"/>
      <c r="O71" s="91"/>
      <c r="P71" s="91"/>
      <c r="Q71" s="90"/>
    </row>
    <row r="72">
      <c r="A72" s="81"/>
      <c r="I72" s="91"/>
      <c r="N72" s="90"/>
      <c r="O72" s="91"/>
      <c r="P72" s="91"/>
      <c r="Q72" s="90"/>
    </row>
    <row r="73">
      <c r="A73" s="81"/>
      <c r="I73" s="91"/>
      <c r="N73" s="90"/>
      <c r="O73" s="91"/>
      <c r="P73" s="91"/>
      <c r="Q73" s="90"/>
    </row>
    <row r="74">
      <c r="A74" s="81"/>
      <c r="I74" s="91"/>
      <c r="N74" s="90"/>
      <c r="O74" s="91"/>
      <c r="P74" s="91"/>
      <c r="Q74" s="90"/>
    </row>
    <row r="75">
      <c r="A75" s="81"/>
      <c r="I75" s="91"/>
      <c r="N75" s="90"/>
      <c r="O75" s="91"/>
      <c r="P75" s="91"/>
      <c r="Q75" s="90"/>
    </row>
    <row r="76">
      <c r="A76" s="81"/>
      <c r="I76" s="91"/>
      <c r="N76" s="90"/>
      <c r="O76" s="91"/>
      <c r="P76" s="91"/>
      <c r="Q76" s="90"/>
    </row>
    <row r="77">
      <c r="A77" s="81"/>
      <c r="I77" s="91"/>
      <c r="N77" s="90"/>
      <c r="O77" s="91"/>
      <c r="P77" s="91"/>
      <c r="Q77" s="90"/>
    </row>
    <row r="78">
      <c r="A78" s="81"/>
      <c r="I78" s="91"/>
      <c r="N78" s="90"/>
      <c r="O78" s="91"/>
      <c r="P78" s="91"/>
      <c r="Q78" s="90"/>
    </row>
    <row r="79">
      <c r="A79" s="81"/>
      <c r="I79" s="91"/>
      <c r="N79" s="90"/>
      <c r="O79" s="91"/>
      <c r="P79" s="91"/>
      <c r="Q79" s="90"/>
    </row>
    <row r="80">
      <c r="A80" s="81"/>
      <c r="I80" s="91"/>
      <c r="N80" s="90"/>
      <c r="O80" s="91"/>
      <c r="P80" s="91"/>
      <c r="Q80" s="90"/>
    </row>
    <row r="81">
      <c r="A81" s="81"/>
      <c r="I81" s="91"/>
      <c r="N81" s="90"/>
      <c r="O81" s="91"/>
      <c r="P81" s="91"/>
      <c r="Q81" s="90"/>
    </row>
    <row r="82">
      <c r="A82" s="81"/>
      <c r="I82" s="91"/>
      <c r="N82" s="90"/>
      <c r="O82" s="91"/>
      <c r="P82" s="91"/>
      <c r="Q82" s="90"/>
    </row>
    <row r="83">
      <c r="A83" s="81"/>
      <c r="I83" s="91"/>
      <c r="N83" s="90"/>
      <c r="O83" s="91"/>
      <c r="P83" s="91"/>
      <c r="Q83" s="90"/>
    </row>
    <row r="84">
      <c r="A84" s="81"/>
      <c r="I84" s="91"/>
      <c r="N84" s="90"/>
      <c r="O84" s="91"/>
      <c r="P84" s="91"/>
      <c r="Q84" s="90"/>
    </row>
    <row r="85">
      <c r="A85" s="81"/>
      <c r="I85" s="91"/>
      <c r="N85" s="90"/>
      <c r="O85" s="91"/>
      <c r="P85" s="91"/>
      <c r="Q85" s="90"/>
    </row>
    <row r="86">
      <c r="A86" s="81"/>
      <c r="I86" s="91"/>
      <c r="N86" s="90"/>
      <c r="O86" s="91"/>
      <c r="P86" s="91"/>
      <c r="Q86" s="90"/>
    </row>
    <row r="87">
      <c r="A87" s="81"/>
      <c r="I87" s="91"/>
      <c r="N87" s="90"/>
      <c r="O87" s="91"/>
      <c r="P87" s="91"/>
      <c r="Q87" s="90"/>
    </row>
    <row r="88">
      <c r="A88" s="81"/>
      <c r="I88" s="91"/>
      <c r="N88" s="90"/>
      <c r="O88" s="91"/>
      <c r="P88" s="91"/>
      <c r="Q88" s="90"/>
    </row>
    <row r="89">
      <c r="A89" s="81"/>
      <c r="I89" s="91"/>
      <c r="N89" s="90"/>
      <c r="O89" s="91"/>
      <c r="P89" s="91"/>
      <c r="Q89" s="90"/>
    </row>
    <row r="90">
      <c r="A90" s="81"/>
      <c r="I90" s="91"/>
      <c r="N90" s="90"/>
      <c r="O90" s="91"/>
      <c r="P90" s="91"/>
      <c r="Q90" s="90"/>
    </row>
    <row r="91">
      <c r="A91" s="81"/>
      <c r="I91" s="91"/>
      <c r="N91" s="90"/>
      <c r="O91" s="91"/>
      <c r="P91" s="91"/>
      <c r="Q91" s="90"/>
    </row>
    <row r="92">
      <c r="A92" s="81"/>
      <c r="I92" s="91"/>
      <c r="N92" s="90"/>
      <c r="O92" s="91"/>
      <c r="P92" s="91"/>
      <c r="Q92" s="90"/>
    </row>
    <row r="93">
      <c r="A93" s="81"/>
      <c r="I93" s="91"/>
      <c r="N93" s="90"/>
      <c r="O93" s="91"/>
      <c r="P93" s="91"/>
      <c r="Q93" s="90"/>
    </row>
    <row r="94">
      <c r="A94" s="81"/>
      <c r="I94" s="91"/>
      <c r="N94" s="90"/>
      <c r="O94" s="91"/>
      <c r="P94" s="91"/>
      <c r="Q94" s="90"/>
    </row>
    <row r="95">
      <c r="A95" s="81"/>
      <c r="I95" s="91"/>
      <c r="N95" s="90"/>
      <c r="O95" s="91"/>
      <c r="P95" s="91"/>
      <c r="Q95" s="90"/>
    </row>
    <row r="96">
      <c r="A96" s="81"/>
      <c r="I96" s="91"/>
      <c r="N96" s="90"/>
      <c r="O96" s="91"/>
      <c r="P96" s="91"/>
      <c r="Q96" s="90"/>
    </row>
    <row r="97">
      <c r="A97" s="81"/>
      <c r="I97" s="91"/>
      <c r="N97" s="90"/>
      <c r="O97" s="91"/>
      <c r="P97" s="91"/>
      <c r="Q97" s="90"/>
    </row>
    <row r="98">
      <c r="A98" s="81"/>
      <c r="I98" s="91"/>
      <c r="N98" s="90"/>
      <c r="O98" s="91"/>
      <c r="P98" s="91"/>
      <c r="Q98" s="90"/>
    </row>
    <row r="99">
      <c r="A99" s="81"/>
      <c r="I99" s="91"/>
      <c r="N99" s="90"/>
      <c r="O99" s="91"/>
      <c r="P99" s="91"/>
      <c r="Q99" s="90"/>
    </row>
    <row r="100">
      <c r="A100" s="81"/>
      <c r="I100" s="91"/>
      <c r="N100" s="90"/>
      <c r="O100" s="91"/>
      <c r="P100" s="91"/>
      <c r="Q100" s="90"/>
    </row>
    <row r="101">
      <c r="A101" s="81"/>
      <c r="I101" s="91"/>
      <c r="N101" s="90"/>
      <c r="O101" s="91"/>
      <c r="P101" s="91"/>
      <c r="Q101" s="90"/>
    </row>
    <row r="102">
      <c r="A102" s="81"/>
      <c r="I102" s="91"/>
      <c r="N102" s="90"/>
      <c r="O102" s="91"/>
      <c r="P102" s="91"/>
      <c r="Q102" s="90"/>
    </row>
    <row r="103">
      <c r="A103" s="81"/>
      <c r="I103" s="91"/>
      <c r="N103" s="90"/>
      <c r="O103" s="91"/>
      <c r="P103" s="91"/>
      <c r="Q103" s="90"/>
    </row>
    <row r="104">
      <c r="A104" s="81"/>
      <c r="I104" s="91"/>
      <c r="N104" s="90"/>
      <c r="O104" s="91"/>
      <c r="P104" s="91"/>
      <c r="Q104" s="90"/>
    </row>
    <row r="105">
      <c r="A105" s="81"/>
      <c r="I105" s="91"/>
      <c r="N105" s="90"/>
      <c r="O105" s="91"/>
      <c r="P105" s="91"/>
      <c r="Q105" s="90"/>
    </row>
    <row r="106">
      <c r="A106" s="81"/>
      <c r="I106" s="91"/>
      <c r="N106" s="90"/>
      <c r="O106" s="91"/>
      <c r="P106" s="91"/>
      <c r="Q106" s="90"/>
    </row>
    <row r="107">
      <c r="A107" s="81"/>
      <c r="I107" s="91"/>
      <c r="N107" s="90"/>
      <c r="O107" s="91"/>
      <c r="P107" s="91"/>
      <c r="Q107" s="90"/>
    </row>
    <row r="108">
      <c r="A108" s="81"/>
      <c r="I108" s="91"/>
      <c r="N108" s="90"/>
      <c r="O108" s="91"/>
      <c r="P108" s="91"/>
      <c r="Q108" s="90"/>
    </row>
    <row r="109">
      <c r="A109" s="81"/>
      <c r="I109" s="91"/>
      <c r="N109" s="90"/>
      <c r="O109" s="91"/>
      <c r="P109" s="91"/>
      <c r="Q109" s="90"/>
    </row>
    <row r="110">
      <c r="A110" s="81"/>
      <c r="I110" s="91"/>
      <c r="N110" s="90"/>
      <c r="O110" s="91"/>
      <c r="P110" s="91"/>
      <c r="Q110" s="90"/>
    </row>
    <row r="111">
      <c r="A111" s="81"/>
      <c r="I111" s="91"/>
      <c r="N111" s="90"/>
      <c r="O111" s="91"/>
      <c r="P111" s="91"/>
      <c r="Q111" s="90"/>
    </row>
    <row r="112">
      <c r="A112" s="81"/>
      <c r="I112" s="91"/>
      <c r="N112" s="90"/>
      <c r="O112" s="91"/>
      <c r="P112" s="91"/>
      <c r="Q112" s="90"/>
    </row>
    <row r="113">
      <c r="A113" s="81"/>
      <c r="I113" s="91"/>
      <c r="N113" s="90"/>
      <c r="O113" s="91"/>
      <c r="P113" s="91"/>
      <c r="Q113" s="90"/>
    </row>
    <row r="114">
      <c r="A114" s="81"/>
      <c r="I114" s="91"/>
      <c r="N114" s="90"/>
      <c r="O114" s="91"/>
      <c r="P114" s="91"/>
      <c r="Q114" s="90"/>
    </row>
    <row r="115">
      <c r="A115" s="81"/>
      <c r="I115" s="91"/>
      <c r="N115" s="90"/>
      <c r="O115" s="91"/>
      <c r="P115" s="91"/>
      <c r="Q115" s="90"/>
    </row>
    <row r="116">
      <c r="A116" s="81"/>
      <c r="I116" s="91"/>
      <c r="N116" s="90"/>
      <c r="O116" s="91"/>
      <c r="P116" s="91"/>
      <c r="Q116" s="90"/>
    </row>
    <row r="117">
      <c r="A117" s="81"/>
      <c r="I117" s="91"/>
      <c r="N117" s="90"/>
      <c r="O117" s="91"/>
      <c r="P117" s="91"/>
      <c r="Q117" s="90"/>
    </row>
    <row r="118">
      <c r="A118" s="81"/>
      <c r="I118" s="91"/>
      <c r="N118" s="90"/>
      <c r="O118" s="91"/>
      <c r="P118" s="91"/>
      <c r="Q118" s="90"/>
    </row>
    <row r="119">
      <c r="A119" s="81"/>
      <c r="I119" s="91"/>
      <c r="N119" s="90"/>
      <c r="O119" s="91"/>
      <c r="P119" s="91"/>
      <c r="Q119" s="90"/>
    </row>
    <row r="120">
      <c r="A120" s="81"/>
      <c r="I120" s="91"/>
      <c r="N120" s="90"/>
      <c r="O120" s="91"/>
      <c r="P120" s="91"/>
      <c r="Q120" s="90"/>
    </row>
    <row r="121">
      <c r="A121" s="81"/>
      <c r="I121" s="91"/>
      <c r="N121" s="90"/>
      <c r="O121" s="91"/>
      <c r="P121" s="91"/>
      <c r="Q121" s="90"/>
    </row>
    <row r="122">
      <c r="A122" s="81"/>
      <c r="I122" s="91"/>
      <c r="N122" s="90"/>
      <c r="O122" s="91"/>
      <c r="P122" s="91"/>
      <c r="Q122" s="90"/>
    </row>
    <row r="123">
      <c r="A123" s="81"/>
      <c r="I123" s="91"/>
      <c r="N123" s="90"/>
      <c r="O123" s="91"/>
      <c r="P123" s="91"/>
      <c r="Q123" s="90"/>
    </row>
    <row r="124">
      <c r="A124" s="81"/>
      <c r="I124" s="91"/>
      <c r="N124" s="90"/>
      <c r="O124" s="91"/>
      <c r="P124" s="91"/>
      <c r="Q124" s="90"/>
    </row>
    <row r="125">
      <c r="A125" s="81"/>
      <c r="I125" s="91"/>
      <c r="N125" s="90"/>
      <c r="O125" s="91"/>
      <c r="P125" s="91"/>
      <c r="Q125" s="90"/>
    </row>
    <row r="126">
      <c r="A126" s="81"/>
      <c r="I126" s="91"/>
      <c r="N126" s="90"/>
      <c r="O126" s="91"/>
      <c r="P126" s="91"/>
      <c r="Q126" s="90"/>
    </row>
    <row r="127">
      <c r="A127" s="81"/>
      <c r="I127" s="91"/>
      <c r="N127" s="90"/>
      <c r="O127" s="91"/>
      <c r="P127" s="91"/>
      <c r="Q127" s="90"/>
    </row>
    <row r="128">
      <c r="A128" s="81"/>
      <c r="I128" s="91"/>
      <c r="N128" s="90"/>
      <c r="O128" s="91"/>
      <c r="P128" s="91"/>
      <c r="Q128" s="90"/>
    </row>
    <row r="129">
      <c r="A129" s="81"/>
      <c r="I129" s="91"/>
      <c r="N129" s="90"/>
      <c r="O129" s="91"/>
      <c r="P129" s="91"/>
      <c r="Q129" s="90"/>
    </row>
    <row r="130">
      <c r="A130" s="81"/>
      <c r="I130" s="91"/>
      <c r="N130" s="90"/>
      <c r="O130" s="91"/>
      <c r="P130" s="91"/>
      <c r="Q130" s="90"/>
    </row>
    <row r="131">
      <c r="A131" s="81"/>
      <c r="I131" s="91"/>
      <c r="N131" s="90"/>
      <c r="O131" s="91"/>
      <c r="P131" s="91"/>
      <c r="Q131" s="90"/>
    </row>
    <row r="132">
      <c r="A132" s="81"/>
      <c r="I132" s="91"/>
      <c r="N132" s="90"/>
      <c r="O132" s="91"/>
      <c r="P132" s="91"/>
      <c r="Q132" s="90"/>
    </row>
    <row r="133">
      <c r="A133" s="81"/>
      <c r="I133" s="91"/>
      <c r="N133" s="90"/>
      <c r="O133" s="91"/>
      <c r="P133" s="91"/>
      <c r="Q133" s="90"/>
    </row>
    <row r="134">
      <c r="A134" s="81"/>
      <c r="I134" s="91"/>
      <c r="N134" s="90"/>
      <c r="O134" s="91"/>
      <c r="P134" s="91"/>
      <c r="Q134" s="90"/>
    </row>
    <row r="135">
      <c r="A135" s="81"/>
      <c r="I135" s="91"/>
      <c r="N135" s="90"/>
      <c r="O135" s="91"/>
      <c r="P135" s="91"/>
      <c r="Q135" s="90"/>
    </row>
    <row r="136">
      <c r="A136" s="81"/>
      <c r="I136" s="91"/>
      <c r="N136" s="90"/>
      <c r="O136" s="91"/>
      <c r="P136" s="91"/>
      <c r="Q136" s="90"/>
    </row>
    <row r="137">
      <c r="A137" s="81"/>
      <c r="I137" s="91"/>
      <c r="N137" s="90"/>
      <c r="O137" s="91"/>
      <c r="P137" s="91"/>
      <c r="Q137" s="90"/>
    </row>
    <row r="138">
      <c r="A138" s="81"/>
      <c r="I138" s="91"/>
      <c r="N138" s="90"/>
      <c r="O138" s="91"/>
      <c r="P138" s="91"/>
      <c r="Q138" s="90"/>
    </row>
    <row r="139">
      <c r="A139" s="81"/>
      <c r="I139" s="91"/>
      <c r="N139" s="90"/>
      <c r="O139" s="91"/>
      <c r="P139" s="91"/>
      <c r="Q139" s="90"/>
    </row>
    <row r="140">
      <c r="A140" s="81"/>
      <c r="I140" s="91"/>
      <c r="N140" s="90"/>
      <c r="O140" s="91"/>
      <c r="P140" s="91"/>
      <c r="Q140" s="90"/>
    </row>
    <row r="141">
      <c r="A141" s="81"/>
      <c r="I141" s="91"/>
      <c r="N141" s="90"/>
      <c r="O141" s="91"/>
      <c r="P141" s="91"/>
      <c r="Q141" s="90"/>
    </row>
    <row r="142">
      <c r="A142" s="81"/>
      <c r="I142" s="91"/>
      <c r="N142" s="90"/>
      <c r="O142" s="91"/>
      <c r="P142" s="91"/>
      <c r="Q142" s="90"/>
    </row>
    <row r="143">
      <c r="A143" s="81"/>
      <c r="I143" s="91"/>
      <c r="N143" s="90"/>
      <c r="O143" s="91"/>
      <c r="P143" s="91"/>
      <c r="Q143" s="90"/>
    </row>
    <row r="144">
      <c r="A144" s="81"/>
      <c r="I144" s="91"/>
      <c r="N144" s="90"/>
      <c r="O144" s="91"/>
      <c r="P144" s="91"/>
      <c r="Q144" s="90"/>
    </row>
    <row r="145">
      <c r="A145" s="81"/>
      <c r="I145" s="91"/>
      <c r="N145" s="90"/>
      <c r="O145" s="91"/>
      <c r="P145" s="91"/>
      <c r="Q145" s="90"/>
    </row>
    <row r="146">
      <c r="A146" s="81"/>
      <c r="I146" s="91"/>
      <c r="N146" s="90"/>
      <c r="O146" s="91"/>
      <c r="P146" s="91"/>
      <c r="Q146" s="90"/>
    </row>
    <row r="147">
      <c r="A147" s="81"/>
      <c r="I147" s="91"/>
      <c r="N147" s="90"/>
      <c r="O147" s="91"/>
      <c r="P147" s="91"/>
      <c r="Q147" s="90"/>
    </row>
    <row r="148">
      <c r="A148" s="81"/>
      <c r="I148" s="91"/>
      <c r="N148" s="90"/>
      <c r="O148" s="91"/>
      <c r="P148" s="91"/>
      <c r="Q148" s="90"/>
    </row>
    <row r="149">
      <c r="A149" s="81"/>
      <c r="I149" s="91"/>
      <c r="N149" s="90"/>
      <c r="O149" s="91"/>
      <c r="P149" s="91"/>
      <c r="Q149" s="90"/>
    </row>
    <row r="150">
      <c r="A150" s="81"/>
      <c r="I150" s="91"/>
      <c r="N150" s="90"/>
      <c r="O150" s="91"/>
      <c r="P150" s="91"/>
      <c r="Q150" s="90"/>
    </row>
    <row r="151">
      <c r="A151" s="81"/>
      <c r="I151" s="91"/>
      <c r="N151" s="90"/>
      <c r="O151" s="91"/>
      <c r="P151" s="91"/>
      <c r="Q151" s="90"/>
    </row>
    <row r="152">
      <c r="A152" s="81"/>
      <c r="I152" s="91"/>
      <c r="N152" s="90"/>
      <c r="O152" s="91"/>
      <c r="P152" s="91"/>
      <c r="Q152" s="90"/>
    </row>
    <row r="153">
      <c r="A153" s="81"/>
      <c r="I153" s="91"/>
      <c r="N153" s="90"/>
      <c r="O153" s="91"/>
      <c r="P153" s="91"/>
      <c r="Q153" s="90"/>
    </row>
    <row r="154">
      <c r="A154" s="81"/>
      <c r="I154" s="91"/>
      <c r="N154" s="90"/>
      <c r="O154" s="91"/>
      <c r="P154" s="91"/>
      <c r="Q154" s="90"/>
    </row>
    <row r="155">
      <c r="A155" s="81"/>
      <c r="I155" s="91"/>
      <c r="N155" s="90"/>
      <c r="O155" s="91"/>
      <c r="P155" s="91"/>
      <c r="Q155" s="90"/>
    </row>
    <row r="156">
      <c r="A156" s="81"/>
      <c r="I156" s="91"/>
      <c r="N156" s="90"/>
      <c r="O156" s="91"/>
      <c r="P156" s="91"/>
      <c r="Q156" s="90"/>
    </row>
    <row r="157">
      <c r="A157" s="81"/>
      <c r="I157" s="91"/>
      <c r="N157" s="90"/>
      <c r="O157" s="91"/>
      <c r="P157" s="91"/>
      <c r="Q157" s="90"/>
    </row>
    <row r="158">
      <c r="A158" s="81"/>
      <c r="I158" s="91"/>
      <c r="N158" s="90"/>
      <c r="O158" s="91"/>
      <c r="P158" s="91"/>
      <c r="Q158" s="90"/>
    </row>
    <row r="159">
      <c r="A159" s="81"/>
      <c r="I159" s="91"/>
      <c r="N159" s="90"/>
      <c r="O159" s="91"/>
      <c r="P159" s="91"/>
      <c r="Q159" s="90"/>
    </row>
    <row r="160">
      <c r="A160" s="81"/>
      <c r="I160" s="91"/>
      <c r="N160" s="90"/>
      <c r="O160" s="91"/>
      <c r="P160" s="91"/>
      <c r="Q160" s="90"/>
    </row>
    <row r="161">
      <c r="A161" s="81"/>
      <c r="I161" s="91"/>
      <c r="N161" s="90"/>
      <c r="O161" s="91"/>
      <c r="P161" s="91"/>
      <c r="Q161" s="90"/>
    </row>
    <row r="162">
      <c r="A162" s="81"/>
      <c r="I162" s="91"/>
      <c r="N162" s="90"/>
      <c r="O162" s="91"/>
      <c r="P162" s="91"/>
      <c r="Q162" s="90"/>
    </row>
    <row r="163">
      <c r="A163" s="81"/>
      <c r="I163" s="91"/>
      <c r="N163" s="90"/>
      <c r="O163" s="91"/>
      <c r="P163" s="91"/>
      <c r="Q163" s="90"/>
    </row>
    <row r="164">
      <c r="A164" s="81"/>
      <c r="I164" s="91"/>
      <c r="N164" s="90"/>
      <c r="O164" s="91"/>
      <c r="P164" s="91"/>
      <c r="Q164" s="90"/>
    </row>
    <row r="165">
      <c r="A165" s="81"/>
      <c r="I165" s="91"/>
      <c r="N165" s="90"/>
      <c r="O165" s="91"/>
      <c r="P165" s="91"/>
      <c r="Q165" s="90"/>
    </row>
    <row r="166">
      <c r="A166" s="81"/>
      <c r="I166" s="91"/>
      <c r="N166" s="90"/>
      <c r="O166" s="91"/>
      <c r="P166" s="91"/>
      <c r="Q166" s="90"/>
    </row>
    <row r="167">
      <c r="A167" s="81"/>
      <c r="I167" s="91"/>
      <c r="N167" s="90"/>
      <c r="O167" s="91"/>
      <c r="P167" s="91"/>
      <c r="Q167" s="90"/>
    </row>
    <row r="168">
      <c r="A168" s="81"/>
      <c r="I168" s="91"/>
      <c r="N168" s="90"/>
      <c r="O168" s="91"/>
      <c r="P168" s="91"/>
      <c r="Q168" s="90"/>
    </row>
    <row r="169">
      <c r="A169" s="81"/>
      <c r="I169" s="91"/>
      <c r="N169" s="90"/>
      <c r="O169" s="91"/>
      <c r="P169" s="91"/>
      <c r="Q169" s="90"/>
    </row>
    <row r="170">
      <c r="A170" s="81"/>
      <c r="I170" s="91"/>
      <c r="N170" s="90"/>
      <c r="O170" s="91"/>
      <c r="P170" s="91"/>
      <c r="Q170" s="90"/>
    </row>
    <row r="171">
      <c r="A171" s="81"/>
      <c r="I171" s="91"/>
      <c r="N171" s="90"/>
      <c r="O171" s="91"/>
      <c r="P171" s="91"/>
      <c r="Q171" s="90"/>
    </row>
    <row r="172">
      <c r="A172" s="81"/>
      <c r="I172" s="91"/>
      <c r="N172" s="90"/>
      <c r="O172" s="91"/>
      <c r="P172" s="91"/>
      <c r="Q172" s="90"/>
    </row>
    <row r="173">
      <c r="A173" s="81"/>
      <c r="I173" s="91"/>
      <c r="N173" s="90"/>
      <c r="O173" s="91"/>
      <c r="P173" s="91"/>
      <c r="Q173" s="90"/>
    </row>
    <row r="174">
      <c r="A174" s="81"/>
      <c r="I174" s="91"/>
      <c r="N174" s="90"/>
      <c r="O174" s="91"/>
      <c r="P174" s="91"/>
      <c r="Q174" s="90"/>
    </row>
    <row r="175">
      <c r="A175" s="81"/>
      <c r="I175" s="91"/>
      <c r="N175" s="90"/>
      <c r="O175" s="91"/>
      <c r="P175" s="91"/>
      <c r="Q175" s="90"/>
    </row>
    <row r="176">
      <c r="A176" s="81"/>
      <c r="I176" s="91"/>
      <c r="N176" s="90"/>
      <c r="O176" s="91"/>
      <c r="P176" s="91"/>
      <c r="Q176" s="90"/>
    </row>
    <row r="177">
      <c r="A177" s="81"/>
      <c r="I177" s="91"/>
      <c r="N177" s="90"/>
      <c r="O177" s="91"/>
      <c r="P177" s="91"/>
      <c r="Q177" s="90"/>
    </row>
    <row r="178">
      <c r="A178" s="81"/>
      <c r="I178" s="91"/>
      <c r="N178" s="90"/>
      <c r="O178" s="91"/>
      <c r="P178" s="91"/>
      <c r="Q178" s="90"/>
    </row>
    <row r="179">
      <c r="A179" s="81"/>
      <c r="I179" s="91"/>
      <c r="N179" s="90"/>
      <c r="O179" s="91"/>
      <c r="P179" s="91"/>
      <c r="Q179" s="90"/>
    </row>
    <row r="180">
      <c r="A180" s="81"/>
      <c r="I180" s="91"/>
      <c r="N180" s="90"/>
      <c r="O180" s="91"/>
      <c r="P180" s="91"/>
      <c r="Q180" s="90"/>
    </row>
    <row r="181">
      <c r="A181" s="81"/>
      <c r="I181" s="91"/>
      <c r="N181" s="90"/>
      <c r="O181" s="91"/>
      <c r="P181" s="91"/>
      <c r="Q181" s="90"/>
    </row>
    <row r="182">
      <c r="A182" s="81"/>
      <c r="I182" s="91"/>
      <c r="N182" s="90"/>
      <c r="O182" s="91"/>
      <c r="P182" s="91"/>
      <c r="Q182" s="90"/>
    </row>
    <row r="183">
      <c r="A183" s="81"/>
      <c r="I183" s="91"/>
      <c r="N183" s="90"/>
      <c r="O183" s="91"/>
      <c r="P183" s="91"/>
      <c r="Q183" s="90"/>
    </row>
    <row r="184">
      <c r="A184" s="81"/>
      <c r="I184" s="91"/>
      <c r="N184" s="90"/>
      <c r="O184" s="91"/>
      <c r="P184" s="91"/>
      <c r="Q184" s="90"/>
    </row>
    <row r="185">
      <c r="A185" s="81"/>
      <c r="I185" s="91"/>
      <c r="N185" s="90"/>
      <c r="O185" s="91"/>
      <c r="P185" s="91"/>
      <c r="Q185" s="90"/>
    </row>
    <row r="186">
      <c r="A186" s="81"/>
      <c r="I186" s="91"/>
      <c r="N186" s="90"/>
      <c r="O186" s="91"/>
      <c r="P186" s="91"/>
      <c r="Q186" s="90"/>
    </row>
    <row r="187">
      <c r="A187" s="81"/>
      <c r="I187" s="91"/>
      <c r="N187" s="90"/>
      <c r="O187" s="91"/>
      <c r="P187" s="91"/>
      <c r="Q187" s="90"/>
    </row>
    <row r="188">
      <c r="A188" s="81"/>
      <c r="I188" s="91"/>
      <c r="N188" s="90"/>
      <c r="O188" s="91"/>
      <c r="P188" s="91"/>
      <c r="Q188" s="90"/>
    </row>
    <row r="189">
      <c r="A189" s="81"/>
      <c r="I189" s="91"/>
      <c r="N189" s="90"/>
      <c r="O189" s="91"/>
      <c r="P189" s="91"/>
      <c r="Q189" s="90"/>
    </row>
    <row r="190">
      <c r="A190" s="81"/>
      <c r="I190" s="91"/>
      <c r="N190" s="90"/>
      <c r="O190" s="91"/>
      <c r="P190" s="91"/>
      <c r="Q190" s="90"/>
    </row>
    <row r="191">
      <c r="A191" s="81"/>
      <c r="I191" s="91"/>
      <c r="N191" s="90"/>
      <c r="O191" s="91"/>
      <c r="P191" s="91"/>
      <c r="Q191" s="90"/>
    </row>
    <row r="192">
      <c r="A192" s="81"/>
      <c r="I192" s="91"/>
      <c r="N192" s="90"/>
      <c r="O192" s="91"/>
      <c r="P192" s="91"/>
      <c r="Q192" s="90"/>
    </row>
    <row r="193">
      <c r="A193" s="81"/>
      <c r="I193" s="91"/>
      <c r="N193" s="90"/>
      <c r="O193" s="91"/>
      <c r="P193" s="91"/>
      <c r="Q193" s="90"/>
    </row>
    <row r="194">
      <c r="A194" s="81"/>
      <c r="I194" s="91"/>
      <c r="N194" s="90"/>
      <c r="O194" s="91"/>
      <c r="P194" s="91"/>
      <c r="Q194" s="90"/>
    </row>
    <row r="195">
      <c r="A195" s="81"/>
      <c r="I195" s="91"/>
      <c r="N195" s="90"/>
      <c r="O195" s="91"/>
      <c r="P195" s="91"/>
      <c r="Q195" s="90"/>
    </row>
    <row r="196">
      <c r="A196" s="81"/>
      <c r="I196" s="91"/>
      <c r="N196" s="90"/>
      <c r="O196" s="91"/>
      <c r="P196" s="91"/>
      <c r="Q196" s="90"/>
    </row>
    <row r="197">
      <c r="A197" s="81"/>
      <c r="I197" s="91"/>
      <c r="N197" s="90"/>
      <c r="O197" s="91"/>
      <c r="P197" s="91"/>
      <c r="Q197" s="90"/>
    </row>
    <row r="198">
      <c r="A198" s="81"/>
      <c r="I198" s="91"/>
      <c r="N198" s="90"/>
      <c r="O198" s="91"/>
      <c r="P198" s="91"/>
      <c r="Q198" s="90"/>
    </row>
    <row r="199">
      <c r="A199" s="81"/>
      <c r="I199" s="91"/>
      <c r="N199" s="90"/>
      <c r="O199" s="91"/>
      <c r="P199" s="91"/>
      <c r="Q199" s="90"/>
    </row>
    <row r="200">
      <c r="A200" s="81"/>
      <c r="I200" s="91"/>
      <c r="N200" s="90"/>
      <c r="O200" s="91"/>
      <c r="P200" s="91"/>
      <c r="Q200" s="90"/>
    </row>
    <row r="201">
      <c r="A201" s="81"/>
      <c r="I201" s="91"/>
      <c r="N201" s="90"/>
      <c r="O201" s="91"/>
      <c r="P201" s="91"/>
      <c r="Q201" s="90"/>
    </row>
    <row r="202">
      <c r="A202" s="81"/>
      <c r="I202" s="91"/>
      <c r="N202" s="90"/>
      <c r="O202" s="91"/>
      <c r="P202" s="91"/>
      <c r="Q202" s="90"/>
    </row>
    <row r="203">
      <c r="A203" s="81"/>
      <c r="I203" s="91"/>
      <c r="N203" s="90"/>
      <c r="O203" s="91"/>
      <c r="P203" s="91"/>
      <c r="Q203" s="90"/>
    </row>
    <row r="204">
      <c r="A204" s="81"/>
      <c r="I204" s="91"/>
      <c r="N204" s="90"/>
      <c r="O204" s="91"/>
      <c r="P204" s="91"/>
      <c r="Q204" s="90"/>
    </row>
    <row r="205">
      <c r="A205" s="81"/>
      <c r="I205" s="91"/>
      <c r="N205" s="90"/>
      <c r="O205" s="91"/>
      <c r="P205" s="91"/>
      <c r="Q205" s="90"/>
    </row>
    <row r="206">
      <c r="A206" s="81"/>
      <c r="I206" s="91"/>
      <c r="N206" s="90"/>
      <c r="O206" s="91"/>
      <c r="P206" s="91"/>
      <c r="Q206" s="90"/>
    </row>
    <row r="207">
      <c r="A207" s="81"/>
      <c r="I207" s="91"/>
      <c r="N207" s="90"/>
      <c r="O207" s="91"/>
      <c r="P207" s="91"/>
      <c r="Q207" s="90"/>
    </row>
    <row r="208">
      <c r="A208" s="81"/>
      <c r="I208" s="91"/>
      <c r="N208" s="90"/>
      <c r="O208" s="91"/>
      <c r="P208" s="91"/>
      <c r="Q208" s="90"/>
    </row>
    <row r="209">
      <c r="A209" s="81"/>
      <c r="I209" s="91"/>
      <c r="N209" s="90"/>
      <c r="O209" s="91"/>
      <c r="P209" s="91"/>
      <c r="Q209" s="90"/>
    </row>
    <row r="210">
      <c r="A210" s="81"/>
      <c r="I210" s="91"/>
      <c r="N210" s="90"/>
      <c r="O210" s="91"/>
      <c r="P210" s="91"/>
      <c r="Q210" s="90"/>
    </row>
    <row r="211">
      <c r="A211" s="81"/>
      <c r="I211" s="91"/>
      <c r="N211" s="90"/>
      <c r="O211" s="91"/>
      <c r="P211" s="91"/>
      <c r="Q211" s="90"/>
    </row>
    <row r="212">
      <c r="A212" s="81"/>
      <c r="I212" s="91"/>
      <c r="N212" s="90"/>
      <c r="O212" s="91"/>
      <c r="P212" s="91"/>
      <c r="Q212" s="90"/>
    </row>
    <row r="213">
      <c r="A213" s="81"/>
      <c r="I213" s="91"/>
      <c r="N213" s="90"/>
      <c r="O213" s="91"/>
      <c r="P213" s="91"/>
      <c r="Q213" s="90"/>
    </row>
    <row r="214">
      <c r="A214" s="81"/>
      <c r="I214" s="91"/>
      <c r="N214" s="90"/>
      <c r="O214" s="91"/>
      <c r="P214" s="91"/>
      <c r="Q214" s="90"/>
    </row>
    <row r="215">
      <c r="A215" s="81"/>
      <c r="I215" s="91"/>
      <c r="N215" s="90"/>
      <c r="O215" s="91"/>
      <c r="P215" s="91"/>
      <c r="Q215" s="90"/>
    </row>
    <row r="216">
      <c r="A216" s="81"/>
      <c r="I216" s="91"/>
      <c r="N216" s="90"/>
      <c r="O216" s="91"/>
      <c r="P216" s="91"/>
      <c r="Q216" s="90"/>
    </row>
    <row r="217">
      <c r="A217" s="81"/>
      <c r="I217" s="91"/>
      <c r="N217" s="90"/>
      <c r="O217" s="91"/>
      <c r="P217" s="91"/>
      <c r="Q217" s="90"/>
    </row>
    <row r="218">
      <c r="A218" s="81"/>
      <c r="I218" s="91"/>
      <c r="N218" s="90"/>
      <c r="O218" s="91"/>
      <c r="P218" s="91"/>
      <c r="Q218" s="90"/>
    </row>
    <row r="219">
      <c r="A219" s="81"/>
      <c r="I219" s="91"/>
      <c r="N219" s="90"/>
      <c r="O219" s="91"/>
      <c r="P219" s="91"/>
      <c r="Q219" s="90"/>
    </row>
    <row r="220">
      <c r="A220" s="81"/>
      <c r="I220" s="91"/>
      <c r="N220" s="90"/>
      <c r="O220" s="91"/>
      <c r="P220" s="91"/>
      <c r="Q220" s="90"/>
    </row>
    <row r="221">
      <c r="A221" s="81"/>
      <c r="I221" s="91"/>
      <c r="N221" s="90"/>
      <c r="O221" s="91"/>
      <c r="P221" s="91"/>
      <c r="Q221" s="90"/>
    </row>
    <row r="222">
      <c r="A222" s="81"/>
      <c r="I222" s="91"/>
      <c r="N222" s="90"/>
      <c r="O222" s="91"/>
      <c r="P222" s="91"/>
      <c r="Q222" s="90"/>
    </row>
    <row r="223">
      <c r="A223" s="81"/>
      <c r="I223" s="91"/>
      <c r="N223" s="90"/>
      <c r="O223" s="91"/>
      <c r="P223" s="91"/>
      <c r="Q223" s="90"/>
    </row>
    <row r="224">
      <c r="A224" s="81"/>
      <c r="I224" s="91"/>
      <c r="N224" s="90"/>
      <c r="O224" s="91"/>
      <c r="P224" s="91"/>
      <c r="Q224" s="90"/>
    </row>
    <row r="225">
      <c r="A225" s="81"/>
      <c r="I225" s="91"/>
      <c r="N225" s="90"/>
      <c r="O225" s="91"/>
      <c r="P225" s="91"/>
      <c r="Q225" s="90"/>
    </row>
    <row r="226">
      <c r="A226" s="81"/>
      <c r="I226" s="91"/>
      <c r="N226" s="90"/>
      <c r="O226" s="91"/>
      <c r="P226" s="91"/>
      <c r="Q226" s="90"/>
    </row>
    <row r="227">
      <c r="A227" s="81"/>
      <c r="I227" s="91"/>
      <c r="N227" s="90"/>
      <c r="O227" s="91"/>
      <c r="P227" s="91"/>
      <c r="Q227" s="90"/>
    </row>
    <row r="228">
      <c r="A228" s="81"/>
      <c r="I228" s="91"/>
      <c r="N228" s="90"/>
      <c r="O228" s="91"/>
      <c r="P228" s="91"/>
      <c r="Q228" s="90"/>
    </row>
    <row r="229">
      <c r="A229" s="81"/>
      <c r="I229" s="91"/>
      <c r="N229" s="90"/>
      <c r="O229" s="91"/>
      <c r="P229" s="91"/>
      <c r="Q229" s="90"/>
    </row>
    <row r="230">
      <c r="A230" s="81"/>
      <c r="I230" s="91"/>
      <c r="N230" s="90"/>
      <c r="O230" s="91"/>
      <c r="P230" s="91"/>
      <c r="Q230" s="90"/>
    </row>
    <row r="231">
      <c r="A231" s="81"/>
      <c r="I231" s="91"/>
      <c r="N231" s="90"/>
      <c r="O231" s="91"/>
      <c r="P231" s="91"/>
      <c r="Q231" s="90"/>
    </row>
    <row r="232">
      <c r="A232" s="81"/>
      <c r="I232" s="91"/>
      <c r="N232" s="90"/>
      <c r="O232" s="91"/>
      <c r="P232" s="91"/>
      <c r="Q232" s="90"/>
    </row>
    <row r="233">
      <c r="A233" s="81"/>
      <c r="I233" s="91"/>
      <c r="N233" s="90"/>
      <c r="O233" s="91"/>
      <c r="P233" s="91"/>
      <c r="Q233" s="90"/>
    </row>
    <row r="234">
      <c r="A234" s="81"/>
      <c r="I234" s="91"/>
      <c r="N234" s="90"/>
      <c r="O234" s="91"/>
      <c r="P234" s="91"/>
      <c r="Q234" s="90"/>
    </row>
    <row r="235">
      <c r="A235" s="81"/>
      <c r="I235" s="91"/>
      <c r="N235" s="90"/>
      <c r="O235" s="91"/>
      <c r="P235" s="91"/>
      <c r="Q235" s="90"/>
    </row>
    <row r="236">
      <c r="A236" s="81"/>
      <c r="I236" s="91"/>
      <c r="N236" s="90"/>
      <c r="O236" s="91"/>
      <c r="P236" s="91"/>
      <c r="Q236" s="90"/>
    </row>
    <row r="237">
      <c r="A237" s="81"/>
      <c r="I237" s="91"/>
      <c r="N237" s="90"/>
      <c r="O237" s="91"/>
      <c r="P237" s="91"/>
      <c r="Q237" s="90"/>
    </row>
    <row r="238">
      <c r="A238" s="81"/>
      <c r="I238" s="91"/>
      <c r="N238" s="90"/>
      <c r="O238" s="91"/>
      <c r="P238" s="91"/>
      <c r="Q238" s="90"/>
    </row>
    <row r="239">
      <c r="A239" s="81"/>
      <c r="I239" s="91"/>
      <c r="N239" s="90"/>
      <c r="O239" s="91"/>
      <c r="P239" s="91"/>
      <c r="Q239" s="90"/>
    </row>
    <row r="240">
      <c r="A240" s="81"/>
      <c r="I240" s="91"/>
      <c r="N240" s="90"/>
      <c r="O240" s="91"/>
      <c r="P240" s="91"/>
      <c r="Q240" s="90"/>
    </row>
    <row r="241">
      <c r="A241" s="81"/>
      <c r="I241" s="91"/>
      <c r="N241" s="90"/>
      <c r="O241" s="91"/>
      <c r="P241" s="91"/>
      <c r="Q241" s="90"/>
    </row>
    <row r="242">
      <c r="A242" s="81"/>
      <c r="I242" s="91"/>
      <c r="N242" s="90"/>
      <c r="O242" s="91"/>
      <c r="P242" s="91"/>
      <c r="Q242" s="90"/>
    </row>
    <row r="243">
      <c r="A243" s="81"/>
      <c r="I243" s="91"/>
      <c r="N243" s="90"/>
      <c r="O243" s="91"/>
      <c r="P243" s="91"/>
      <c r="Q243" s="90"/>
    </row>
    <row r="244">
      <c r="A244" s="81"/>
      <c r="I244" s="91"/>
      <c r="N244" s="90"/>
      <c r="O244" s="91"/>
      <c r="P244" s="91"/>
      <c r="Q244" s="90"/>
    </row>
    <row r="245">
      <c r="A245" s="81"/>
      <c r="I245" s="91"/>
      <c r="N245" s="90"/>
      <c r="O245" s="91"/>
      <c r="P245" s="91"/>
      <c r="Q245" s="90"/>
    </row>
    <row r="246">
      <c r="A246" s="81"/>
      <c r="I246" s="91"/>
      <c r="N246" s="90"/>
      <c r="O246" s="91"/>
      <c r="P246" s="91"/>
      <c r="Q246" s="90"/>
    </row>
    <row r="247">
      <c r="A247" s="81"/>
      <c r="I247" s="91"/>
      <c r="N247" s="90"/>
      <c r="O247" s="91"/>
      <c r="P247" s="91"/>
      <c r="Q247" s="90"/>
    </row>
    <row r="248">
      <c r="A248" s="81"/>
      <c r="I248" s="91"/>
      <c r="N248" s="90"/>
      <c r="O248" s="91"/>
      <c r="P248" s="91"/>
      <c r="Q248" s="90"/>
    </row>
    <row r="249">
      <c r="A249" s="81"/>
      <c r="I249" s="91"/>
      <c r="N249" s="90"/>
      <c r="O249" s="91"/>
      <c r="P249" s="91"/>
      <c r="Q249" s="90"/>
    </row>
    <row r="250">
      <c r="A250" s="81"/>
      <c r="I250" s="91"/>
      <c r="N250" s="90"/>
      <c r="O250" s="91"/>
      <c r="P250" s="91"/>
      <c r="Q250" s="90"/>
    </row>
    <row r="251">
      <c r="A251" s="81"/>
      <c r="I251" s="91"/>
      <c r="N251" s="90"/>
      <c r="O251" s="91"/>
      <c r="P251" s="91"/>
      <c r="Q251" s="90"/>
    </row>
    <row r="252">
      <c r="A252" s="81"/>
      <c r="I252" s="91"/>
      <c r="N252" s="90"/>
      <c r="O252" s="91"/>
      <c r="P252" s="91"/>
      <c r="Q252" s="90"/>
    </row>
    <row r="253">
      <c r="A253" s="81"/>
      <c r="I253" s="91"/>
      <c r="N253" s="90"/>
      <c r="O253" s="91"/>
      <c r="P253" s="91"/>
      <c r="Q253" s="90"/>
    </row>
    <row r="254">
      <c r="A254" s="81"/>
      <c r="I254" s="91"/>
      <c r="N254" s="90"/>
      <c r="O254" s="91"/>
      <c r="P254" s="91"/>
      <c r="Q254" s="90"/>
    </row>
    <row r="255">
      <c r="A255" s="81"/>
      <c r="I255" s="91"/>
      <c r="N255" s="90"/>
      <c r="O255" s="91"/>
      <c r="P255" s="91"/>
      <c r="Q255" s="90"/>
    </row>
    <row r="256">
      <c r="A256" s="81"/>
      <c r="I256" s="91"/>
      <c r="N256" s="90"/>
      <c r="O256" s="91"/>
      <c r="P256" s="91"/>
      <c r="Q256" s="90"/>
    </row>
    <row r="257">
      <c r="A257" s="81"/>
      <c r="I257" s="91"/>
      <c r="N257" s="90"/>
      <c r="O257" s="91"/>
      <c r="P257" s="91"/>
      <c r="Q257" s="90"/>
    </row>
    <row r="258">
      <c r="A258" s="81"/>
      <c r="I258" s="91"/>
      <c r="N258" s="90"/>
      <c r="O258" s="91"/>
      <c r="P258" s="91"/>
      <c r="Q258" s="90"/>
    </row>
    <row r="259">
      <c r="A259" s="81"/>
      <c r="I259" s="91"/>
      <c r="N259" s="90"/>
      <c r="O259" s="91"/>
      <c r="P259" s="91"/>
      <c r="Q259" s="90"/>
    </row>
    <row r="260">
      <c r="A260" s="81"/>
      <c r="I260" s="91"/>
      <c r="N260" s="90"/>
      <c r="O260" s="91"/>
      <c r="P260" s="91"/>
      <c r="Q260" s="90"/>
    </row>
    <row r="261">
      <c r="A261" s="81"/>
      <c r="I261" s="91"/>
      <c r="N261" s="90"/>
      <c r="O261" s="91"/>
      <c r="P261" s="91"/>
      <c r="Q261" s="90"/>
    </row>
    <row r="262">
      <c r="A262" s="81"/>
      <c r="I262" s="91"/>
      <c r="N262" s="90"/>
      <c r="O262" s="91"/>
      <c r="P262" s="91"/>
      <c r="Q262" s="90"/>
    </row>
    <row r="263">
      <c r="A263" s="81"/>
      <c r="I263" s="91"/>
      <c r="N263" s="90"/>
      <c r="O263" s="91"/>
      <c r="P263" s="91"/>
      <c r="Q263" s="90"/>
    </row>
    <row r="264">
      <c r="A264" s="81"/>
      <c r="I264" s="91"/>
      <c r="N264" s="90"/>
      <c r="O264" s="91"/>
      <c r="P264" s="91"/>
      <c r="Q264" s="90"/>
    </row>
    <row r="265">
      <c r="A265" s="81"/>
      <c r="I265" s="91"/>
      <c r="N265" s="90"/>
      <c r="O265" s="91"/>
      <c r="P265" s="91"/>
      <c r="Q265" s="90"/>
    </row>
    <row r="266">
      <c r="A266" s="81"/>
      <c r="I266" s="91"/>
      <c r="N266" s="90"/>
      <c r="O266" s="91"/>
      <c r="P266" s="91"/>
      <c r="Q266" s="90"/>
    </row>
    <row r="267">
      <c r="A267" s="81"/>
      <c r="I267" s="91"/>
      <c r="N267" s="90"/>
      <c r="O267" s="91"/>
      <c r="P267" s="91"/>
      <c r="Q267" s="90"/>
    </row>
    <row r="268">
      <c r="A268" s="81"/>
      <c r="I268" s="91"/>
      <c r="N268" s="90"/>
      <c r="O268" s="91"/>
      <c r="P268" s="91"/>
      <c r="Q268" s="90"/>
    </row>
    <row r="269">
      <c r="A269" s="81"/>
      <c r="I269" s="91"/>
      <c r="N269" s="90"/>
      <c r="O269" s="91"/>
      <c r="P269" s="91"/>
      <c r="Q269" s="90"/>
    </row>
    <row r="270">
      <c r="A270" s="81"/>
      <c r="I270" s="91"/>
      <c r="N270" s="90"/>
      <c r="O270" s="91"/>
      <c r="P270" s="91"/>
      <c r="Q270" s="90"/>
    </row>
    <row r="271">
      <c r="A271" s="81"/>
      <c r="I271" s="91"/>
      <c r="N271" s="90"/>
      <c r="O271" s="91"/>
      <c r="P271" s="91"/>
      <c r="Q271" s="90"/>
    </row>
    <row r="272">
      <c r="A272" s="81"/>
      <c r="I272" s="91"/>
      <c r="N272" s="90"/>
      <c r="O272" s="91"/>
      <c r="P272" s="91"/>
      <c r="Q272" s="90"/>
    </row>
    <row r="273">
      <c r="A273" s="81"/>
      <c r="I273" s="91"/>
      <c r="N273" s="90"/>
      <c r="O273" s="91"/>
      <c r="P273" s="91"/>
      <c r="Q273" s="90"/>
    </row>
    <row r="274">
      <c r="A274" s="81"/>
      <c r="I274" s="91"/>
      <c r="N274" s="90"/>
      <c r="O274" s="91"/>
      <c r="P274" s="91"/>
      <c r="Q274" s="90"/>
    </row>
    <row r="275">
      <c r="A275" s="81"/>
      <c r="I275" s="91"/>
      <c r="N275" s="90"/>
      <c r="O275" s="91"/>
      <c r="P275" s="91"/>
      <c r="Q275" s="90"/>
    </row>
    <row r="276">
      <c r="A276" s="81"/>
      <c r="I276" s="91"/>
      <c r="N276" s="90"/>
      <c r="O276" s="91"/>
      <c r="P276" s="91"/>
      <c r="Q276" s="90"/>
    </row>
    <row r="277">
      <c r="A277" s="81"/>
      <c r="I277" s="91"/>
      <c r="N277" s="90"/>
      <c r="O277" s="91"/>
      <c r="P277" s="91"/>
      <c r="Q277" s="90"/>
    </row>
    <row r="278">
      <c r="A278" s="81"/>
      <c r="I278" s="91"/>
      <c r="N278" s="90"/>
      <c r="O278" s="91"/>
      <c r="P278" s="91"/>
      <c r="Q278" s="90"/>
    </row>
    <row r="279">
      <c r="A279" s="81"/>
      <c r="I279" s="91"/>
      <c r="N279" s="90"/>
      <c r="O279" s="91"/>
      <c r="P279" s="91"/>
      <c r="Q279" s="90"/>
    </row>
    <row r="280">
      <c r="A280" s="81"/>
      <c r="I280" s="91"/>
      <c r="N280" s="90"/>
      <c r="O280" s="91"/>
      <c r="P280" s="91"/>
      <c r="Q280" s="90"/>
    </row>
    <row r="281">
      <c r="A281" s="81"/>
      <c r="I281" s="91"/>
      <c r="N281" s="90"/>
      <c r="O281" s="91"/>
      <c r="P281" s="91"/>
      <c r="Q281" s="90"/>
    </row>
    <row r="282">
      <c r="A282" s="81"/>
      <c r="I282" s="91"/>
      <c r="N282" s="90"/>
      <c r="O282" s="91"/>
      <c r="P282" s="91"/>
      <c r="Q282" s="90"/>
    </row>
    <row r="283">
      <c r="A283" s="81"/>
      <c r="I283" s="91"/>
      <c r="N283" s="90"/>
      <c r="O283" s="91"/>
      <c r="P283" s="91"/>
      <c r="Q283" s="90"/>
    </row>
    <row r="284">
      <c r="A284" s="81"/>
      <c r="I284" s="91"/>
      <c r="N284" s="90"/>
      <c r="O284" s="91"/>
      <c r="P284" s="91"/>
      <c r="Q284" s="90"/>
    </row>
    <row r="285">
      <c r="A285" s="81"/>
      <c r="I285" s="91"/>
      <c r="N285" s="90"/>
      <c r="O285" s="91"/>
      <c r="P285" s="91"/>
      <c r="Q285" s="90"/>
    </row>
    <row r="286">
      <c r="A286" s="81"/>
      <c r="I286" s="91"/>
      <c r="N286" s="90"/>
      <c r="O286" s="91"/>
      <c r="P286" s="91"/>
      <c r="Q286" s="90"/>
    </row>
    <row r="287">
      <c r="A287" s="81"/>
      <c r="I287" s="91"/>
      <c r="N287" s="90"/>
      <c r="O287" s="91"/>
      <c r="P287" s="91"/>
      <c r="Q287" s="90"/>
    </row>
    <row r="288">
      <c r="A288" s="81"/>
      <c r="I288" s="91"/>
      <c r="N288" s="90"/>
      <c r="O288" s="91"/>
      <c r="P288" s="91"/>
      <c r="Q288" s="90"/>
    </row>
    <row r="289">
      <c r="A289" s="81"/>
      <c r="I289" s="91"/>
      <c r="N289" s="90"/>
      <c r="O289" s="91"/>
      <c r="P289" s="91"/>
      <c r="Q289" s="90"/>
    </row>
    <row r="290">
      <c r="A290" s="81"/>
      <c r="I290" s="91"/>
      <c r="N290" s="90"/>
      <c r="O290" s="91"/>
      <c r="P290" s="91"/>
      <c r="Q290" s="90"/>
    </row>
    <row r="291">
      <c r="A291" s="81"/>
      <c r="I291" s="91"/>
      <c r="N291" s="90"/>
      <c r="O291" s="91"/>
      <c r="P291" s="91"/>
      <c r="Q291" s="90"/>
    </row>
    <row r="292">
      <c r="A292" s="81"/>
      <c r="I292" s="91"/>
      <c r="N292" s="90"/>
      <c r="O292" s="91"/>
      <c r="P292" s="91"/>
      <c r="Q292" s="90"/>
    </row>
    <row r="293">
      <c r="A293" s="81"/>
      <c r="I293" s="91"/>
      <c r="N293" s="90"/>
      <c r="O293" s="91"/>
      <c r="P293" s="91"/>
      <c r="Q293" s="90"/>
    </row>
    <row r="294">
      <c r="A294" s="81"/>
      <c r="I294" s="91"/>
      <c r="N294" s="90"/>
      <c r="O294" s="91"/>
      <c r="P294" s="91"/>
      <c r="Q294" s="90"/>
    </row>
    <row r="295">
      <c r="A295" s="81"/>
      <c r="I295" s="91"/>
      <c r="N295" s="90"/>
      <c r="O295" s="91"/>
      <c r="P295" s="91"/>
      <c r="Q295" s="90"/>
    </row>
    <row r="296">
      <c r="A296" s="81"/>
      <c r="I296" s="91"/>
      <c r="N296" s="90"/>
      <c r="O296" s="91"/>
      <c r="P296" s="91"/>
      <c r="Q296" s="90"/>
    </row>
    <row r="297">
      <c r="A297" s="81"/>
      <c r="I297" s="91"/>
      <c r="N297" s="90"/>
      <c r="O297" s="91"/>
      <c r="P297" s="91"/>
      <c r="Q297" s="90"/>
    </row>
    <row r="298">
      <c r="A298" s="81"/>
      <c r="I298" s="91"/>
      <c r="N298" s="90"/>
      <c r="O298" s="91"/>
      <c r="P298" s="91"/>
      <c r="Q298" s="90"/>
    </row>
    <row r="299">
      <c r="A299" s="81"/>
      <c r="I299" s="91"/>
      <c r="N299" s="90"/>
      <c r="O299" s="91"/>
      <c r="P299" s="91"/>
      <c r="Q299" s="90"/>
    </row>
    <row r="300">
      <c r="A300" s="81"/>
      <c r="I300" s="91"/>
      <c r="N300" s="90"/>
      <c r="O300" s="91"/>
      <c r="P300" s="91"/>
      <c r="Q300" s="90"/>
    </row>
    <row r="301">
      <c r="A301" s="81"/>
      <c r="I301" s="91"/>
      <c r="N301" s="90"/>
      <c r="O301" s="91"/>
      <c r="P301" s="91"/>
      <c r="Q301" s="90"/>
    </row>
    <row r="302">
      <c r="A302" s="81"/>
      <c r="I302" s="91"/>
      <c r="N302" s="90"/>
      <c r="O302" s="91"/>
      <c r="P302" s="91"/>
      <c r="Q302" s="90"/>
    </row>
    <row r="303">
      <c r="A303" s="81"/>
      <c r="I303" s="91"/>
      <c r="N303" s="90"/>
      <c r="O303" s="91"/>
      <c r="P303" s="91"/>
      <c r="Q303" s="90"/>
    </row>
    <row r="304">
      <c r="A304" s="81"/>
      <c r="I304" s="91"/>
      <c r="N304" s="90"/>
      <c r="O304" s="91"/>
      <c r="P304" s="91"/>
      <c r="Q304" s="90"/>
    </row>
    <row r="305">
      <c r="A305" s="81"/>
      <c r="I305" s="91"/>
      <c r="N305" s="90"/>
      <c r="O305" s="91"/>
      <c r="P305" s="91"/>
      <c r="Q305" s="90"/>
    </row>
    <row r="306">
      <c r="A306" s="81"/>
      <c r="I306" s="91"/>
      <c r="N306" s="90"/>
      <c r="O306" s="91"/>
      <c r="P306" s="91"/>
      <c r="Q306" s="90"/>
    </row>
    <row r="307">
      <c r="A307" s="81"/>
      <c r="I307" s="91"/>
      <c r="N307" s="90"/>
      <c r="O307" s="91"/>
      <c r="P307" s="91"/>
      <c r="Q307" s="90"/>
    </row>
    <row r="308">
      <c r="A308" s="81"/>
      <c r="I308" s="91"/>
      <c r="N308" s="90"/>
      <c r="O308" s="91"/>
      <c r="P308" s="91"/>
      <c r="Q308" s="90"/>
    </row>
    <row r="309">
      <c r="A309" s="81"/>
      <c r="I309" s="91"/>
      <c r="N309" s="90"/>
      <c r="O309" s="91"/>
      <c r="P309" s="91"/>
      <c r="Q309" s="90"/>
    </row>
    <row r="310">
      <c r="A310" s="81"/>
      <c r="I310" s="91"/>
      <c r="N310" s="90"/>
      <c r="O310" s="91"/>
      <c r="P310" s="91"/>
      <c r="Q310" s="90"/>
    </row>
    <row r="311">
      <c r="A311" s="81"/>
      <c r="I311" s="91"/>
      <c r="N311" s="90"/>
      <c r="O311" s="91"/>
      <c r="P311" s="91"/>
      <c r="Q311" s="90"/>
    </row>
    <row r="312">
      <c r="A312" s="81"/>
      <c r="I312" s="91"/>
      <c r="N312" s="90"/>
      <c r="O312" s="91"/>
      <c r="P312" s="91"/>
      <c r="Q312" s="90"/>
    </row>
    <row r="313">
      <c r="A313" s="81"/>
      <c r="I313" s="91"/>
      <c r="N313" s="90"/>
      <c r="O313" s="91"/>
      <c r="P313" s="91"/>
      <c r="Q313" s="90"/>
    </row>
    <row r="314">
      <c r="A314" s="81"/>
      <c r="I314" s="91"/>
      <c r="N314" s="90"/>
      <c r="O314" s="91"/>
      <c r="P314" s="91"/>
      <c r="Q314" s="90"/>
    </row>
    <row r="315">
      <c r="A315" s="81"/>
      <c r="I315" s="91"/>
      <c r="N315" s="90"/>
      <c r="O315" s="91"/>
      <c r="P315" s="91"/>
      <c r="Q315" s="90"/>
    </row>
    <row r="316">
      <c r="A316" s="81"/>
      <c r="I316" s="91"/>
      <c r="N316" s="90"/>
      <c r="O316" s="91"/>
      <c r="P316" s="91"/>
      <c r="Q316" s="90"/>
    </row>
    <row r="317">
      <c r="A317" s="81"/>
      <c r="I317" s="91"/>
      <c r="N317" s="90"/>
      <c r="O317" s="91"/>
      <c r="P317" s="91"/>
      <c r="Q317" s="90"/>
    </row>
    <row r="318">
      <c r="A318" s="81"/>
      <c r="I318" s="91"/>
      <c r="N318" s="90"/>
      <c r="O318" s="91"/>
      <c r="P318" s="91"/>
      <c r="Q318" s="90"/>
    </row>
    <row r="319">
      <c r="A319" s="81"/>
      <c r="I319" s="91"/>
      <c r="N319" s="90"/>
      <c r="O319" s="91"/>
      <c r="P319" s="91"/>
      <c r="Q319" s="90"/>
    </row>
    <row r="320">
      <c r="A320" s="81"/>
      <c r="I320" s="91"/>
      <c r="N320" s="90"/>
      <c r="O320" s="91"/>
      <c r="P320" s="91"/>
      <c r="Q320" s="90"/>
    </row>
    <row r="321">
      <c r="A321" s="81"/>
      <c r="I321" s="91"/>
      <c r="N321" s="90"/>
      <c r="O321" s="91"/>
      <c r="P321" s="91"/>
      <c r="Q321" s="90"/>
    </row>
    <row r="322">
      <c r="A322" s="81"/>
      <c r="I322" s="91"/>
      <c r="N322" s="90"/>
      <c r="O322" s="91"/>
      <c r="P322" s="91"/>
      <c r="Q322" s="90"/>
    </row>
    <row r="323">
      <c r="A323" s="81"/>
      <c r="I323" s="91"/>
      <c r="N323" s="90"/>
      <c r="O323" s="91"/>
      <c r="P323" s="91"/>
      <c r="Q323" s="90"/>
    </row>
    <row r="324">
      <c r="A324" s="81"/>
      <c r="I324" s="91"/>
      <c r="N324" s="90"/>
      <c r="O324" s="91"/>
      <c r="P324" s="91"/>
      <c r="Q324" s="90"/>
    </row>
    <row r="325">
      <c r="A325" s="81"/>
      <c r="I325" s="91"/>
      <c r="N325" s="90"/>
      <c r="O325" s="91"/>
      <c r="P325" s="91"/>
      <c r="Q325" s="90"/>
    </row>
    <row r="326">
      <c r="A326" s="81"/>
      <c r="I326" s="91"/>
      <c r="N326" s="90"/>
      <c r="O326" s="91"/>
      <c r="P326" s="91"/>
      <c r="Q326" s="90"/>
    </row>
    <row r="327">
      <c r="A327" s="81"/>
      <c r="I327" s="91"/>
      <c r="N327" s="90"/>
      <c r="O327" s="91"/>
      <c r="P327" s="91"/>
      <c r="Q327" s="90"/>
    </row>
    <row r="328">
      <c r="A328" s="81"/>
      <c r="I328" s="91"/>
      <c r="N328" s="90"/>
      <c r="O328" s="91"/>
      <c r="P328" s="91"/>
      <c r="Q328" s="90"/>
    </row>
    <row r="329">
      <c r="A329" s="81"/>
      <c r="I329" s="91"/>
      <c r="N329" s="90"/>
      <c r="O329" s="91"/>
      <c r="P329" s="91"/>
      <c r="Q329" s="90"/>
    </row>
    <row r="330">
      <c r="A330" s="81"/>
      <c r="I330" s="91"/>
      <c r="N330" s="90"/>
      <c r="O330" s="91"/>
      <c r="P330" s="91"/>
      <c r="Q330" s="90"/>
    </row>
    <row r="331">
      <c r="A331" s="81"/>
      <c r="I331" s="91"/>
      <c r="N331" s="90"/>
      <c r="O331" s="91"/>
      <c r="P331" s="91"/>
      <c r="Q331" s="90"/>
    </row>
    <row r="332">
      <c r="A332" s="81"/>
      <c r="I332" s="91"/>
      <c r="N332" s="90"/>
      <c r="O332" s="91"/>
      <c r="P332" s="91"/>
      <c r="Q332" s="90"/>
    </row>
    <row r="333">
      <c r="A333" s="81"/>
      <c r="I333" s="91"/>
      <c r="N333" s="90"/>
      <c r="O333" s="91"/>
      <c r="P333" s="91"/>
      <c r="Q333" s="90"/>
    </row>
    <row r="334">
      <c r="A334" s="81"/>
      <c r="I334" s="91"/>
      <c r="N334" s="90"/>
      <c r="O334" s="91"/>
      <c r="P334" s="91"/>
      <c r="Q334" s="90"/>
    </row>
    <row r="335">
      <c r="A335" s="81"/>
      <c r="I335" s="91"/>
      <c r="N335" s="90"/>
      <c r="O335" s="91"/>
      <c r="P335" s="91"/>
      <c r="Q335" s="90"/>
    </row>
    <row r="336">
      <c r="A336" s="81"/>
      <c r="I336" s="91"/>
      <c r="N336" s="90"/>
      <c r="O336" s="91"/>
      <c r="P336" s="91"/>
      <c r="Q336" s="90"/>
    </row>
    <row r="337">
      <c r="A337" s="81"/>
      <c r="I337" s="91"/>
      <c r="N337" s="90"/>
      <c r="O337" s="91"/>
      <c r="P337" s="91"/>
      <c r="Q337" s="90"/>
    </row>
    <row r="338">
      <c r="A338" s="81"/>
      <c r="I338" s="91"/>
      <c r="N338" s="90"/>
      <c r="O338" s="91"/>
      <c r="P338" s="91"/>
      <c r="Q338" s="90"/>
    </row>
    <row r="339">
      <c r="A339" s="81"/>
      <c r="I339" s="91"/>
      <c r="N339" s="90"/>
      <c r="O339" s="91"/>
      <c r="P339" s="91"/>
      <c r="Q339" s="90"/>
    </row>
    <row r="340">
      <c r="A340" s="81"/>
      <c r="I340" s="91"/>
      <c r="N340" s="90"/>
      <c r="O340" s="91"/>
      <c r="P340" s="91"/>
      <c r="Q340" s="90"/>
    </row>
    <row r="341">
      <c r="A341" s="81"/>
      <c r="I341" s="91"/>
      <c r="N341" s="90"/>
      <c r="O341" s="91"/>
      <c r="P341" s="91"/>
      <c r="Q341" s="90"/>
    </row>
    <row r="342">
      <c r="A342" s="81"/>
      <c r="I342" s="91"/>
      <c r="N342" s="90"/>
      <c r="O342" s="91"/>
      <c r="P342" s="91"/>
      <c r="Q342" s="90"/>
    </row>
    <row r="343">
      <c r="A343" s="81"/>
      <c r="I343" s="91"/>
      <c r="N343" s="90"/>
      <c r="O343" s="91"/>
      <c r="P343" s="91"/>
      <c r="Q343" s="90"/>
    </row>
    <row r="344">
      <c r="A344" s="81"/>
      <c r="I344" s="91"/>
      <c r="N344" s="90"/>
      <c r="O344" s="91"/>
      <c r="P344" s="91"/>
      <c r="Q344" s="90"/>
    </row>
    <row r="345">
      <c r="A345" s="81"/>
      <c r="I345" s="91"/>
      <c r="N345" s="90"/>
      <c r="O345" s="91"/>
      <c r="P345" s="91"/>
      <c r="Q345" s="90"/>
    </row>
    <row r="346">
      <c r="A346" s="81"/>
      <c r="I346" s="91"/>
      <c r="N346" s="90"/>
      <c r="O346" s="91"/>
      <c r="P346" s="91"/>
      <c r="Q346" s="90"/>
    </row>
    <row r="347">
      <c r="A347" s="81"/>
      <c r="I347" s="91"/>
      <c r="N347" s="90"/>
      <c r="O347" s="91"/>
      <c r="P347" s="91"/>
      <c r="Q347" s="90"/>
    </row>
    <row r="348">
      <c r="A348" s="81"/>
      <c r="I348" s="91"/>
      <c r="N348" s="90"/>
      <c r="O348" s="91"/>
      <c r="P348" s="91"/>
      <c r="Q348" s="90"/>
    </row>
    <row r="349">
      <c r="A349" s="81"/>
      <c r="I349" s="91"/>
      <c r="N349" s="90"/>
      <c r="O349" s="91"/>
      <c r="P349" s="91"/>
      <c r="Q349" s="90"/>
    </row>
    <row r="350">
      <c r="A350" s="81"/>
      <c r="I350" s="91"/>
      <c r="N350" s="90"/>
      <c r="O350" s="91"/>
      <c r="P350" s="91"/>
      <c r="Q350" s="90"/>
    </row>
    <row r="351">
      <c r="A351" s="81"/>
      <c r="I351" s="91"/>
      <c r="N351" s="90"/>
      <c r="O351" s="91"/>
      <c r="P351" s="91"/>
      <c r="Q351" s="90"/>
    </row>
    <row r="352">
      <c r="A352" s="81"/>
      <c r="I352" s="91"/>
      <c r="N352" s="90"/>
      <c r="O352" s="91"/>
      <c r="P352" s="91"/>
      <c r="Q352" s="90"/>
    </row>
    <row r="353">
      <c r="A353" s="81"/>
      <c r="I353" s="91"/>
      <c r="N353" s="90"/>
      <c r="O353" s="91"/>
      <c r="P353" s="91"/>
      <c r="Q353" s="90"/>
    </row>
    <row r="354">
      <c r="A354" s="81"/>
      <c r="I354" s="91"/>
      <c r="N354" s="90"/>
      <c r="O354" s="91"/>
      <c r="P354" s="91"/>
      <c r="Q354" s="90"/>
    </row>
    <row r="355">
      <c r="A355" s="81"/>
      <c r="I355" s="91"/>
      <c r="N355" s="90"/>
      <c r="O355" s="91"/>
      <c r="P355" s="91"/>
      <c r="Q355" s="90"/>
    </row>
    <row r="356">
      <c r="A356" s="81"/>
      <c r="I356" s="91"/>
      <c r="N356" s="90"/>
      <c r="O356" s="91"/>
      <c r="P356" s="91"/>
      <c r="Q356" s="90"/>
    </row>
    <row r="357">
      <c r="A357" s="81"/>
      <c r="I357" s="91"/>
      <c r="N357" s="90"/>
      <c r="O357" s="91"/>
      <c r="P357" s="91"/>
      <c r="Q357" s="90"/>
    </row>
    <row r="358">
      <c r="A358" s="81"/>
      <c r="I358" s="91"/>
      <c r="N358" s="90"/>
      <c r="O358" s="91"/>
      <c r="P358" s="91"/>
      <c r="Q358" s="90"/>
    </row>
    <row r="359">
      <c r="A359" s="81"/>
      <c r="I359" s="91"/>
      <c r="N359" s="90"/>
      <c r="O359" s="91"/>
      <c r="P359" s="91"/>
      <c r="Q359" s="90"/>
    </row>
    <row r="360">
      <c r="A360" s="81"/>
      <c r="I360" s="91"/>
      <c r="N360" s="90"/>
      <c r="O360" s="91"/>
      <c r="P360" s="91"/>
      <c r="Q360" s="90"/>
    </row>
    <row r="361">
      <c r="A361" s="81"/>
      <c r="I361" s="91"/>
      <c r="N361" s="90"/>
      <c r="O361" s="91"/>
      <c r="P361" s="91"/>
      <c r="Q361" s="90"/>
    </row>
    <row r="362">
      <c r="A362" s="81"/>
      <c r="I362" s="91"/>
      <c r="N362" s="90"/>
      <c r="O362" s="91"/>
      <c r="P362" s="91"/>
      <c r="Q362" s="90"/>
    </row>
    <row r="363">
      <c r="A363" s="81"/>
      <c r="I363" s="91"/>
      <c r="N363" s="90"/>
      <c r="O363" s="91"/>
      <c r="P363" s="91"/>
      <c r="Q363" s="90"/>
    </row>
    <row r="364">
      <c r="A364" s="81"/>
      <c r="I364" s="91"/>
      <c r="N364" s="90"/>
      <c r="O364" s="91"/>
      <c r="P364" s="91"/>
      <c r="Q364" s="90"/>
    </row>
    <row r="365">
      <c r="A365" s="81"/>
      <c r="I365" s="91"/>
      <c r="N365" s="90"/>
      <c r="O365" s="91"/>
      <c r="P365" s="91"/>
      <c r="Q365" s="90"/>
    </row>
    <row r="366">
      <c r="A366" s="81"/>
      <c r="I366" s="91"/>
      <c r="N366" s="90"/>
      <c r="O366" s="91"/>
      <c r="P366" s="91"/>
      <c r="Q366" s="90"/>
    </row>
    <row r="367">
      <c r="A367" s="81"/>
      <c r="I367" s="91"/>
      <c r="N367" s="90"/>
      <c r="O367" s="91"/>
      <c r="P367" s="91"/>
      <c r="Q367" s="90"/>
    </row>
    <row r="368">
      <c r="A368" s="81"/>
      <c r="I368" s="91"/>
      <c r="N368" s="90"/>
      <c r="O368" s="91"/>
      <c r="P368" s="91"/>
      <c r="Q368" s="90"/>
    </row>
    <row r="369">
      <c r="A369" s="81"/>
      <c r="I369" s="91"/>
      <c r="N369" s="90"/>
      <c r="O369" s="91"/>
      <c r="P369" s="91"/>
      <c r="Q369" s="90"/>
    </row>
    <row r="370">
      <c r="A370" s="81"/>
      <c r="I370" s="91"/>
      <c r="N370" s="90"/>
      <c r="O370" s="91"/>
      <c r="P370" s="91"/>
      <c r="Q370" s="90"/>
    </row>
    <row r="371">
      <c r="A371" s="81"/>
      <c r="I371" s="91"/>
      <c r="N371" s="90"/>
      <c r="O371" s="91"/>
      <c r="P371" s="91"/>
      <c r="Q371" s="90"/>
    </row>
    <row r="372">
      <c r="A372" s="81"/>
      <c r="I372" s="91"/>
      <c r="N372" s="90"/>
      <c r="O372" s="91"/>
      <c r="P372" s="91"/>
      <c r="Q372" s="90"/>
    </row>
    <row r="373">
      <c r="A373" s="81"/>
      <c r="I373" s="91"/>
      <c r="N373" s="90"/>
      <c r="O373" s="91"/>
      <c r="P373" s="91"/>
      <c r="Q373" s="90"/>
    </row>
    <row r="374">
      <c r="A374" s="81"/>
      <c r="I374" s="91"/>
      <c r="N374" s="90"/>
      <c r="O374" s="91"/>
      <c r="P374" s="91"/>
      <c r="Q374" s="90"/>
    </row>
    <row r="375">
      <c r="A375" s="81"/>
      <c r="I375" s="91"/>
      <c r="N375" s="90"/>
      <c r="O375" s="91"/>
      <c r="P375" s="91"/>
      <c r="Q375" s="90"/>
    </row>
    <row r="376">
      <c r="A376" s="81"/>
      <c r="I376" s="91"/>
      <c r="N376" s="90"/>
      <c r="O376" s="91"/>
      <c r="P376" s="91"/>
      <c r="Q376" s="90"/>
    </row>
    <row r="377">
      <c r="A377" s="81"/>
      <c r="I377" s="91"/>
      <c r="N377" s="90"/>
      <c r="O377" s="91"/>
      <c r="P377" s="91"/>
      <c r="Q377" s="90"/>
    </row>
    <row r="378">
      <c r="A378" s="81"/>
      <c r="I378" s="91"/>
      <c r="N378" s="90"/>
      <c r="O378" s="91"/>
      <c r="P378" s="91"/>
      <c r="Q378" s="90"/>
    </row>
    <row r="379">
      <c r="A379" s="81"/>
      <c r="I379" s="91"/>
      <c r="N379" s="90"/>
      <c r="O379" s="91"/>
      <c r="P379" s="91"/>
      <c r="Q379" s="90"/>
    </row>
    <row r="380">
      <c r="A380" s="81"/>
      <c r="I380" s="91"/>
      <c r="N380" s="90"/>
      <c r="O380" s="91"/>
      <c r="P380" s="91"/>
      <c r="Q380" s="90"/>
    </row>
    <row r="381">
      <c r="A381" s="81"/>
      <c r="I381" s="91"/>
      <c r="N381" s="90"/>
      <c r="O381" s="91"/>
      <c r="P381" s="91"/>
      <c r="Q381" s="90"/>
    </row>
    <row r="382">
      <c r="A382" s="81"/>
      <c r="I382" s="91"/>
      <c r="N382" s="90"/>
      <c r="O382" s="91"/>
      <c r="P382" s="91"/>
      <c r="Q382" s="90"/>
    </row>
    <row r="383">
      <c r="A383" s="81"/>
      <c r="I383" s="91"/>
      <c r="N383" s="90"/>
      <c r="O383" s="91"/>
      <c r="P383" s="91"/>
      <c r="Q383" s="90"/>
    </row>
    <row r="384">
      <c r="A384" s="81"/>
      <c r="I384" s="91"/>
      <c r="N384" s="90"/>
      <c r="O384" s="91"/>
      <c r="P384" s="91"/>
      <c r="Q384" s="90"/>
    </row>
    <row r="385">
      <c r="A385" s="81"/>
      <c r="I385" s="91"/>
      <c r="N385" s="90"/>
      <c r="O385" s="91"/>
      <c r="P385" s="91"/>
      <c r="Q385" s="90"/>
    </row>
    <row r="386">
      <c r="A386" s="81"/>
      <c r="I386" s="91"/>
      <c r="N386" s="90"/>
      <c r="O386" s="91"/>
      <c r="P386" s="91"/>
      <c r="Q386" s="90"/>
    </row>
    <row r="387">
      <c r="A387" s="81"/>
      <c r="I387" s="91"/>
      <c r="N387" s="90"/>
      <c r="O387" s="91"/>
      <c r="P387" s="91"/>
      <c r="Q387" s="90"/>
    </row>
    <row r="388">
      <c r="A388" s="81"/>
      <c r="I388" s="91"/>
      <c r="N388" s="90"/>
      <c r="O388" s="91"/>
      <c r="P388" s="91"/>
      <c r="Q388" s="90"/>
    </row>
    <row r="389">
      <c r="A389" s="81"/>
      <c r="I389" s="91"/>
      <c r="N389" s="90"/>
      <c r="O389" s="91"/>
      <c r="P389" s="91"/>
      <c r="Q389" s="90"/>
    </row>
    <row r="390">
      <c r="A390" s="81"/>
      <c r="I390" s="91"/>
      <c r="N390" s="90"/>
      <c r="O390" s="91"/>
      <c r="P390" s="91"/>
      <c r="Q390" s="90"/>
    </row>
    <row r="391">
      <c r="A391" s="81"/>
      <c r="I391" s="91"/>
      <c r="N391" s="90"/>
      <c r="O391" s="91"/>
      <c r="P391" s="91"/>
      <c r="Q391" s="90"/>
    </row>
    <row r="392">
      <c r="A392" s="81"/>
      <c r="I392" s="91"/>
      <c r="N392" s="90"/>
      <c r="O392" s="91"/>
      <c r="P392" s="91"/>
      <c r="Q392" s="90"/>
    </row>
    <row r="393">
      <c r="A393" s="81"/>
      <c r="I393" s="91"/>
      <c r="N393" s="90"/>
      <c r="O393" s="91"/>
      <c r="P393" s="91"/>
      <c r="Q393" s="90"/>
    </row>
    <row r="394">
      <c r="A394" s="81"/>
      <c r="I394" s="91"/>
      <c r="N394" s="90"/>
      <c r="O394" s="91"/>
      <c r="P394" s="91"/>
      <c r="Q394" s="90"/>
    </row>
    <row r="395">
      <c r="A395" s="81"/>
      <c r="I395" s="91"/>
      <c r="N395" s="90"/>
      <c r="O395" s="91"/>
      <c r="P395" s="91"/>
      <c r="Q395" s="90"/>
    </row>
    <row r="396">
      <c r="A396" s="81"/>
      <c r="I396" s="91"/>
      <c r="N396" s="90"/>
      <c r="O396" s="91"/>
      <c r="P396" s="91"/>
      <c r="Q396" s="90"/>
    </row>
    <row r="397">
      <c r="A397" s="81"/>
      <c r="I397" s="91"/>
      <c r="N397" s="90"/>
      <c r="O397" s="91"/>
      <c r="P397" s="91"/>
      <c r="Q397" s="90"/>
    </row>
    <row r="398">
      <c r="A398" s="81"/>
      <c r="I398" s="91"/>
      <c r="N398" s="90"/>
      <c r="O398" s="91"/>
      <c r="P398" s="91"/>
      <c r="Q398" s="90"/>
    </row>
    <row r="399">
      <c r="A399" s="81"/>
      <c r="I399" s="91"/>
      <c r="N399" s="90"/>
      <c r="O399" s="91"/>
      <c r="P399" s="91"/>
      <c r="Q399" s="90"/>
    </row>
    <row r="400">
      <c r="A400" s="81"/>
      <c r="I400" s="91"/>
      <c r="N400" s="90"/>
      <c r="O400" s="91"/>
      <c r="P400" s="91"/>
      <c r="Q400" s="90"/>
    </row>
    <row r="401">
      <c r="A401" s="81"/>
      <c r="I401" s="91"/>
      <c r="N401" s="90"/>
      <c r="O401" s="91"/>
      <c r="P401" s="91"/>
      <c r="Q401" s="90"/>
    </row>
    <row r="402">
      <c r="A402" s="81"/>
      <c r="I402" s="91"/>
      <c r="N402" s="90"/>
      <c r="O402" s="91"/>
      <c r="P402" s="91"/>
      <c r="Q402" s="90"/>
    </row>
    <row r="403">
      <c r="A403" s="81"/>
      <c r="I403" s="91"/>
      <c r="N403" s="90"/>
      <c r="O403" s="91"/>
      <c r="P403" s="91"/>
      <c r="Q403" s="90"/>
    </row>
    <row r="404">
      <c r="A404" s="81"/>
      <c r="I404" s="91"/>
      <c r="N404" s="90"/>
      <c r="O404" s="91"/>
      <c r="P404" s="91"/>
      <c r="Q404" s="90"/>
    </row>
    <row r="405">
      <c r="A405" s="81"/>
      <c r="I405" s="91"/>
      <c r="N405" s="90"/>
      <c r="O405" s="91"/>
      <c r="P405" s="91"/>
      <c r="Q405" s="90"/>
    </row>
    <row r="406">
      <c r="A406" s="81"/>
      <c r="I406" s="91"/>
      <c r="N406" s="90"/>
      <c r="O406" s="91"/>
      <c r="P406" s="91"/>
      <c r="Q406" s="90"/>
    </row>
    <row r="407">
      <c r="A407" s="81"/>
      <c r="I407" s="91"/>
      <c r="N407" s="90"/>
      <c r="O407" s="91"/>
      <c r="P407" s="91"/>
      <c r="Q407" s="90"/>
    </row>
    <row r="408">
      <c r="A408" s="81"/>
      <c r="I408" s="91"/>
      <c r="N408" s="90"/>
      <c r="O408" s="91"/>
      <c r="P408" s="91"/>
      <c r="Q408" s="90"/>
    </row>
    <row r="409">
      <c r="A409" s="81"/>
      <c r="I409" s="91"/>
      <c r="N409" s="90"/>
      <c r="O409" s="91"/>
      <c r="P409" s="91"/>
      <c r="Q409" s="90"/>
    </row>
    <row r="410">
      <c r="A410" s="81"/>
      <c r="I410" s="91"/>
      <c r="N410" s="90"/>
      <c r="O410" s="91"/>
      <c r="P410" s="91"/>
      <c r="Q410" s="90"/>
    </row>
    <row r="411">
      <c r="A411" s="81"/>
      <c r="I411" s="91"/>
      <c r="N411" s="90"/>
      <c r="O411" s="91"/>
      <c r="P411" s="91"/>
      <c r="Q411" s="90"/>
    </row>
    <row r="412">
      <c r="A412" s="81"/>
      <c r="I412" s="91"/>
      <c r="N412" s="90"/>
      <c r="O412" s="91"/>
      <c r="P412" s="91"/>
      <c r="Q412" s="90"/>
    </row>
    <row r="413">
      <c r="A413" s="81"/>
      <c r="I413" s="91"/>
      <c r="N413" s="90"/>
      <c r="O413" s="91"/>
      <c r="P413" s="91"/>
      <c r="Q413" s="90"/>
    </row>
    <row r="414">
      <c r="A414" s="81"/>
      <c r="I414" s="91"/>
      <c r="N414" s="90"/>
      <c r="O414" s="91"/>
      <c r="P414" s="91"/>
      <c r="Q414" s="90"/>
    </row>
    <row r="415">
      <c r="A415" s="81"/>
      <c r="I415" s="91"/>
      <c r="N415" s="90"/>
      <c r="O415" s="91"/>
      <c r="P415" s="91"/>
      <c r="Q415" s="90"/>
    </row>
    <row r="416">
      <c r="A416" s="81"/>
      <c r="I416" s="91"/>
      <c r="N416" s="90"/>
      <c r="O416" s="91"/>
      <c r="P416" s="91"/>
      <c r="Q416" s="90"/>
    </row>
    <row r="417">
      <c r="A417" s="81"/>
      <c r="I417" s="91"/>
      <c r="N417" s="90"/>
      <c r="O417" s="91"/>
      <c r="P417" s="91"/>
      <c r="Q417" s="90"/>
    </row>
    <row r="418">
      <c r="A418" s="81"/>
      <c r="I418" s="91"/>
      <c r="N418" s="90"/>
      <c r="O418" s="91"/>
      <c r="P418" s="91"/>
      <c r="Q418" s="90"/>
    </row>
    <row r="419">
      <c r="A419" s="81"/>
      <c r="I419" s="91"/>
      <c r="N419" s="90"/>
      <c r="O419" s="91"/>
      <c r="P419" s="91"/>
      <c r="Q419" s="90"/>
    </row>
    <row r="420">
      <c r="A420" s="81"/>
      <c r="I420" s="91"/>
      <c r="N420" s="90"/>
      <c r="O420" s="91"/>
      <c r="P420" s="91"/>
      <c r="Q420" s="90"/>
    </row>
    <row r="421">
      <c r="A421" s="81"/>
      <c r="I421" s="91"/>
      <c r="N421" s="90"/>
      <c r="O421" s="91"/>
      <c r="P421" s="91"/>
      <c r="Q421" s="90"/>
    </row>
    <row r="422">
      <c r="A422" s="81"/>
      <c r="I422" s="91"/>
      <c r="N422" s="90"/>
      <c r="O422" s="91"/>
      <c r="P422" s="91"/>
      <c r="Q422" s="90"/>
    </row>
    <row r="423">
      <c r="A423" s="81"/>
      <c r="I423" s="91"/>
      <c r="N423" s="90"/>
      <c r="O423" s="91"/>
      <c r="P423" s="91"/>
      <c r="Q423" s="90"/>
    </row>
    <row r="424">
      <c r="A424" s="81"/>
      <c r="I424" s="91"/>
      <c r="N424" s="90"/>
      <c r="O424" s="91"/>
      <c r="P424" s="91"/>
      <c r="Q424" s="90"/>
    </row>
    <row r="425">
      <c r="A425" s="81"/>
      <c r="I425" s="91"/>
      <c r="N425" s="90"/>
      <c r="O425" s="91"/>
      <c r="P425" s="91"/>
      <c r="Q425" s="90"/>
    </row>
    <row r="426">
      <c r="A426" s="81"/>
      <c r="I426" s="91"/>
      <c r="N426" s="90"/>
      <c r="O426" s="91"/>
      <c r="P426" s="91"/>
      <c r="Q426" s="90"/>
    </row>
    <row r="427">
      <c r="A427" s="81"/>
      <c r="I427" s="91"/>
      <c r="N427" s="90"/>
      <c r="O427" s="91"/>
      <c r="P427" s="91"/>
      <c r="Q427" s="90"/>
    </row>
    <row r="428">
      <c r="A428" s="81"/>
      <c r="I428" s="91"/>
      <c r="N428" s="90"/>
      <c r="O428" s="91"/>
      <c r="P428" s="91"/>
      <c r="Q428" s="90"/>
    </row>
    <row r="429">
      <c r="A429" s="81"/>
      <c r="I429" s="91"/>
      <c r="N429" s="90"/>
      <c r="O429" s="91"/>
      <c r="P429" s="91"/>
      <c r="Q429" s="90"/>
    </row>
    <row r="430">
      <c r="A430" s="81"/>
      <c r="I430" s="91"/>
      <c r="N430" s="90"/>
      <c r="O430" s="91"/>
      <c r="P430" s="91"/>
      <c r="Q430" s="90"/>
    </row>
    <row r="431">
      <c r="A431" s="81"/>
      <c r="I431" s="91"/>
      <c r="N431" s="90"/>
      <c r="O431" s="91"/>
      <c r="P431" s="91"/>
      <c r="Q431" s="90"/>
    </row>
    <row r="432">
      <c r="A432" s="81"/>
      <c r="I432" s="91"/>
      <c r="N432" s="90"/>
      <c r="O432" s="91"/>
      <c r="P432" s="91"/>
      <c r="Q432" s="90"/>
    </row>
    <row r="433">
      <c r="A433" s="81"/>
      <c r="I433" s="91"/>
      <c r="N433" s="90"/>
      <c r="O433" s="91"/>
      <c r="P433" s="91"/>
      <c r="Q433" s="90"/>
    </row>
    <row r="434">
      <c r="A434" s="81"/>
      <c r="I434" s="91"/>
      <c r="N434" s="90"/>
      <c r="O434" s="91"/>
      <c r="P434" s="91"/>
      <c r="Q434" s="90"/>
    </row>
    <row r="435">
      <c r="A435" s="81"/>
      <c r="I435" s="91"/>
      <c r="N435" s="90"/>
      <c r="O435" s="91"/>
      <c r="P435" s="91"/>
      <c r="Q435" s="90"/>
    </row>
    <row r="436">
      <c r="A436" s="81"/>
      <c r="I436" s="91"/>
      <c r="N436" s="90"/>
      <c r="O436" s="91"/>
      <c r="P436" s="91"/>
      <c r="Q436" s="90"/>
    </row>
    <row r="437">
      <c r="A437" s="81"/>
      <c r="I437" s="91"/>
      <c r="N437" s="90"/>
      <c r="O437" s="91"/>
      <c r="P437" s="91"/>
      <c r="Q437" s="90"/>
    </row>
    <row r="438">
      <c r="A438" s="81"/>
      <c r="I438" s="91"/>
      <c r="N438" s="90"/>
      <c r="O438" s="91"/>
      <c r="P438" s="91"/>
      <c r="Q438" s="90"/>
    </row>
    <row r="439">
      <c r="A439" s="81"/>
      <c r="I439" s="91"/>
      <c r="N439" s="90"/>
      <c r="O439" s="91"/>
      <c r="P439" s="91"/>
      <c r="Q439" s="90"/>
    </row>
    <row r="440">
      <c r="A440" s="81"/>
      <c r="I440" s="91"/>
      <c r="N440" s="90"/>
      <c r="O440" s="91"/>
      <c r="P440" s="91"/>
      <c r="Q440" s="90"/>
    </row>
    <row r="441">
      <c r="A441" s="81"/>
      <c r="I441" s="91"/>
      <c r="N441" s="90"/>
      <c r="O441" s="91"/>
      <c r="P441" s="91"/>
      <c r="Q441" s="90"/>
    </row>
    <row r="442">
      <c r="A442" s="81"/>
      <c r="I442" s="91"/>
      <c r="N442" s="90"/>
      <c r="O442" s="91"/>
      <c r="P442" s="91"/>
      <c r="Q442" s="90"/>
    </row>
    <row r="443">
      <c r="A443" s="81"/>
      <c r="I443" s="91"/>
      <c r="N443" s="90"/>
      <c r="O443" s="91"/>
      <c r="P443" s="91"/>
      <c r="Q443" s="90"/>
    </row>
    <row r="444">
      <c r="A444" s="81"/>
      <c r="I444" s="91"/>
      <c r="N444" s="90"/>
      <c r="O444" s="91"/>
      <c r="P444" s="91"/>
      <c r="Q444" s="90"/>
    </row>
    <row r="445">
      <c r="A445" s="81"/>
      <c r="I445" s="91"/>
      <c r="N445" s="90"/>
      <c r="O445" s="91"/>
      <c r="P445" s="91"/>
      <c r="Q445" s="90"/>
    </row>
    <row r="446">
      <c r="A446" s="81"/>
      <c r="I446" s="91"/>
      <c r="N446" s="90"/>
      <c r="O446" s="91"/>
      <c r="P446" s="91"/>
      <c r="Q446" s="90"/>
    </row>
    <row r="447">
      <c r="A447" s="81"/>
      <c r="I447" s="91"/>
      <c r="N447" s="90"/>
      <c r="O447" s="91"/>
      <c r="P447" s="91"/>
      <c r="Q447" s="90"/>
    </row>
    <row r="448">
      <c r="A448" s="81"/>
      <c r="I448" s="91"/>
      <c r="N448" s="90"/>
      <c r="O448" s="91"/>
      <c r="P448" s="91"/>
      <c r="Q448" s="90"/>
    </row>
    <row r="449">
      <c r="A449" s="81"/>
      <c r="I449" s="91"/>
      <c r="N449" s="90"/>
      <c r="O449" s="91"/>
      <c r="P449" s="91"/>
      <c r="Q449" s="90"/>
    </row>
    <row r="450">
      <c r="A450" s="81"/>
      <c r="I450" s="91"/>
      <c r="N450" s="90"/>
      <c r="O450" s="91"/>
      <c r="P450" s="91"/>
      <c r="Q450" s="90"/>
    </row>
    <row r="451">
      <c r="A451" s="81"/>
      <c r="I451" s="91"/>
      <c r="N451" s="90"/>
      <c r="O451" s="91"/>
      <c r="P451" s="91"/>
      <c r="Q451" s="90"/>
    </row>
    <row r="452">
      <c r="A452" s="81"/>
      <c r="I452" s="91"/>
      <c r="N452" s="90"/>
      <c r="O452" s="91"/>
      <c r="P452" s="91"/>
      <c r="Q452" s="90"/>
    </row>
    <row r="453">
      <c r="A453" s="81"/>
      <c r="I453" s="91"/>
      <c r="N453" s="90"/>
      <c r="O453" s="91"/>
      <c r="P453" s="91"/>
      <c r="Q453" s="90"/>
    </row>
    <row r="454">
      <c r="A454" s="81"/>
      <c r="I454" s="91"/>
      <c r="N454" s="90"/>
      <c r="O454" s="91"/>
      <c r="P454" s="91"/>
      <c r="Q454" s="90"/>
    </row>
    <row r="455">
      <c r="A455" s="81"/>
      <c r="I455" s="91"/>
      <c r="N455" s="90"/>
      <c r="O455" s="91"/>
      <c r="P455" s="91"/>
      <c r="Q455" s="90"/>
    </row>
    <row r="456">
      <c r="A456" s="81"/>
      <c r="I456" s="91"/>
      <c r="N456" s="90"/>
      <c r="O456" s="91"/>
      <c r="P456" s="91"/>
      <c r="Q456" s="90"/>
    </row>
    <row r="457">
      <c r="A457" s="81"/>
      <c r="I457" s="91"/>
      <c r="N457" s="90"/>
      <c r="O457" s="91"/>
      <c r="P457" s="91"/>
      <c r="Q457" s="90"/>
    </row>
    <row r="458">
      <c r="A458" s="81"/>
      <c r="I458" s="91"/>
      <c r="N458" s="90"/>
      <c r="O458" s="91"/>
      <c r="P458" s="91"/>
      <c r="Q458" s="90"/>
    </row>
    <row r="459">
      <c r="A459" s="81"/>
      <c r="I459" s="91"/>
      <c r="N459" s="90"/>
      <c r="O459" s="91"/>
      <c r="P459" s="91"/>
      <c r="Q459" s="90"/>
    </row>
    <row r="460">
      <c r="A460" s="81"/>
      <c r="I460" s="91"/>
      <c r="N460" s="90"/>
      <c r="O460" s="91"/>
      <c r="P460" s="91"/>
      <c r="Q460" s="90"/>
    </row>
    <row r="461">
      <c r="A461" s="81"/>
      <c r="I461" s="91"/>
      <c r="N461" s="90"/>
      <c r="O461" s="91"/>
      <c r="P461" s="91"/>
      <c r="Q461" s="90"/>
    </row>
    <row r="462">
      <c r="A462" s="81"/>
      <c r="I462" s="91"/>
      <c r="N462" s="90"/>
      <c r="O462" s="91"/>
      <c r="P462" s="91"/>
      <c r="Q462" s="90"/>
    </row>
    <row r="463">
      <c r="A463" s="81"/>
      <c r="I463" s="91"/>
      <c r="N463" s="90"/>
      <c r="O463" s="91"/>
      <c r="P463" s="91"/>
      <c r="Q463" s="90"/>
    </row>
    <row r="464">
      <c r="A464" s="81"/>
      <c r="I464" s="91"/>
      <c r="N464" s="90"/>
      <c r="O464" s="91"/>
      <c r="P464" s="91"/>
      <c r="Q464" s="90"/>
    </row>
    <row r="465">
      <c r="A465" s="81"/>
      <c r="I465" s="91"/>
      <c r="N465" s="90"/>
      <c r="O465" s="91"/>
      <c r="P465" s="91"/>
      <c r="Q465" s="90"/>
    </row>
    <row r="466">
      <c r="A466" s="81"/>
      <c r="I466" s="91"/>
      <c r="N466" s="90"/>
      <c r="O466" s="91"/>
      <c r="P466" s="91"/>
      <c r="Q466" s="90"/>
    </row>
    <row r="467">
      <c r="A467" s="81"/>
      <c r="I467" s="91"/>
      <c r="N467" s="90"/>
      <c r="O467" s="91"/>
      <c r="P467" s="91"/>
      <c r="Q467" s="90"/>
    </row>
    <row r="468">
      <c r="A468" s="81"/>
      <c r="I468" s="91"/>
      <c r="N468" s="90"/>
      <c r="O468" s="91"/>
      <c r="P468" s="91"/>
      <c r="Q468" s="90"/>
    </row>
    <row r="469">
      <c r="A469" s="81"/>
      <c r="I469" s="91"/>
      <c r="N469" s="90"/>
      <c r="O469" s="91"/>
      <c r="P469" s="91"/>
      <c r="Q469" s="90"/>
    </row>
    <row r="470">
      <c r="A470" s="81"/>
      <c r="I470" s="91"/>
      <c r="N470" s="90"/>
      <c r="O470" s="91"/>
      <c r="P470" s="91"/>
      <c r="Q470" s="90"/>
    </row>
    <row r="471">
      <c r="A471" s="81"/>
      <c r="I471" s="91"/>
      <c r="N471" s="90"/>
      <c r="O471" s="91"/>
      <c r="P471" s="91"/>
      <c r="Q471" s="90"/>
    </row>
    <row r="472">
      <c r="A472" s="81"/>
      <c r="I472" s="91"/>
      <c r="N472" s="90"/>
      <c r="O472" s="91"/>
      <c r="P472" s="91"/>
      <c r="Q472" s="90"/>
    </row>
    <row r="473">
      <c r="A473" s="81"/>
      <c r="I473" s="91"/>
      <c r="N473" s="90"/>
      <c r="O473" s="91"/>
      <c r="P473" s="91"/>
      <c r="Q473" s="90"/>
    </row>
    <row r="474">
      <c r="A474" s="81"/>
      <c r="I474" s="91"/>
      <c r="N474" s="90"/>
      <c r="O474" s="91"/>
      <c r="P474" s="91"/>
      <c r="Q474" s="90"/>
    </row>
    <row r="475">
      <c r="A475" s="81"/>
      <c r="I475" s="91"/>
      <c r="N475" s="90"/>
      <c r="O475" s="91"/>
      <c r="P475" s="91"/>
      <c r="Q475" s="90"/>
    </row>
    <row r="476">
      <c r="A476" s="81"/>
      <c r="I476" s="91"/>
      <c r="N476" s="90"/>
      <c r="O476" s="91"/>
      <c r="P476" s="91"/>
      <c r="Q476" s="90"/>
    </row>
    <row r="477">
      <c r="A477" s="81"/>
      <c r="I477" s="91"/>
      <c r="N477" s="90"/>
      <c r="O477" s="91"/>
      <c r="P477" s="91"/>
      <c r="Q477" s="90"/>
    </row>
    <row r="478">
      <c r="A478" s="81"/>
      <c r="I478" s="91"/>
      <c r="N478" s="90"/>
      <c r="O478" s="91"/>
      <c r="P478" s="91"/>
      <c r="Q478" s="90"/>
    </row>
    <row r="479">
      <c r="A479" s="81"/>
      <c r="I479" s="91"/>
      <c r="N479" s="90"/>
      <c r="O479" s="91"/>
      <c r="P479" s="91"/>
      <c r="Q479" s="90"/>
    </row>
    <row r="480">
      <c r="A480" s="81"/>
      <c r="I480" s="91"/>
      <c r="N480" s="90"/>
      <c r="O480" s="91"/>
      <c r="P480" s="91"/>
      <c r="Q480" s="90"/>
    </row>
    <row r="481">
      <c r="A481" s="81"/>
      <c r="I481" s="91"/>
      <c r="N481" s="90"/>
      <c r="O481" s="91"/>
      <c r="P481" s="91"/>
      <c r="Q481" s="90"/>
    </row>
    <row r="482">
      <c r="A482" s="81"/>
      <c r="I482" s="91"/>
      <c r="N482" s="90"/>
      <c r="O482" s="91"/>
      <c r="P482" s="91"/>
      <c r="Q482" s="90"/>
    </row>
    <row r="483">
      <c r="A483" s="81"/>
      <c r="I483" s="91"/>
      <c r="N483" s="90"/>
      <c r="O483" s="91"/>
      <c r="P483" s="91"/>
      <c r="Q483" s="90"/>
    </row>
    <row r="484">
      <c r="A484" s="81"/>
      <c r="I484" s="91"/>
      <c r="N484" s="90"/>
      <c r="O484" s="91"/>
      <c r="P484" s="91"/>
      <c r="Q484" s="90"/>
    </row>
    <row r="485">
      <c r="A485" s="81"/>
      <c r="I485" s="91"/>
      <c r="N485" s="90"/>
      <c r="O485" s="91"/>
      <c r="P485" s="91"/>
      <c r="Q485" s="90"/>
    </row>
    <row r="486">
      <c r="A486" s="81"/>
      <c r="I486" s="91"/>
      <c r="N486" s="90"/>
      <c r="O486" s="91"/>
      <c r="P486" s="91"/>
      <c r="Q486" s="90"/>
    </row>
    <row r="487">
      <c r="A487" s="81"/>
      <c r="I487" s="91"/>
      <c r="N487" s="90"/>
      <c r="O487" s="91"/>
      <c r="P487" s="91"/>
      <c r="Q487" s="90"/>
    </row>
    <row r="488">
      <c r="A488" s="81"/>
      <c r="I488" s="91"/>
      <c r="N488" s="90"/>
      <c r="O488" s="91"/>
      <c r="P488" s="91"/>
      <c r="Q488" s="90"/>
    </row>
    <row r="489">
      <c r="A489" s="81"/>
      <c r="I489" s="91"/>
      <c r="N489" s="90"/>
      <c r="O489" s="91"/>
      <c r="P489" s="91"/>
      <c r="Q489" s="90"/>
    </row>
    <row r="490">
      <c r="A490" s="81"/>
      <c r="I490" s="91"/>
      <c r="N490" s="90"/>
      <c r="O490" s="91"/>
      <c r="P490" s="91"/>
      <c r="Q490" s="90"/>
    </row>
    <row r="491">
      <c r="A491" s="81"/>
      <c r="I491" s="91"/>
      <c r="N491" s="90"/>
      <c r="O491" s="91"/>
      <c r="P491" s="91"/>
      <c r="Q491" s="90"/>
    </row>
    <row r="492">
      <c r="A492" s="81"/>
      <c r="I492" s="91"/>
      <c r="N492" s="90"/>
      <c r="O492" s="91"/>
      <c r="P492" s="91"/>
      <c r="Q492" s="90"/>
    </row>
    <row r="493">
      <c r="A493" s="81"/>
      <c r="I493" s="91"/>
      <c r="N493" s="90"/>
      <c r="O493" s="91"/>
      <c r="P493" s="91"/>
      <c r="Q493" s="90"/>
    </row>
    <row r="494">
      <c r="A494" s="81"/>
      <c r="I494" s="91"/>
      <c r="N494" s="90"/>
      <c r="O494" s="91"/>
      <c r="P494" s="91"/>
      <c r="Q494" s="90"/>
    </row>
    <row r="495">
      <c r="A495" s="81"/>
      <c r="I495" s="91"/>
      <c r="N495" s="90"/>
      <c r="O495" s="91"/>
      <c r="P495" s="91"/>
      <c r="Q495" s="90"/>
    </row>
    <row r="496">
      <c r="A496" s="81"/>
      <c r="I496" s="91"/>
      <c r="N496" s="90"/>
      <c r="O496" s="91"/>
      <c r="P496" s="91"/>
      <c r="Q496" s="90"/>
    </row>
    <row r="497">
      <c r="A497" s="81"/>
      <c r="I497" s="91"/>
      <c r="N497" s="90"/>
      <c r="O497" s="91"/>
      <c r="P497" s="91"/>
      <c r="Q497" s="90"/>
    </row>
    <row r="498">
      <c r="A498" s="81"/>
      <c r="I498" s="91"/>
      <c r="N498" s="90"/>
      <c r="O498" s="91"/>
      <c r="P498" s="91"/>
      <c r="Q498" s="90"/>
    </row>
    <row r="499">
      <c r="A499" s="81"/>
      <c r="I499" s="91"/>
      <c r="N499" s="90"/>
      <c r="O499" s="91"/>
      <c r="P499" s="91"/>
      <c r="Q499" s="90"/>
    </row>
    <row r="500">
      <c r="A500" s="81"/>
      <c r="I500" s="91"/>
      <c r="N500" s="90"/>
      <c r="O500" s="91"/>
      <c r="P500" s="91"/>
      <c r="Q500" s="90"/>
    </row>
    <row r="501">
      <c r="A501" s="81"/>
      <c r="I501" s="91"/>
      <c r="N501" s="90"/>
      <c r="O501" s="91"/>
      <c r="P501" s="91"/>
      <c r="Q501" s="90"/>
    </row>
    <row r="502">
      <c r="A502" s="81"/>
      <c r="I502" s="91"/>
      <c r="N502" s="90"/>
      <c r="O502" s="91"/>
      <c r="P502" s="91"/>
      <c r="Q502" s="90"/>
    </row>
    <row r="503">
      <c r="A503" s="81"/>
      <c r="I503" s="91"/>
      <c r="N503" s="90"/>
      <c r="O503" s="91"/>
      <c r="P503" s="91"/>
      <c r="Q503" s="90"/>
    </row>
    <row r="504">
      <c r="A504" s="81"/>
      <c r="I504" s="91"/>
      <c r="N504" s="90"/>
      <c r="O504" s="91"/>
      <c r="P504" s="91"/>
      <c r="Q504" s="90"/>
    </row>
    <row r="505">
      <c r="A505" s="81"/>
      <c r="I505" s="91"/>
      <c r="N505" s="90"/>
      <c r="O505" s="91"/>
      <c r="P505" s="91"/>
      <c r="Q505" s="90"/>
    </row>
    <row r="506">
      <c r="A506" s="81"/>
      <c r="I506" s="91"/>
      <c r="N506" s="90"/>
      <c r="O506" s="91"/>
      <c r="P506" s="91"/>
      <c r="Q506" s="90"/>
    </row>
    <row r="507">
      <c r="A507" s="81"/>
      <c r="I507" s="91"/>
      <c r="N507" s="90"/>
      <c r="O507" s="91"/>
      <c r="P507" s="91"/>
      <c r="Q507" s="90"/>
    </row>
    <row r="508">
      <c r="A508" s="81"/>
      <c r="I508" s="91"/>
      <c r="N508" s="90"/>
      <c r="O508" s="91"/>
      <c r="P508" s="91"/>
      <c r="Q508" s="90"/>
    </row>
    <row r="509">
      <c r="A509" s="81"/>
      <c r="I509" s="91"/>
      <c r="N509" s="90"/>
      <c r="O509" s="91"/>
      <c r="P509" s="91"/>
      <c r="Q509" s="90"/>
    </row>
    <row r="510">
      <c r="A510" s="81"/>
      <c r="I510" s="91"/>
      <c r="N510" s="90"/>
      <c r="O510" s="91"/>
      <c r="P510" s="91"/>
      <c r="Q510" s="90"/>
    </row>
    <row r="511">
      <c r="A511" s="81"/>
      <c r="I511" s="91"/>
      <c r="N511" s="90"/>
      <c r="O511" s="91"/>
      <c r="P511" s="91"/>
      <c r="Q511" s="90"/>
    </row>
    <row r="512">
      <c r="A512" s="81"/>
      <c r="I512" s="91"/>
      <c r="N512" s="90"/>
      <c r="O512" s="91"/>
      <c r="P512" s="91"/>
      <c r="Q512" s="90"/>
    </row>
    <row r="513">
      <c r="A513" s="81"/>
      <c r="I513" s="91"/>
      <c r="N513" s="90"/>
      <c r="O513" s="91"/>
      <c r="P513" s="91"/>
      <c r="Q513" s="90"/>
    </row>
    <row r="514">
      <c r="A514" s="81"/>
      <c r="I514" s="91"/>
      <c r="N514" s="90"/>
      <c r="O514" s="91"/>
      <c r="P514" s="91"/>
      <c r="Q514" s="90"/>
    </row>
    <row r="515">
      <c r="A515" s="81"/>
      <c r="I515" s="91"/>
      <c r="N515" s="90"/>
      <c r="O515" s="91"/>
      <c r="P515" s="91"/>
      <c r="Q515" s="90"/>
    </row>
    <row r="516">
      <c r="A516" s="81"/>
      <c r="I516" s="91"/>
      <c r="N516" s="90"/>
      <c r="O516" s="91"/>
      <c r="P516" s="91"/>
      <c r="Q516" s="90"/>
    </row>
    <row r="517">
      <c r="A517" s="81"/>
      <c r="I517" s="91"/>
      <c r="N517" s="90"/>
      <c r="O517" s="91"/>
      <c r="P517" s="91"/>
      <c r="Q517" s="90"/>
    </row>
    <row r="518">
      <c r="A518" s="81"/>
      <c r="I518" s="91"/>
      <c r="N518" s="90"/>
      <c r="O518" s="91"/>
      <c r="P518" s="91"/>
      <c r="Q518" s="90"/>
    </row>
    <row r="519">
      <c r="A519" s="81"/>
      <c r="I519" s="91"/>
      <c r="N519" s="90"/>
      <c r="O519" s="91"/>
      <c r="P519" s="91"/>
      <c r="Q519" s="90"/>
    </row>
    <row r="520">
      <c r="A520" s="81"/>
      <c r="I520" s="91"/>
      <c r="N520" s="90"/>
      <c r="O520" s="91"/>
      <c r="P520" s="91"/>
      <c r="Q520" s="90"/>
    </row>
    <row r="521">
      <c r="A521" s="81"/>
      <c r="I521" s="91"/>
      <c r="N521" s="90"/>
      <c r="O521" s="91"/>
      <c r="P521" s="91"/>
      <c r="Q521" s="90"/>
    </row>
    <row r="522">
      <c r="A522" s="81"/>
      <c r="I522" s="91"/>
      <c r="N522" s="90"/>
      <c r="O522" s="91"/>
      <c r="P522" s="91"/>
      <c r="Q522" s="90"/>
    </row>
    <row r="523">
      <c r="A523" s="81"/>
      <c r="I523" s="91"/>
      <c r="N523" s="90"/>
      <c r="O523" s="91"/>
      <c r="P523" s="91"/>
      <c r="Q523" s="90"/>
    </row>
    <row r="524">
      <c r="A524" s="81"/>
      <c r="I524" s="91"/>
      <c r="N524" s="90"/>
      <c r="O524" s="91"/>
      <c r="P524" s="91"/>
      <c r="Q524" s="90"/>
    </row>
    <row r="525">
      <c r="A525" s="81"/>
      <c r="I525" s="91"/>
      <c r="N525" s="90"/>
      <c r="O525" s="91"/>
      <c r="P525" s="91"/>
      <c r="Q525" s="90"/>
    </row>
    <row r="526">
      <c r="A526" s="81"/>
      <c r="I526" s="91"/>
      <c r="N526" s="90"/>
      <c r="O526" s="91"/>
      <c r="P526" s="91"/>
      <c r="Q526" s="90"/>
    </row>
    <row r="527">
      <c r="A527" s="81"/>
      <c r="I527" s="91"/>
      <c r="N527" s="90"/>
      <c r="O527" s="91"/>
      <c r="P527" s="91"/>
      <c r="Q527" s="90"/>
    </row>
    <row r="528">
      <c r="A528" s="81"/>
      <c r="I528" s="91"/>
      <c r="N528" s="90"/>
      <c r="O528" s="91"/>
      <c r="P528" s="91"/>
      <c r="Q528" s="90"/>
    </row>
    <row r="529">
      <c r="A529" s="81"/>
      <c r="I529" s="91"/>
      <c r="N529" s="90"/>
      <c r="O529" s="91"/>
      <c r="P529" s="91"/>
      <c r="Q529" s="90"/>
    </row>
    <row r="530">
      <c r="A530" s="81"/>
      <c r="I530" s="91"/>
      <c r="N530" s="90"/>
      <c r="O530" s="91"/>
      <c r="P530" s="91"/>
      <c r="Q530" s="90"/>
    </row>
    <row r="531">
      <c r="A531" s="81"/>
      <c r="I531" s="91"/>
      <c r="N531" s="90"/>
      <c r="O531" s="91"/>
      <c r="P531" s="91"/>
      <c r="Q531" s="90"/>
    </row>
    <row r="532">
      <c r="A532" s="81"/>
      <c r="I532" s="91"/>
      <c r="N532" s="90"/>
      <c r="O532" s="91"/>
      <c r="P532" s="91"/>
      <c r="Q532" s="90"/>
    </row>
    <row r="533">
      <c r="A533" s="81"/>
      <c r="I533" s="91"/>
      <c r="N533" s="90"/>
      <c r="O533" s="91"/>
      <c r="P533" s="91"/>
      <c r="Q533" s="90"/>
    </row>
    <row r="534">
      <c r="A534" s="81"/>
      <c r="I534" s="91"/>
      <c r="N534" s="90"/>
      <c r="O534" s="91"/>
      <c r="P534" s="91"/>
      <c r="Q534" s="90"/>
    </row>
    <row r="535">
      <c r="A535" s="81"/>
      <c r="I535" s="91"/>
      <c r="N535" s="90"/>
      <c r="O535" s="91"/>
      <c r="P535" s="91"/>
      <c r="Q535" s="90"/>
    </row>
    <row r="536">
      <c r="A536" s="81"/>
      <c r="I536" s="91"/>
      <c r="N536" s="90"/>
      <c r="O536" s="91"/>
      <c r="P536" s="91"/>
      <c r="Q536" s="90"/>
    </row>
    <row r="537">
      <c r="A537" s="81"/>
      <c r="I537" s="91"/>
      <c r="N537" s="90"/>
      <c r="O537" s="91"/>
      <c r="P537" s="91"/>
      <c r="Q537" s="90"/>
    </row>
    <row r="538">
      <c r="A538" s="81"/>
      <c r="I538" s="91"/>
      <c r="N538" s="90"/>
      <c r="O538" s="91"/>
      <c r="P538" s="91"/>
      <c r="Q538" s="90"/>
    </row>
    <row r="539">
      <c r="A539" s="81"/>
      <c r="I539" s="91"/>
      <c r="N539" s="90"/>
      <c r="O539" s="91"/>
      <c r="P539" s="91"/>
      <c r="Q539" s="90"/>
    </row>
    <row r="540">
      <c r="A540" s="81"/>
      <c r="I540" s="91"/>
      <c r="N540" s="90"/>
      <c r="O540" s="91"/>
      <c r="P540" s="91"/>
      <c r="Q540" s="90"/>
    </row>
    <row r="541">
      <c r="A541" s="81"/>
      <c r="I541" s="91"/>
      <c r="N541" s="90"/>
      <c r="O541" s="91"/>
      <c r="P541" s="91"/>
      <c r="Q541" s="90"/>
    </row>
    <row r="542">
      <c r="A542" s="81"/>
      <c r="I542" s="91"/>
      <c r="N542" s="90"/>
      <c r="O542" s="91"/>
      <c r="P542" s="91"/>
      <c r="Q542" s="90"/>
    </row>
    <row r="543">
      <c r="A543" s="81"/>
      <c r="I543" s="91"/>
      <c r="N543" s="90"/>
      <c r="O543" s="91"/>
      <c r="P543" s="91"/>
      <c r="Q543" s="90"/>
    </row>
    <row r="544">
      <c r="A544" s="81"/>
      <c r="I544" s="91"/>
      <c r="N544" s="90"/>
      <c r="O544" s="91"/>
      <c r="P544" s="91"/>
      <c r="Q544" s="90"/>
    </row>
    <row r="545">
      <c r="A545" s="81"/>
      <c r="I545" s="91"/>
      <c r="N545" s="90"/>
      <c r="O545" s="91"/>
      <c r="P545" s="91"/>
      <c r="Q545" s="90"/>
    </row>
    <row r="546">
      <c r="A546" s="81"/>
      <c r="I546" s="91"/>
      <c r="N546" s="90"/>
      <c r="O546" s="91"/>
      <c r="P546" s="91"/>
      <c r="Q546" s="90"/>
    </row>
    <row r="547">
      <c r="A547" s="81"/>
      <c r="I547" s="91"/>
      <c r="N547" s="90"/>
      <c r="O547" s="91"/>
      <c r="P547" s="91"/>
      <c r="Q547" s="90"/>
    </row>
    <row r="548">
      <c r="A548" s="81"/>
      <c r="I548" s="91"/>
      <c r="N548" s="90"/>
      <c r="O548" s="91"/>
      <c r="P548" s="91"/>
      <c r="Q548" s="90"/>
    </row>
    <row r="549">
      <c r="A549" s="81"/>
      <c r="I549" s="91"/>
      <c r="N549" s="90"/>
      <c r="O549" s="91"/>
      <c r="P549" s="91"/>
      <c r="Q549" s="90"/>
    </row>
    <row r="550">
      <c r="A550" s="81"/>
      <c r="I550" s="91"/>
      <c r="N550" s="90"/>
      <c r="O550" s="91"/>
      <c r="P550" s="91"/>
      <c r="Q550" s="90"/>
    </row>
    <row r="551">
      <c r="A551" s="81"/>
      <c r="I551" s="91"/>
      <c r="N551" s="90"/>
      <c r="O551" s="91"/>
      <c r="P551" s="91"/>
      <c r="Q551" s="90"/>
    </row>
    <row r="552">
      <c r="A552" s="81"/>
      <c r="I552" s="91"/>
      <c r="N552" s="90"/>
      <c r="O552" s="91"/>
      <c r="P552" s="91"/>
      <c r="Q552" s="90"/>
    </row>
    <row r="553">
      <c r="A553" s="81"/>
      <c r="I553" s="91"/>
      <c r="N553" s="90"/>
      <c r="O553" s="91"/>
      <c r="P553" s="91"/>
      <c r="Q553" s="90"/>
    </row>
    <row r="554">
      <c r="A554" s="81"/>
      <c r="I554" s="91"/>
      <c r="N554" s="90"/>
      <c r="O554" s="91"/>
      <c r="P554" s="91"/>
      <c r="Q554" s="90"/>
    </row>
    <row r="555">
      <c r="A555" s="81"/>
      <c r="I555" s="91"/>
      <c r="N555" s="90"/>
      <c r="O555" s="91"/>
      <c r="P555" s="91"/>
      <c r="Q555" s="90"/>
    </row>
    <row r="556">
      <c r="A556" s="81"/>
      <c r="I556" s="91"/>
      <c r="N556" s="90"/>
      <c r="O556" s="91"/>
      <c r="P556" s="91"/>
      <c r="Q556" s="90"/>
    </row>
    <row r="557">
      <c r="A557" s="81"/>
      <c r="I557" s="91"/>
      <c r="N557" s="90"/>
      <c r="O557" s="91"/>
      <c r="P557" s="91"/>
      <c r="Q557" s="90"/>
    </row>
    <row r="558">
      <c r="A558" s="81"/>
      <c r="I558" s="91"/>
      <c r="N558" s="90"/>
      <c r="O558" s="91"/>
      <c r="P558" s="91"/>
      <c r="Q558" s="90"/>
    </row>
    <row r="559">
      <c r="A559" s="81"/>
      <c r="I559" s="91"/>
      <c r="N559" s="90"/>
      <c r="O559" s="91"/>
      <c r="P559" s="91"/>
      <c r="Q559" s="90"/>
    </row>
    <row r="560">
      <c r="A560" s="81"/>
      <c r="I560" s="91"/>
      <c r="N560" s="90"/>
      <c r="O560" s="91"/>
      <c r="P560" s="91"/>
      <c r="Q560" s="90"/>
    </row>
    <row r="561">
      <c r="A561" s="81"/>
      <c r="I561" s="91"/>
      <c r="N561" s="90"/>
      <c r="O561" s="91"/>
      <c r="P561" s="91"/>
      <c r="Q561" s="90"/>
    </row>
    <row r="562">
      <c r="A562" s="81"/>
      <c r="I562" s="91"/>
      <c r="N562" s="90"/>
      <c r="O562" s="91"/>
      <c r="P562" s="91"/>
      <c r="Q562" s="90"/>
    </row>
    <row r="563">
      <c r="A563" s="81"/>
      <c r="I563" s="91"/>
      <c r="N563" s="90"/>
      <c r="O563" s="91"/>
      <c r="P563" s="91"/>
      <c r="Q563" s="90"/>
    </row>
    <row r="564">
      <c r="A564" s="81"/>
      <c r="I564" s="91"/>
      <c r="N564" s="90"/>
      <c r="O564" s="91"/>
      <c r="P564" s="91"/>
      <c r="Q564" s="90"/>
    </row>
    <row r="565">
      <c r="A565" s="81"/>
      <c r="I565" s="91"/>
      <c r="N565" s="90"/>
      <c r="O565" s="91"/>
      <c r="P565" s="91"/>
      <c r="Q565" s="90"/>
    </row>
    <row r="566">
      <c r="A566" s="81"/>
      <c r="I566" s="91"/>
      <c r="N566" s="90"/>
      <c r="O566" s="91"/>
      <c r="P566" s="91"/>
      <c r="Q566" s="90"/>
    </row>
    <row r="567">
      <c r="A567" s="81"/>
      <c r="I567" s="91"/>
      <c r="N567" s="90"/>
      <c r="O567" s="91"/>
      <c r="P567" s="91"/>
      <c r="Q567" s="90"/>
    </row>
    <row r="568">
      <c r="A568" s="81"/>
      <c r="I568" s="91"/>
      <c r="N568" s="90"/>
      <c r="O568" s="91"/>
      <c r="P568" s="91"/>
      <c r="Q568" s="90"/>
    </row>
    <row r="569">
      <c r="A569" s="81"/>
      <c r="I569" s="91"/>
      <c r="N569" s="90"/>
      <c r="O569" s="91"/>
      <c r="P569" s="91"/>
      <c r="Q569" s="90"/>
    </row>
    <row r="570">
      <c r="A570" s="81"/>
      <c r="I570" s="91"/>
      <c r="N570" s="90"/>
      <c r="O570" s="91"/>
      <c r="P570" s="91"/>
      <c r="Q570" s="90"/>
    </row>
    <row r="571">
      <c r="A571" s="81"/>
      <c r="I571" s="91"/>
      <c r="N571" s="90"/>
      <c r="O571" s="91"/>
      <c r="P571" s="91"/>
      <c r="Q571" s="90"/>
    </row>
    <row r="572">
      <c r="A572" s="81"/>
      <c r="I572" s="91"/>
      <c r="N572" s="90"/>
      <c r="O572" s="91"/>
      <c r="P572" s="91"/>
      <c r="Q572" s="90"/>
    </row>
    <row r="573">
      <c r="A573" s="81"/>
      <c r="I573" s="91"/>
      <c r="N573" s="90"/>
      <c r="O573" s="91"/>
      <c r="P573" s="91"/>
      <c r="Q573" s="90"/>
    </row>
    <row r="574">
      <c r="A574" s="81"/>
      <c r="I574" s="91"/>
      <c r="N574" s="90"/>
      <c r="O574" s="91"/>
      <c r="P574" s="91"/>
      <c r="Q574" s="90"/>
    </row>
    <row r="575">
      <c r="A575" s="81"/>
      <c r="I575" s="91"/>
      <c r="N575" s="90"/>
      <c r="O575" s="91"/>
      <c r="P575" s="91"/>
      <c r="Q575" s="90"/>
    </row>
    <row r="576">
      <c r="A576" s="81"/>
      <c r="I576" s="91"/>
      <c r="N576" s="90"/>
      <c r="O576" s="91"/>
      <c r="P576" s="91"/>
      <c r="Q576" s="90"/>
    </row>
    <row r="577">
      <c r="A577" s="81"/>
      <c r="I577" s="91"/>
      <c r="N577" s="90"/>
      <c r="O577" s="91"/>
      <c r="P577" s="91"/>
      <c r="Q577" s="90"/>
    </row>
    <row r="578">
      <c r="A578" s="81"/>
      <c r="I578" s="91"/>
      <c r="N578" s="90"/>
      <c r="O578" s="91"/>
      <c r="P578" s="91"/>
      <c r="Q578" s="90"/>
    </row>
    <row r="579">
      <c r="A579" s="81"/>
      <c r="I579" s="91"/>
      <c r="N579" s="90"/>
      <c r="O579" s="91"/>
      <c r="P579" s="91"/>
      <c r="Q579" s="90"/>
    </row>
    <row r="580">
      <c r="A580" s="81"/>
      <c r="I580" s="91"/>
      <c r="N580" s="90"/>
      <c r="O580" s="91"/>
      <c r="P580" s="91"/>
      <c r="Q580" s="90"/>
    </row>
    <row r="581">
      <c r="A581" s="81"/>
      <c r="I581" s="91"/>
      <c r="N581" s="90"/>
      <c r="O581" s="91"/>
      <c r="P581" s="91"/>
      <c r="Q581" s="90"/>
    </row>
    <row r="582">
      <c r="A582" s="81"/>
      <c r="I582" s="91"/>
      <c r="N582" s="90"/>
      <c r="O582" s="91"/>
      <c r="P582" s="91"/>
      <c r="Q582" s="90"/>
    </row>
    <row r="583">
      <c r="A583" s="81"/>
      <c r="I583" s="91"/>
      <c r="N583" s="90"/>
      <c r="O583" s="91"/>
      <c r="P583" s="91"/>
      <c r="Q583" s="90"/>
    </row>
    <row r="584">
      <c r="A584" s="81"/>
      <c r="I584" s="91"/>
      <c r="N584" s="90"/>
      <c r="O584" s="91"/>
      <c r="P584" s="91"/>
      <c r="Q584" s="90"/>
    </row>
    <row r="585">
      <c r="A585" s="81"/>
      <c r="I585" s="91"/>
      <c r="N585" s="90"/>
      <c r="O585" s="91"/>
      <c r="P585" s="91"/>
      <c r="Q585" s="90"/>
    </row>
    <row r="586">
      <c r="A586" s="81"/>
      <c r="I586" s="91"/>
      <c r="N586" s="90"/>
      <c r="O586" s="91"/>
      <c r="P586" s="91"/>
      <c r="Q586" s="90"/>
    </row>
    <row r="587">
      <c r="A587" s="81"/>
      <c r="I587" s="91"/>
      <c r="N587" s="90"/>
      <c r="O587" s="91"/>
      <c r="P587" s="91"/>
      <c r="Q587" s="90"/>
    </row>
    <row r="588">
      <c r="A588" s="81"/>
      <c r="I588" s="91"/>
      <c r="N588" s="90"/>
      <c r="O588" s="91"/>
      <c r="P588" s="91"/>
      <c r="Q588" s="90"/>
    </row>
    <row r="589">
      <c r="A589" s="81"/>
      <c r="I589" s="91"/>
      <c r="N589" s="90"/>
      <c r="O589" s="91"/>
      <c r="P589" s="91"/>
      <c r="Q589" s="90"/>
    </row>
    <row r="590">
      <c r="A590" s="81"/>
      <c r="I590" s="91"/>
      <c r="N590" s="90"/>
      <c r="O590" s="91"/>
      <c r="P590" s="91"/>
      <c r="Q590" s="90"/>
    </row>
    <row r="591">
      <c r="A591" s="81"/>
      <c r="I591" s="91"/>
      <c r="N591" s="90"/>
      <c r="O591" s="91"/>
      <c r="P591" s="91"/>
      <c r="Q591" s="90"/>
    </row>
    <row r="592">
      <c r="A592" s="81"/>
      <c r="I592" s="91"/>
      <c r="N592" s="90"/>
      <c r="O592" s="91"/>
      <c r="P592" s="91"/>
      <c r="Q592" s="90"/>
    </row>
    <row r="593">
      <c r="A593" s="81"/>
      <c r="I593" s="91"/>
      <c r="N593" s="90"/>
      <c r="O593" s="91"/>
      <c r="P593" s="91"/>
      <c r="Q593" s="90"/>
    </row>
    <row r="594">
      <c r="A594" s="81"/>
      <c r="I594" s="91"/>
      <c r="N594" s="90"/>
      <c r="O594" s="91"/>
      <c r="P594" s="91"/>
      <c r="Q594" s="90"/>
    </row>
    <row r="595">
      <c r="A595" s="81"/>
      <c r="I595" s="91"/>
      <c r="N595" s="90"/>
      <c r="O595" s="91"/>
      <c r="P595" s="91"/>
      <c r="Q595" s="90"/>
    </row>
    <row r="596">
      <c r="A596" s="81"/>
      <c r="I596" s="91"/>
      <c r="N596" s="90"/>
      <c r="O596" s="91"/>
      <c r="P596" s="91"/>
      <c r="Q596" s="90"/>
    </row>
    <row r="597">
      <c r="A597" s="81"/>
      <c r="I597" s="91"/>
      <c r="N597" s="90"/>
      <c r="O597" s="91"/>
      <c r="P597" s="91"/>
      <c r="Q597" s="90"/>
    </row>
    <row r="598">
      <c r="A598" s="81"/>
      <c r="I598" s="91"/>
      <c r="N598" s="90"/>
      <c r="O598" s="91"/>
      <c r="P598" s="91"/>
      <c r="Q598" s="90"/>
    </row>
    <row r="599">
      <c r="A599" s="81"/>
      <c r="I599" s="91"/>
      <c r="N599" s="90"/>
      <c r="O599" s="91"/>
      <c r="P599" s="91"/>
      <c r="Q599" s="90"/>
    </row>
    <row r="600">
      <c r="A600" s="81"/>
      <c r="I600" s="91"/>
      <c r="N600" s="90"/>
      <c r="O600" s="91"/>
      <c r="P600" s="91"/>
      <c r="Q600" s="90"/>
    </row>
    <row r="601">
      <c r="A601" s="81"/>
      <c r="I601" s="91"/>
      <c r="N601" s="90"/>
      <c r="O601" s="91"/>
      <c r="P601" s="91"/>
      <c r="Q601" s="90"/>
    </row>
    <row r="602">
      <c r="A602" s="81"/>
      <c r="I602" s="91"/>
      <c r="N602" s="90"/>
      <c r="O602" s="91"/>
      <c r="P602" s="91"/>
      <c r="Q602" s="90"/>
    </row>
    <row r="603">
      <c r="A603" s="81"/>
      <c r="I603" s="91"/>
      <c r="N603" s="90"/>
      <c r="O603" s="91"/>
      <c r="P603" s="91"/>
      <c r="Q603" s="90"/>
    </row>
    <row r="604">
      <c r="A604" s="81"/>
      <c r="I604" s="91"/>
      <c r="N604" s="90"/>
      <c r="O604" s="91"/>
      <c r="P604" s="91"/>
      <c r="Q604" s="90"/>
    </row>
    <row r="605">
      <c r="A605" s="81"/>
      <c r="I605" s="91"/>
      <c r="N605" s="90"/>
      <c r="O605" s="91"/>
      <c r="P605" s="91"/>
      <c r="Q605" s="90"/>
    </row>
    <row r="606">
      <c r="A606" s="81"/>
      <c r="I606" s="91"/>
      <c r="N606" s="90"/>
      <c r="O606" s="91"/>
      <c r="P606" s="91"/>
      <c r="Q606" s="90"/>
    </row>
    <row r="607">
      <c r="A607" s="81"/>
      <c r="I607" s="91"/>
      <c r="N607" s="90"/>
      <c r="O607" s="91"/>
      <c r="P607" s="91"/>
      <c r="Q607" s="90"/>
    </row>
    <row r="608">
      <c r="A608" s="81"/>
      <c r="I608" s="91"/>
      <c r="N608" s="90"/>
      <c r="O608" s="91"/>
      <c r="P608" s="91"/>
      <c r="Q608" s="90"/>
    </row>
    <row r="609">
      <c r="A609" s="81"/>
      <c r="I609" s="91"/>
      <c r="N609" s="90"/>
      <c r="O609" s="91"/>
      <c r="P609" s="91"/>
      <c r="Q609" s="90"/>
    </row>
    <row r="610">
      <c r="A610" s="81"/>
      <c r="I610" s="91"/>
      <c r="N610" s="90"/>
      <c r="O610" s="91"/>
      <c r="P610" s="91"/>
      <c r="Q610" s="90"/>
    </row>
    <row r="611">
      <c r="A611" s="81"/>
      <c r="I611" s="91"/>
      <c r="N611" s="90"/>
      <c r="O611" s="91"/>
      <c r="P611" s="91"/>
      <c r="Q611" s="90"/>
    </row>
    <row r="612">
      <c r="A612" s="81"/>
      <c r="I612" s="91"/>
      <c r="N612" s="90"/>
      <c r="O612" s="91"/>
      <c r="P612" s="91"/>
      <c r="Q612" s="90"/>
    </row>
    <row r="613">
      <c r="A613" s="81"/>
      <c r="I613" s="91"/>
      <c r="N613" s="90"/>
      <c r="O613" s="91"/>
      <c r="P613" s="91"/>
      <c r="Q613" s="90"/>
    </row>
    <row r="614">
      <c r="A614" s="81"/>
      <c r="I614" s="91"/>
      <c r="N614" s="90"/>
      <c r="O614" s="91"/>
      <c r="P614" s="91"/>
      <c r="Q614" s="90"/>
    </row>
    <row r="615">
      <c r="A615" s="81"/>
      <c r="I615" s="91"/>
      <c r="N615" s="90"/>
      <c r="O615" s="91"/>
      <c r="P615" s="91"/>
      <c r="Q615" s="90"/>
    </row>
    <row r="616">
      <c r="A616" s="81"/>
      <c r="I616" s="91"/>
      <c r="N616" s="90"/>
      <c r="O616" s="91"/>
      <c r="P616" s="91"/>
      <c r="Q616" s="90"/>
    </row>
    <row r="617">
      <c r="A617" s="81"/>
      <c r="I617" s="91"/>
      <c r="N617" s="90"/>
      <c r="O617" s="91"/>
      <c r="P617" s="91"/>
      <c r="Q617" s="90"/>
    </row>
    <row r="618">
      <c r="A618" s="81"/>
      <c r="I618" s="91"/>
      <c r="N618" s="90"/>
      <c r="O618" s="91"/>
      <c r="P618" s="91"/>
      <c r="Q618" s="90"/>
    </row>
    <row r="619">
      <c r="A619" s="81"/>
      <c r="I619" s="91"/>
      <c r="N619" s="90"/>
      <c r="O619" s="91"/>
      <c r="P619" s="91"/>
      <c r="Q619" s="90"/>
    </row>
    <row r="620">
      <c r="A620" s="81"/>
      <c r="I620" s="91"/>
      <c r="N620" s="90"/>
      <c r="O620" s="91"/>
      <c r="P620" s="91"/>
      <c r="Q620" s="90"/>
    </row>
    <row r="621">
      <c r="A621" s="81"/>
      <c r="I621" s="91"/>
      <c r="N621" s="90"/>
      <c r="O621" s="91"/>
      <c r="P621" s="91"/>
      <c r="Q621" s="90"/>
    </row>
    <row r="622">
      <c r="A622" s="81"/>
      <c r="I622" s="91"/>
      <c r="N622" s="90"/>
      <c r="O622" s="91"/>
      <c r="P622" s="91"/>
      <c r="Q622" s="90"/>
    </row>
    <row r="623">
      <c r="A623" s="81"/>
      <c r="I623" s="91"/>
      <c r="N623" s="90"/>
      <c r="O623" s="91"/>
      <c r="P623" s="91"/>
      <c r="Q623" s="90"/>
    </row>
    <row r="624">
      <c r="A624" s="81"/>
      <c r="I624" s="91"/>
      <c r="N624" s="90"/>
      <c r="O624" s="91"/>
      <c r="P624" s="91"/>
      <c r="Q624" s="90"/>
    </row>
    <row r="625">
      <c r="A625" s="81"/>
      <c r="I625" s="91"/>
      <c r="N625" s="90"/>
      <c r="O625" s="91"/>
      <c r="P625" s="91"/>
      <c r="Q625" s="90"/>
    </row>
    <row r="626">
      <c r="A626" s="81"/>
      <c r="I626" s="91"/>
      <c r="N626" s="90"/>
      <c r="O626" s="91"/>
      <c r="P626" s="91"/>
      <c r="Q626" s="90"/>
    </row>
    <row r="627">
      <c r="A627" s="81"/>
      <c r="I627" s="91"/>
      <c r="N627" s="90"/>
      <c r="O627" s="91"/>
      <c r="P627" s="91"/>
      <c r="Q627" s="90"/>
    </row>
    <row r="628">
      <c r="A628" s="81"/>
      <c r="I628" s="91"/>
      <c r="N628" s="90"/>
      <c r="O628" s="91"/>
      <c r="P628" s="91"/>
      <c r="Q628" s="90"/>
    </row>
    <row r="629">
      <c r="A629" s="81"/>
      <c r="I629" s="91"/>
      <c r="N629" s="90"/>
      <c r="O629" s="91"/>
      <c r="P629" s="91"/>
      <c r="Q629" s="90"/>
    </row>
    <row r="630">
      <c r="A630" s="81"/>
      <c r="I630" s="91"/>
      <c r="N630" s="90"/>
      <c r="O630" s="91"/>
      <c r="P630" s="91"/>
      <c r="Q630" s="90"/>
    </row>
    <row r="631">
      <c r="A631" s="81"/>
      <c r="I631" s="91"/>
      <c r="N631" s="90"/>
      <c r="O631" s="91"/>
      <c r="P631" s="91"/>
      <c r="Q631" s="90"/>
    </row>
    <row r="632">
      <c r="A632" s="81"/>
      <c r="I632" s="91"/>
      <c r="N632" s="90"/>
      <c r="O632" s="91"/>
      <c r="P632" s="91"/>
      <c r="Q632" s="90"/>
    </row>
    <row r="633">
      <c r="A633" s="81"/>
      <c r="I633" s="91"/>
      <c r="N633" s="90"/>
      <c r="O633" s="91"/>
      <c r="P633" s="91"/>
      <c r="Q633" s="90"/>
    </row>
    <row r="634">
      <c r="A634" s="81"/>
      <c r="I634" s="91"/>
      <c r="N634" s="90"/>
      <c r="O634" s="91"/>
      <c r="P634" s="91"/>
      <c r="Q634" s="90"/>
    </row>
    <row r="635">
      <c r="A635" s="81"/>
      <c r="I635" s="91"/>
      <c r="N635" s="90"/>
      <c r="O635" s="91"/>
      <c r="P635" s="91"/>
      <c r="Q635" s="90"/>
    </row>
    <row r="636">
      <c r="A636" s="81"/>
      <c r="I636" s="91"/>
      <c r="N636" s="90"/>
      <c r="O636" s="91"/>
      <c r="P636" s="91"/>
      <c r="Q636" s="90"/>
    </row>
    <row r="637">
      <c r="A637" s="81"/>
      <c r="I637" s="91"/>
      <c r="N637" s="90"/>
      <c r="O637" s="91"/>
      <c r="P637" s="91"/>
      <c r="Q637" s="90"/>
    </row>
    <row r="638">
      <c r="A638" s="81"/>
      <c r="I638" s="91"/>
      <c r="N638" s="90"/>
      <c r="O638" s="91"/>
      <c r="P638" s="91"/>
      <c r="Q638" s="90"/>
    </row>
    <row r="639">
      <c r="A639" s="81"/>
      <c r="I639" s="91"/>
      <c r="N639" s="90"/>
      <c r="O639" s="91"/>
      <c r="P639" s="91"/>
      <c r="Q639" s="90"/>
    </row>
    <row r="640">
      <c r="A640" s="81"/>
      <c r="I640" s="91"/>
      <c r="N640" s="90"/>
      <c r="O640" s="91"/>
      <c r="P640" s="91"/>
      <c r="Q640" s="90"/>
    </row>
    <row r="641">
      <c r="A641" s="81"/>
      <c r="I641" s="91"/>
      <c r="N641" s="90"/>
      <c r="O641" s="91"/>
      <c r="P641" s="91"/>
      <c r="Q641" s="90"/>
    </row>
    <row r="642">
      <c r="A642" s="81"/>
      <c r="I642" s="91"/>
      <c r="N642" s="90"/>
      <c r="O642" s="91"/>
      <c r="P642" s="91"/>
      <c r="Q642" s="90"/>
    </row>
    <row r="643">
      <c r="A643" s="81"/>
      <c r="I643" s="91"/>
      <c r="N643" s="90"/>
      <c r="O643" s="91"/>
      <c r="P643" s="91"/>
      <c r="Q643" s="90"/>
    </row>
    <row r="644">
      <c r="A644" s="81"/>
      <c r="I644" s="91"/>
      <c r="N644" s="90"/>
      <c r="O644" s="91"/>
      <c r="P644" s="91"/>
      <c r="Q644" s="90"/>
    </row>
    <row r="645">
      <c r="A645" s="81"/>
      <c r="I645" s="91"/>
      <c r="N645" s="90"/>
      <c r="O645" s="91"/>
      <c r="P645" s="91"/>
      <c r="Q645" s="90"/>
    </row>
    <row r="646">
      <c r="A646" s="81"/>
      <c r="I646" s="91"/>
      <c r="N646" s="90"/>
      <c r="O646" s="91"/>
      <c r="P646" s="91"/>
      <c r="Q646" s="90"/>
    </row>
    <row r="647">
      <c r="A647" s="81"/>
      <c r="I647" s="91"/>
      <c r="N647" s="90"/>
      <c r="O647" s="91"/>
      <c r="P647" s="91"/>
      <c r="Q647" s="90"/>
    </row>
    <row r="648">
      <c r="A648" s="81"/>
      <c r="I648" s="91"/>
      <c r="N648" s="90"/>
      <c r="O648" s="91"/>
      <c r="P648" s="91"/>
      <c r="Q648" s="90"/>
    </row>
    <row r="649">
      <c r="A649" s="81"/>
      <c r="I649" s="91"/>
      <c r="N649" s="90"/>
      <c r="O649" s="91"/>
      <c r="P649" s="91"/>
      <c r="Q649" s="90"/>
    </row>
    <row r="650">
      <c r="A650" s="81"/>
      <c r="I650" s="91"/>
      <c r="N650" s="90"/>
      <c r="O650" s="91"/>
      <c r="P650" s="91"/>
      <c r="Q650" s="90"/>
    </row>
    <row r="651">
      <c r="A651" s="81"/>
      <c r="I651" s="91"/>
      <c r="N651" s="90"/>
      <c r="O651" s="91"/>
      <c r="P651" s="91"/>
      <c r="Q651" s="90"/>
    </row>
    <row r="652">
      <c r="A652" s="81"/>
      <c r="I652" s="91"/>
      <c r="N652" s="90"/>
      <c r="O652" s="91"/>
      <c r="P652" s="91"/>
      <c r="Q652" s="90"/>
    </row>
    <row r="653">
      <c r="A653" s="81"/>
      <c r="I653" s="91"/>
      <c r="N653" s="90"/>
      <c r="O653" s="91"/>
      <c r="P653" s="91"/>
      <c r="Q653" s="90"/>
    </row>
    <row r="654">
      <c r="A654" s="81"/>
      <c r="I654" s="91"/>
      <c r="N654" s="90"/>
      <c r="O654" s="91"/>
      <c r="P654" s="91"/>
      <c r="Q654" s="90"/>
    </row>
    <row r="655">
      <c r="A655" s="81"/>
      <c r="I655" s="91"/>
      <c r="N655" s="90"/>
      <c r="O655" s="91"/>
      <c r="P655" s="91"/>
      <c r="Q655" s="90"/>
    </row>
    <row r="656">
      <c r="A656" s="81"/>
      <c r="I656" s="91"/>
      <c r="N656" s="90"/>
      <c r="O656" s="91"/>
      <c r="P656" s="91"/>
      <c r="Q656" s="90"/>
    </row>
    <row r="657">
      <c r="A657" s="81"/>
      <c r="I657" s="91"/>
      <c r="N657" s="90"/>
      <c r="O657" s="91"/>
      <c r="P657" s="91"/>
      <c r="Q657" s="90"/>
    </row>
    <row r="658">
      <c r="A658" s="81"/>
      <c r="I658" s="91"/>
      <c r="N658" s="90"/>
      <c r="O658" s="91"/>
      <c r="P658" s="91"/>
      <c r="Q658" s="90"/>
    </row>
    <row r="659">
      <c r="A659" s="81"/>
      <c r="I659" s="91"/>
      <c r="N659" s="90"/>
      <c r="O659" s="91"/>
      <c r="P659" s="91"/>
      <c r="Q659" s="90"/>
    </row>
    <row r="660">
      <c r="A660" s="81"/>
      <c r="I660" s="91"/>
      <c r="N660" s="90"/>
      <c r="O660" s="91"/>
      <c r="P660" s="91"/>
      <c r="Q660" s="90"/>
    </row>
    <row r="661">
      <c r="A661" s="81"/>
      <c r="I661" s="91"/>
      <c r="N661" s="90"/>
      <c r="O661" s="91"/>
      <c r="P661" s="91"/>
      <c r="Q661" s="90"/>
    </row>
    <row r="662">
      <c r="A662" s="81"/>
      <c r="I662" s="91"/>
      <c r="N662" s="90"/>
      <c r="O662" s="91"/>
      <c r="P662" s="91"/>
      <c r="Q662" s="90"/>
    </row>
    <row r="663">
      <c r="A663" s="81"/>
      <c r="I663" s="91"/>
      <c r="N663" s="90"/>
      <c r="O663" s="91"/>
      <c r="P663" s="91"/>
      <c r="Q663" s="90"/>
    </row>
    <row r="664">
      <c r="A664" s="81"/>
      <c r="I664" s="91"/>
      <c r="N664" s="90"/>
      <c r="O664" s="91"/>
      <c r="P664" s="91"/>
      <c r="Q664" s="90"/>
    </row>
    <row r="665">
      <c r="A665" s="81"/>
      <c r="I665" s="91"/>
      <c r="N665" s="90"/>
      <c r="O665" s="91"/>
      <c r="P665" s="91"/>
      <c r="Q665" s="90"/>
    </row>
    <row r="666">
      <c r="A666" s="81"/>
      <c r="I666" s="91"/>
      <c r="N666" s="90"/>
      <c r="O666" s="91"/>
      <c r="P666" s="91"/>
      <c r="Q666" s="90"/>
    </row>
    <row r="667">
      <c r="A667" s="81"/>
      <c r="I667" s="91"/>
      <c r="N667" s="90"/>
      <c r="O667" s="91"/>
      <c r="P667" s="91"/>
      <c r="Q667" s="90"/>
    </row>
    <row r="668">
      <c r="A668" s="81"/>
      <c r="I668" s="91"/>
      <c r="N668" s="90"/>
      <c r="O668" s="91"/>
      <c r="P668" s="91"/>
      <c r="Q668" s="90"/>
    </row>
    <row r="669">
      <c r="A669" s="81"/>
      <c r="I669" s="91"/>
      <c r="N669" s="90"/>
      <c r="O669" s="91"/>
      <c r="P669" s="91"/>
      <c r="Q669" s="90"/>
    </row>
    <row r="670">
      <c r="A670" s="81"/>
      <c r="I670" s="91"/>
      <c r="N670" s="90"/>
      <c r="O670" s="91"/>
      <c r="P670" s="91"/>
      <c r="Q670" s="90"/>
    </row>
    <row r="671">
      <c r="A671" s="81"/>
      <c r="I671" s="91"/>
      <c r="N671" s="90"/>
      <c r="O671" s="91"/>
      <c r="P671" s="91"/>
      <c r="Q671" s="90"/>
    </row>
    <row r="672">
      <c r="A672" s="81"/>
      <c r="I672" s="91"/>
      <c r="N672" s="90"/>
      <c r="O672" s="91"/>
      <c r="P672" s="91"/>
      <c r="Q672" s="90"/>
    </row>
    <row r="673">
      <c r="A673" s="81"/>
      <c r="I673" s="91"/>
      <c r="N673" s="90"/>
      <c r="O673" s="91"/>
      <c r="P673" s="91"/>
      <c r="Q673" s="90"/>
    </row>
    <row r="674">
      <c r="A674" s="81"/>
      <c r="I674" s="91"/>
      <c r="N674" s="90"/>
      <c r="O674" s="91"/>
      <c r="P674" s="91"/>
      <c r="Q674" s="90"/>
    </row>
    <row r="675">
      <c r="A675" s="81"/>
      <c r="I675" s="91"/>
      <c r="N675" s="90"/>
      <c r="O675" s="91"/>
      <c r="P675" s="91"/>
      <c r="Q675" s="90"/>
    </row>
    <row r="676">
      <c r="A676" s="81"/>
      <c r="I676" s="91"/>
      <c r="N676" s="90"/>
      <c r="O676" s="91"/>
      <c r="P676" s="91"/>
      <c r="Q676" s="90"/>
    </row>
    <row r="677">
      <c r="A677" s="81"/>
      <c r="I677" s="91"/>
      <c r="N677" s="90"/>
      <c r="O677" s="91"/>
      <c r="P677" s="91"/>
      <c r="Q677" s="90"/>
    </row>
    <row r="678">
      <c r="A678" s="81"/>
      <c r="I678" s="91"/>
      <c r="N678" s="90"/>
      <c r="O678" s="91"/>
      <c r="P678" s="91"/>
      <c r="Q678" s="90"/>
    </row>
    <row r="679">
      <c r="A679" s="81"/>
      <c r="I679" s="91"/>
      <c r="N679" s="90"/>
      <c r="O679" s="91"/>
      <c r="P679" s="91"/>
      <c r="Q679" s="90"/>
    </row>
    <row r="680">
      <c r="A680" s="81"/>
      <c r="I680" s="91"/>
      <c r="N680" s="90"/>
      <c r="O680" s="91"/>
      <c r="P680" s="91"/>
      <c r="Q680" s="90"/>
    </row>
    <row r="681">
      <c r="A681" s="81"/>
      <c r="I681" s="91"/>
      <c r="N681" s="90"/>
      <c r="O681" s="91"/>
      <c r="P681" s="91"/>
      <c r="Q681" s="90"/>
    </row>
    <row r="682">
      <c r="A682" s="81"/>
      <c r="I682" s="91"/>
      <c r="N682" s="90"/>
      <c r="O682" s="91"/>
      <c r="P682" s="91"/>
      <c r="Q682" s="90"/>
    </row>
    <row r="683">
      <c r="A683" s="81"/>
      <c r="I683" s="91"/>
      <c r="N683" s="90"/>
      <c r="O683" s="91"/>
      <c r="P683" s="91"/>
      <c r="Q683" s="90"/>
    </row>
    <row r="684">
      <c r="A684" s="81"/>
      <c r="I684" s="91"/>
      <c r="N684" s="90"/>
      <c r="O684" s="91"/>
      <c r="P684" s="91"/>
      <c r="Q684" s="90"/>
    </row>
    <row r="685">
      <c r="A685" s="81"/>
      <c r="I685" s="91"/>
      <c r="N685" s="90"/>
      <c r="O685" s="91"/>
      <c r="P685" s="91"/>
      <c r="Q685" s="90"/>
    </row>
    <row r="686">
      <c r="A686" s="81"/>
      <c r="I686" s="91"/>
      <c r="N686" s="90"/>
      <c r="O686" s="91"/>
      <c r="P686" s="91"/>
      <c r="Q686" s="90"/>
    </row>
    <row r="687">
      <c r="A687" s="81"/>
      <c r="I687" s="91"/>
      <c r="N687" s="90"/>
      <c r="O687" s="91"/>
      <c r="P687" s="91"/>
      <c r="Q687" s="90"/>
    </row>
    <row r="688">
      <c r="A688" s="81"/>
      <c r="I688" s="91"/>
      <c r="N688" s="90"/>
      <c r="O688" s="91"/>
      <c r="P688" s="91"/>
      <c r="Q688" s="90"/>
    </row>
    <row r="689">
      <c r="A689" s="81"/>
      <c r="I689" s="91"/>
      <c r="N689" s="90"/>
      <c r="O689" s="91"/>
      <c r="P689" s="91"/>
      <c r="Q689" s="90"/>
    </row>
    <row r="690">
      <c r="A690" s="81"/>
      <c r="I690" s="91"/>
      <c r="N690" s="90"/>
      <c r="O690" s="91"/>
      <c r="P690" s="91"/>
      <c r="Q690" s="90"/>
    </row>
    <row r="691">
      <c r="A691" s="81"/>
      <c r="I691" s="91"/>
      <c r="N691" s="90"/>
      <c r="O691" s="91"/>
      <c r="P691" s="91"/>
      <c r="Q691" s="90"/>
    </row>
    <row r="692">
      <c r="A692" s="81"/>
      <c r="I692" s="91"/>
      <c r="N692" s="90"/>
      <c r="O692" s="91"/>
      <c r="P692" s="91"/>
      <c r="Q692" s="90"/>
    </row>
    <row r="693">
      <c r="A693" s="81"/>
      <c r="I693" s="91"/>
      <c r="N693" s="90"/>
      <c r="O693" s="91"/>
      <c r="P693" s="91"/>
      <c r="Q693" s="90"/>
    </row>
    <row r="694">
      <c r="A694" s="81"/>
      <c r="I694" s="91"/>
      <c r="N694" s="90"/>
      <c r="O694" s="91"/>
      <c r="P694" s="91"/>
      <c r="Q694" s="90"/>
    </row>
    <row r="695">
      <c r="A695" s="81"/>
      <c r="I695" s="91"/>
      <c r="N695" s="90"/>
      <c r="O695" s="91"/>
      <c r="P695" s="91"/>
      <c r="Q695" s="90"/>
    </row>
    <row r="696">
      <c r="A696" s="81"/>
      <c r="I696" s="91"/>
      <c r="N696" s="90"/>
      <c r="O696" s="91"/>
      <c r="P696" s="91"/>
      <c r="Q696" s="90"/>
    </row>
    <row r="697">
      <c r="A697" s="81"/>
      <c r="I697" s="91"/>
      <c r="N697" s="90"/>
      <c r="O697" s="91"/>
      <c r="P697" s="91"/>
      <c r="Q697" s="90"/>
    </row>
    <row r="698">
      <c r="A698" s="81"/>
      <c r="I698" s="91"/>
      <c r="N698" s="90"/>
      <c r="O698" s="91"/>
      <c r="P698" s="91"/>
      <c r="Q698" s="90"/>
    </row>
    <row r="699">
      <c r="A699" s="81"/>
      <c r="I699" s="91"/>
      <c r="N699" s="90"/>
      <c r="O699" s="91"/>
      <c r="P699" s="91"/>
      <c r="Q699" s="90"/>
    </row>
    <row r="700">
      <c r="A700" s="81"/>
      <c r="I700" s="91"/>
      <c r="N700" s="90"/>
      <c r="O700" s="91"/>
      <c r="P700" s="91"/>
      <c r="Q700" s="90"/>
    </row>
    <row r="701">
      <c r="A701" s="81"/>
      <c r="I701" s="91"/>
      <c r="N701" s="90"/>
      <c r="O701" s="91"/>
      <c r="P701" s="91"/>
      <c r="Q701" s="90"/>
    </row>
    <row r="702">
      <c r="A702" s="81"/>
      <c r="I702" s="91"/>
      <c r="N702" s="90"/>
      <c r="O702" s="91"/>
      <c r="P702" s="91"/>
      <c r="Q702" s="90"/>
    </row>
    <row r="703">
      <c r="A703" s="81"/>
      <c r="I703" s="91"/>
      <c r="N703" s="90"/>
      <c r="O703" s="91"/>
      <c r="P703" s="91"/>
      <c r="Q703" s="90"/>
    </row>
    <row r="704">
      <c r="A704" s="81"/>
      <c r="I704" s="91"/>
      <c r="N704" s="90"/>
      <c r="O704" s="91"/>
      <c r="P704" s="91"/>
      <c r="Q704" s="90"/>
    </row>
    <row r="705">
      <c r="A705" s="81"/>
      <c r="I705" s="91"/>
      <c r="N705" s="90"/>
      <c r="O705" s="91"/>
      <c r="P705" s="91"/>
      <c r="Q705" s="90"/>
    </row>
    <row r="706">
      <c r="A706" s="81"/>
      <c r="I706" s="91"/>
      <c r="N706" s="90"/>
      <c r="O706" s="91"/>
      <c r="P706" s="91"/>
      <c r="Q706" s="90"/>
    </row>
    <row r="707">
      <c r="A707" s="81"/>
      <c r="I707" s="91"/>
      <c r="N707" s="90"/>
      <c r="O707" s="91"/>
      <c r="P707" s="91"/>
      <c r="Q707" s="90"/>
    </row>
    <row r="708">
      <c r="A708" s="81"/>
      <c r="I708" s="91"/>
      <c r="N708" s="90"/>
      <c r="O708" s="91"/>
      <c r="P708" s="91"/>
      <c r="Q708" s="90"/>
    </row>
    <row r="709">
      <c r="A709" s="81"/>
      <c r="I709" s="91"/>
      <c r="N709" s="90"/>
      <c r="O709" s="91"/>
      <c r="P709" s="91"/>
      <c r="Q709" s="90"/>
    </row>
    <row r="710">
      <c r="A710" s="81"/>
      <c r="I710" s="91"/>
      <c r="N710" s="90"/>
      <c r="O710" s="91"/>
      <c r="P710" s="91"/>
      <c r="Q710" s="90"/>
    </row>
    <row r="711">
      <c r="A711" s="81"/>
      <c r="I711" s="91"/>
      <c r="N711" s="90"/>
      <c r="O711" s="91"/>
      <c r="P711" s="91"/>
      <c r="Q711" s="90"/>
    </row>
    <row r="712">
      <c r="A712" s="81"/>
      <c r="I712" s="91"/>
      <c r="N712" s="90"/>
      <c r="O712" s="91"/>
      <c r="P712" s="91"/>
      <c r="Q712" s="90"/>
    </row>
    <row r="713">
      <c r="A713" s="81"/>
      <c r="I713" s="91"/>
      <c r="N713" s="90"/>
      <c r="O713" s="91"/>
      <c r="P713" s="91"/>
      <c r="Q713" s="90"/>
    </row>
    <row r="714">
      <c r="A714" s="81"/>
      <c r="I714" s="91"/>
      <c r="N714" s="90"/>
      <c r="O714" s="91"/>
      <c r="P714" s="91"/>
      <c r="Q714" s="90"/>
    </row>
    <row r="715">
      <c r="A715" s="81"/>
      <c r="I715" s="91"/>
      <c r="N715" s="90"/>
      <c r="O715" s="91"/>
      <c r="P715" s="91"/>
      <c r="Q715" s="90"/>
    </row>
    <row r="716">
      <c r="A716" s="81"/>
      <c r="I716" s="91"/>
      <c r="N716" s="90"/>
      <c r="O716" s="91"/>
      <c r="P716" s="91"/>
      <c r="Q716" s="90"/>
    </row>
    <row r="717">
      <c r="A717" s="81"/>
      <c r="I717" s="91"/>
      <c r="N717" s="90"/>
      <c r="O717" s="91"/>
      <c r="P717" s="91"/>
      <c r="Q717" s="90"/>
    </row>
    <row r="718">
      <c r="A718" s="81"/>
      <c r="I718" s="91"/>
      <c r="N718" s="90"/>
      <c r="O718" s="91"/>
      <c r="P718" s="91"/>
      <c r="Q718" s="90"/>
    </row>
    <row r="719">
      <c r="A719" s="81"/>
      <c r="I719" s="91"/>
      <c r="N719" s="90"/>
      <c r="O719" s="91"/>
      <c r="P719" s="91"/>
      <c r="Q719" s="90"/>
    </row>
    <row r="720">
      <c r="A720" s="81"/>
      <c r="I720" s="91"/>
      <c r="N720" s="90"/>
      <c r="O720" s="91"/>
      <c r="P720" s="91"/>
      <c r="Q720" s="90"/>
    </row>
    <row r="721">
      <c r="A721" s="81"/>
      <c r="I721" s="91"/>
      <c r="N721" s="90"/>
      <c r="O721" s="91"/>
      <c r="P721" s="91"/>
      <c r="Q721" s="90"/>
    </row>
    <row r="722">
      <c r="A722" s="81"/>
      <c r="I722" s="91"/>
      <c r="N722" s="90"/>
      <c r="O722" s="91"/>
      <c r="P722" s="91"/>
      <c r="Q722" s="90"/>
    </row>
    <row r="723">
      <c r="A723" s="81"/>
      <c r="I723" s="91"/>
      <c r="N723" s="90"/>
      <c r="O723" s="91"/>
      <c r="P723" s="91"/>
      <c r="Q723" s="90"/>
    </row>
    <row r="724">
      <c r="A724" s="81"/>
      <c r="I724" s="91"/>
      <c r="N724" s="90"/>
      <c r="O724" s="91"/>
      <c r="P724" s="91"/>
      <c r="Q724" s="90"/>
    </row>
    <row r="725">
      <c r="A725" s="81"/>
      <c r="I725" s="91"/>
      <c r="N725" s="90"/>
      <c r="O725" s="91"/>
      <c r="P725" s="91"/>
      <c r="Q725" s="90"/>
    </row>
    <row r="726">
      <c r="A726" s="81"/>
      <c r="I726" s="91"/>
      <c r="N726" s="90"/>
      <c r="O726" s="91"/>
      <c r="P726" s="91"/>
      <c r="Q726" s="90"/>
    </row>
    <row r="727">
      <c r="A727" s="81"/>
      <c r="I727" s="91"/>
      <c r="N727" s="90"/>
      <c r="O727" s="91"/>
      <c r="P727" s="91"/>
      <c r="Q727" s="90"/>
    </row>
    <row r="728">
      <c r="A728" s="81"/>
      <c r="I728" s="91"/>
      <c r="N728" s="90"/>
      <c r="O728" s="91"/>
      <c r="P728" s="91"/>
      <c r="Q728" s="90"/>
    </row>
    <row r="729">
      <c r="A729" s="81"/>
      <c r="I729" s="91"/>
      <c r="N729" s="90"/>
      <c r="O729" s="91"/>
      <c r="P729" s="91"/>
      <c r="Q729" s="90"/>
    </row>
    <row r="730">
      <c r="A730" s="81"/>
      <c r="I730" s="91"/>
      <c r="N730" s="90"/>
      <c r="O730" s="91"/>
      <c r="P730" s="91"/>
      <c r="Q730" s="90"/>
    </row>
    <row r="731">
      <c r="A731" s="81"/>
      <c r="I731" s="91"/>
      <c r="N731" s="90"/>
      <c r="O731" s="91"/>
      <c r="P731" s="91"/>
      <c r="Q731" s="90"/>
    </row>
    <row r="732">
      <c r="A732" s="81"/>
      <c r="I732" s="91"/>
      <c r="N732" s="90"/>
      <c r="O732" s="91"/>
      <c r="P732" s="91"/>
      <c r="Q732" s="90"/>
    </row>
    <row r="733">
      <c r="A733" s="81"/>
      <c r="I733" s="91"/>
      <c r="N733" s="90"/>
      <c r="O733" s="91"/>
      <c r="P733" s="91"/>
      <c r="Q733" s="90"/>
    </row>
    <row r="734">
      <c r="A734" s="81"/>
      <c r="I734" s="91"/>
      <c r="N734" s="90"/>
      <c r="O734" s="91"/>
      <c r="P734" s="91"/>
      <c r="Q734" s="90"/>
    </row>
    <row r="735">
      <c r="A735" s="81"/>
      <c r="I735" s="91"/>
      <c r="N735" s="90"/>
      <c r="O735" s="91"/>
      <c r="P735" s="91"/>
      <c r="Q735" s="90"/>
    </row>
    <row r="736">
      <c r="A736" s="81"/>
      <c r="I736" s="91"/>
      <c r="N736" s="90"/>
      <c r="O736" s="91"/>
      <c r="P736" s="91"/>
      <c r="Q736" s="90"/>
    </row>
    <row r="737">
      <c r="A737" s="81"/>
      <c r="I737" s="91"/>
      <c r="N737" s="90"/>
      <c r="O737" s="91"/>
      <c r="P737" s="91"/>
      <c r="Q737" s="90"/>
    </row>
    <row r="738">
      <c r="A738" s="81"/>
      <c r="I738" s="91"/>
      <c r="N738" s="90"/>
      <c r="O738" s="91"/>
      <c r="P738" s="91"/>
      <c r="Q738" s="90"/>
    </row>
    <row r="739">
      <c r="A739" s="81"/>
      <c r="I739" s="91"/>
      <c r="N739" s="90"/>
      <c r="O739" s="91"/>
      <c r="P739" s="91"/>
      <c r="Q739" s="90"/>
    </row>
    <row r="740">
      <c r="A740" s="81"/>
      <c r="I740" s="91"/>
      <c r="N740" s="90"/>
      <c r="O740" s="91"/>
      <c r="P740" s="91"/>
      <c r="Q740" s="90"/>
    </row>
    <row r="741">
      <c r="A741" s="81"/>
      <c r="I741" s="91"/>
      <c r="N741" s="90"/>
      <c r="O741" s="91"/>
      <c r="P741" s="91"/>
      <c r="Q741" s="90"/>
    </row>
    <row r="742">
      <c r="A742" s="81"/>
      <c r="I742" s="91"/>
      <c r="N742" s="90"/>
      <c r="O742" s="91"/>
      <c r="P742" s="91"/>
      <c r="Q742" s="90"/>
    </row>
    <row r="743">
      <c r="A743" s="81"/>
      <c r="I743" s="91"/>
      <c r="N743" s="90"/>
      <c r="O743" s="91"/>
      <c r="P743" s="91"/>
      <c r="Q743" s="90"/>
    </row>
    <row r="744">
      <c r="A744" s="81"/>
      <c r="I744" s="91"/>
      <c r="N744" s="90"/>
      <c r="O744" s="91"/>
      <c r="P744" s="91"/>
      <c r="Q744" s="90"/>
    </row>
    <row r="745">
      <c r="A745" s="81"/>
      <c r="I745" s="91"/>
      <c r="N745" s="90"/>
      <c r="O745" s="91"/>
      <c r="P745" s="91"/>
      <c r="Q745" s="90"/>
    </row>
    <row r="746">
      <c r="A746" s="81"/>
      <c r="I746" s="91"/>
      <c r="N746" s="90"/>
      <c r="O746" s="91"/>
      <c r="P746" s="91"/>
      <c r="Q746" s="90"/>
    </row>
    <row r="747">
      <c r="A747" s="81"/>
      <c r="I747" s="91"/>
      <c r="N747" s="90"/>
      <c r="O747" s="91"/>
      <c r="P747" s="91"/>
      <c r="Q747" s="90"/>
    </row>
    <row r="748">
      <c r="A748" s="81"/>
      <c r="I748" s="91"/>
      <c r="N748" s="90"/>
      <c r="O748" s="91"/>
      <c r="P748" s="91"/>
      <c r="Q748" s="90"/>
    </row>
    <row r="749">
      <c r="A749" s="81"/>
      <c r="I749" s="91"/>
      <c r="N749" s="90"/>
      <c r="O749" s="91"/>
      <c r="P749" s="91"/>
      <c r="Q749" s="90"/>
    </row>
    <row r="750">
      <c r="A750" s="81"/>
      <c r="I750" s="91"/>
      <c r="N750" s="90"/>
      <c r="O750" s="91"/>
      <c r="P750" s="91"/>
      <c r="Q750" s="90"/>
    </row>
    <row r="751">
      <c r="A751" s="81"/>
      <c r="I751" s="91"/>
      <c r="N751" s="90"/>
      <c r="O751" s="91"/>
      <c r="P751" s="91"/>
      <c r="Q751" s="90"/>
    </row>
    <row r="752">
      <c r="A752" s="81"/>
      <c r="I752" s="91"/>
      <c r="N752" s="90"/>
      <c r="O752" s="91"/>
      <c r="P752" s="91"/>
      <c r="Q752" s="90"/>
    </row>
    <row r="753">
      <c r="A753" s="81"/>
      <c r="I753" s="91"/>
      <c r="N753" s="90"/>
      <c r="O753" s="91"/>
      <c r="P753" s="91"/>
      <c r="Q753" s="90"/>
    </row>
    <row r="754">
      <c r="A754" s="81"/>
      <c r="I754" s="91"/>
      <c r="N754" s="90"/>
      <c r="O754" s="91"/>
      <c r="P754" s="91"/>
      <c r="Q754" s="90"/>
    </row>
    <row r="755">
      <c r="A755" s="81"/>
      <c r="I755" s="91"/>
      <c r="N755" s="90"/>
      <c r="O755" s="91"/>
      <c r="P755" s="91"/>
      <c r="Q755" s="90"/>
    </row>
    <row r="756">
      <c r="A756" s="81"/>
      <c r="I756" s="91"/>
      <c r="N756" s="90"/>
      <c r="O756" s="91"/>
      <c r="P756" s="91"/>
      <c r="Q756" s="90"/>
    </row>
    <row r="757">
      <c r="A757" s="81"/>
      <c r="I757" s="91"/>
      <c r="N757" s="90"/>
      <c r="O757" s="91"/>
      <c r="P757" s="91"/>
      <c r="Q757" s="90"/>
    </row>
    <row r="758">
      <c r="A758" s="81"/>
      <c r="I758" s="91"/>
      <c r="N758" s="90"/>
      <c r="O758" s="91"/>
      <c r="P758" s="91"/>
      <c r="Q758" s="90"/>
    </row>
    <row r="759">
      <c r="A759" s="81"/>
      <c r="I759" s="91"/>
      <c r="N759" s="90"/>
      <c r="O759" s="91"/>
      <c r="P759" s="91"/>
      <c r="Q759" s="90"/>
    </row>
    <row r="760">
      <c r="A760" s="81"/>
      <c r="I760" s="91"/>
      <c r="N760" s="90"/>
      <c r="O760" s="91"/>
      <c r="P760" s="91"/>
      <c r="Q760" s="90"/>
    </row>
    <row r="761">
      <c r="A761" s="81"/>
      <c r="I761" s="91"/>
      <c r="N761" s="90"/>
      <c r="O761" s="91"/>
      <c r="P761" s="91"/>
      <c r="Q761" s="90"/>
    </row>
    <row r="762">
      <c r="A762" s="81"/>
      <c r="I762" s="91"/>
      <c r="N762" s="90"/>
      <c r="O762" s="91"/>
      <c r="P762" s="91"/>
      <c r="Q762" s="90"/>
    </row>
    <row r="763">
      <c r="A763" s="81"/>
      <c r="I763" s="91"/>
      <c r="N763" s="90"/>
      <c r="O763" s="91"/>
      <c r="P763" s="91"/>
      <c r="Q763" s="90"/>
    </row>
    <row r="764">
      <c r="A764" s="81"/>
      <c r="I764" s="91"/>
      <c r="N764" s="90"/>
      <c r="O764" s="91"/>
      <c r="P764" s="91"/>
      <c r="Q764" s="90"/>
    </row>
    <row r="765">
      <c r="A765" s="81"/>
      <c r="I765" s="91"/>
      <c r="N765" s="90"/>
      <c r="O765" s="91"/>
      <c r="P765" s="91"/>
      <c r="Q765" s="90"/>
    </row>
    <row r="766">
      <c r="A766" s="81"/>
      <c r="I766" s="91"/>
      <c r="N766" s="90"/>
      <c r="O766" s="91"/>
      <c r="P766" s="91"/>
      <c r="Q766" s="90"/>
    </row>
    <row r="767">
      <c r="A767" s="81"/>
      <c r="I767" s="91"/>
      <c r="N767" s="90"/>
      <c r="O767" s="91"/>
      <c r="P767" s="91"/>
      <c r="Q767" s="90"/>
    </row>
    <row r="768">
      <c r="A768" s="81"/>
      <c r="I768" s="91"/>
      <c r="N768" s="90"/>
      <c r="O768" s="91"/>
      <c r="P768" s="91"/>
      <c r="Q768" s="90"/>
    </row>
    <row r="769">
      <c r="A769" s="81"/>
      <c r="I769" s="91"/>
      <c r="N769" s="90"/>
      <c r="O769" s="91"/>
      <c r="P769" s="91"/>
      <c r="Q769" s="90"/>
    </row>
    <row r="770">
      <c r="A770" s="81"/>
      <c r="I770" s="91"/>
      <c r="N770" s="90"/>
      <c r="O770" s="91"/>
      <c r="P770" s="91"/>
      <c r="Q770" s="90"/>
    </row>
    <row r="771">
      <c r="A771" s="81"/>
      <c r="I771" s="91"/>
      <c r="N771" s="90"/>
      <c r="O771" s="91"/>
      <c r="P771" s="91"/>
      <c r="Q771" s="90"/>
    </row>
    <row r="772">
      <c r="A772" s="81"/>
      <c r="I772" s="91"/>
      <c r="N772" s="90"/>
      <c r="O772" s="91"/>
      <c r="P772" s="91"/>
      <c r="Q772" s="90"/>
    </row>
    <row r="773">
      <c r="A773" s="81"/>
      <c r="I773" s="91"/>
      <c r="N773" s="90"/>
      <c r="O773" s="91"/>
      <c r="P773" s="91"/>
      <c r="Q773" s="90"/>
    </row>
    <row r="774">
      <c r="A774" s="81"/>
      <c r="I774" s="91"/>
      <c r="N774" s="90"/>
      <c r="O774" s="91"/>
      <c r="P774" s="91"/>
      <c r="Q774" s="90"/>
    </row>
    <row r="775">
      <c r="A775" s="81"/>
      <c r="I775" s="91"/>
      <c r="N775" s="90"/>
      <c r="O775" s="91"/>
      <c r="P775" s="91"/>
      <c r="Q775" s="90"/>
    </row>
    <row r="776">
      <c r="A776" s="81"/>
      <c r="I776" s="91"/>
      <c r="N776" s="90"/>
      <c r="O776" s="91"/>
      <c r="P776" s="91"/>
      <c r="Q776" s="90"/>
    </row>
    <row r="777">
      <c r="A777" s="81"/>
      <c r="I777" s="91"/>
      <c r="N777" s="90"/>
      <c r="O777" s="91"/>
      <c r="P777" s="91"/>
      <c r="Q777" s="90"/>
    </row>
    <row r="778">
      <c r="A778" s="81"/>
      <c r="I778" s="91"/>
      <c r="N778" s="90"/>
      <c r="O778" s="91"/>
      <c r="P778" s="91"/>
      <c r="Q778" s="90"/>
    </row>
    <row r="779">
      <c r="A779" s="81"/>
      <c r="I779" s="91"/>
      <c r="N779" s="90"/>
      <c r="O779" s="91"/>
      <c r="P779" s="91"/>
      <c r="Q779" s="90"/>
    </row>
    <row r="780">
      <c r="A780" s="81"/>
      <c r="I780" s="91"/>
      <c r="N780" s="90"/>
      <c r="O780" s="91"/>
      <c r="P780" s="91"/>
      <c r="Q780" s="90"/>
    </row>
    <row r="781">
      <c r="A781" s="81"/>
      <c r="I781" s="91"/>
      <c r="N781" s="90"/>
      <c r="O781" s="91"/>
      <c r="P781" s="91"/>
      <c r="Q781" s="90"/>
    </row>
    <row r="782">
      <c r="A782" s="81"/>
      <c r="I782" s="91"/>
      <c r="N782" s="90"/>
      <c r="O782" s="91"/>
      <c r="P782" s="91"/>
      <c r="Q782" s="90"/>
    </row>
    <row r="783">
      <c r="A783" s="81"/>
      <c r="I783" s="91"/>
      <c r="N783" s="90"/>
      <c r="O783" s="91"/>
      <c r="P783" s="91"/>
      <c r="Q783" s="90"/>
    </row>
    <row r="784">
      <c r="A784" s="81"/>
      <c r="I784" s="91"/>
      <c r="N784" s="90"/>
      <c r="O784" s="91"/>
      <c r="P784" s="91"/>
      <c r="Q784" s="90"/>
    </row>
    <row r="785">
      <c r="A785" s="81"/>
      <c r="I785" s="91"/>
      <c r="N785" s="90"/>
      <c r="O785" s="91"/>
      <c r="P785" s="91"/>
      <c r="Q785" s="90"/>
    </row>
    <row r="786">
      <c r="A786" s="81"/>
      <c r="I786" s="91"/>
      <c r="N786" s="90"/>
      <c r="O786" s="91"/>
      <c r="P786" s="91"/>
      <c r="Q786" s="90"/>
    </row>
    <row r="787">
      <c r="A787" s="81"/>
      <c r="I787" s="91"/>
      <c r="N787" s="90"/>
      <c r="O787" s="91"/>
      <c r="P787" s="91"/>
      <c r="Q787" s="90"/>
    </row>
    <row r="788">
      <c r="A788" s="81"/>
      <c r="I788" s="91"/>
      <c r="N788" s="90"/>
      <c r="O788" s="91"/>
      <c r="P788" s="91"/>
      <c r="Q788" s="90"/>
    </row>
    <row r="789">
      <c r="A789" s="81"/>
      <c r="I789" s="91"/>
      <c r="N789" s="90"/>
      <c r="O789" s="91"/>
      <c r="P789" s="91"/>
      <c r="Q789" s="90"/>
    </row>
    <row r="790">
      <c r="A790" s="81"/>
      <c r="I790" s="91"/>
      <c r="N790" s="90"/>
      <c r="O790" s="91"/>
      <c r="P790" s="91"/>
      <c r="Q790" s="90"/>
    </row>
    <row r="791">
      <c r="A791" s="81"/>
      <c r="I791" s="91"/>
      <c r="N791" s="90"/>
      <c r="O791" s="91"/>
      <c r="P791" s="91"/>
      <c r="Q791" s="90"/>
    </row>
    <row r="792">
      <c r="A792" s="81"/>
      <c r="I792" s="91"/>
      <c r="N792" s="90"/>
      <c r="O792" s="91"/>
      <c r="P792" s="91"/>
      <c r="Q792" s="90"/>
    </row>
    <row r="793">
      <c r="A793" s="81"/>
      <c r="I793" s="91"/>
      <c r="N793" s="90"/>
      <c r="O793" s="91"/>
      <c r="P793" s="91"/>
      <c r="Q793" s="90"/>
    </row>
    <row r="794">
      <c r="A794" s="81"/>
      <c r="I794" s="91"/>
      <c r="N794" s="90"/>
      <c r="O794" s="91"/>
      <c r="P794" s="91"/>
      <c r="Q794" s="90"/>
    </row>
    <row r="795">
      <c r="A795" s="81"/>
      <c r="I795" s="91"/>
      <c r="N795" s="90"/>
      <c r="O795" s="91"/>
      <c r="P795" s="91"/>
      <c r="Q795" s="90"/>
    </row>
    <row r="796">
      <c r="A796" s="81"/>
      <c r="I796" s="91"/>
      <c r="N796" s="90"/>
      <c r="O796" s="91"/>
      <c r="P796" s="91"/>
      <c r="Q796" s="90"/>
    </row>
    <row r="797">
      <c r="A797" s="81"/>
      <c r="I797" s="91"/>
      <c r="N797" s="90"/>
      <c r="O797" s="91"/>
      <c r="P797" s="91"/>
      <c r="Q797" s="90"/>
    </row>
    <row r="798">
      <c r="A798" s="81"/>
      <c r="I798" s="91"/>
      <c r="N798" s="90"/>
      <c r="O798" s="91"/>
      <c r="P798" s="91"/>
      <c r="Q798" s="90"/>
    </row>
    <row r="799">
      <c r="A799" s="81"/>
      <c r="I799" s="91"/>
      <c r="N799" s="90"/>
      <c r="O799" s="91"/>
      <c r="P799" s="91"/>
      <c r="Q799" s="90"/>
    </row>
    <row r="800">
      <c r="A800" s="81"/>
      <c r="I800" s="91"/>
      <c r="N800" s="90"/>
      <c r="O800" s="91"/>
      <c r="P800" s="91"/>
      <c r="Q800" s="90"/>
    </row>
    <row r="801">
      <c r="A801" s="81"/>
      <c r="I801" s="91"/>
      <c r="N801" s="90"/>
      <c r="O801" s="91"/>
      <c r="P801" s="91"/>
      <c r="Q801" s="90"/>
    </row>
    <row r="802">
      <c r="A802" s="81"/>
      <c r="I802" s="91"/>
      <c r="N802" s="90"/>
      <c r="O802" s="91"/>
      <c r="P802" s="91"/>
      <c r="Q802" s="90"/>
    </row>
    <row r="803">
      <c r="A803" s="81"/>
      <c r="I803" s="91"/>
      <c r="N803" s="90"/>
      <c r="O803" s="91"/>
      <c r="P803" s="91"/>
      <c r="Q803" s="90"/>
    </row>
    <row r="804">
      <c r="A804" s="81"/>
      <c r="I804" s="91"/>
      <c r="N804" s="90"/>
      <c r="O804" s="91"/>
      <c r="P804" s="91"/>
      <c r="Q804" s="90"/>
    </row>
    <row r="805">
      <c r="A805" s="81"/>
      <c r="I805" s="91"/>
      <c r="N805" s="90"/>
      <c r="O805" s="91"/>
      <c r="P805" s="91"/>
      <c r="Q805" s="90"/>
    </row>
    <row r="806">
      <c r="A806" s="81"/>
      <c r="I806" s="91"/>
      <c r="N806" s="90"/>
      <c r="O806" s="91"/>
      <c r="P806" s="91"/>
      <c r="Q806" s="90"/>
    </row>
    <row r="807">
      <c r="A807" s="81"/>
      <c r="I807" s="91"/>
      <c r="N807" s="90"/>
      <c r="O807" s="91"/>
      <c r="P807" s="91"/>
      <c r="Q807" s="90"/>
    </row>
    <row r="808">
      <c r="A808" s="81"/>
      <c r="I808" s="91"/>
      <c r="N808" s="90"/>
      <c r="O808" s="91"/>
      <c r="P808" s="91"/>
      <c r="Q808" s="90"/>
    </row>
    <row r="809">
      <c r="A809" s="81"/>
      <c r="I809" s="91"/>
      <c r="N809" s="90"/>
      <c r="O809" s="91"/>
      <c r="P809" s="91"/>
      <c r="Q809" s="90"/>
    </row>
    <row r="810">
      <c r="A810" s="81"/>
      <c r="I810" s="91"/>
      <c r="N810" s="90"/>
      <c r="O810" s="91"/>
      <c r="P810" s="91"/>
      <c r="Q810" s="90"/>
    </row>
    <row r="811">
      <c r="A811" s="81"/>
      <c r="I811" s="91"/>
      <c r="N811" s="90"/>
      <c r="O811" s="91"/>
      <c r="P811" s="91"/>
      <c r="Q811" s="90"/>
    </row>
    <row r="812">
      <c r="A812" s="81"/>
      <c r="I812" s="91"/>
      <c r="N812" s="90"/>
      <c r="O812" s="91"/>
      <c r="P812" s="91"/>
      <c r="Q812" s="90"/>
    </row>
    <row r="813">
      <c r="A813" s="81"/>
      <c r="I813" s="91"/>
      <c r="N813" s="90"/>
      <c r="O813" s="91"/>
      <c r="P813" s="91"/>
      <c r="Q813" s="90"/>
    </row>
    <row r="814">
      <c r="A814" s="81"/>
      <c r="I814" s="91"/>
      <c r="N814" s="90"/>
      <c r="O814" s="91"/>
      <c r="P814" s="91"/>
      <c r="Q814" s="90"/>
    </row>
    <row r="815">
      <c r="A815" s="81"/>
      <c r="I815" s="91"/>
      <c r="N815" s="90"/>
      <c r="O815" s="91"/>
      <c r="P815" s="91"/>
      <c r="Q815" s="90"/>
    </row>
    <row r="816">
      <c r="A816" s="81"/>
      <c r="I816" s="91"/>
      <c r="N816" s="90"/>
      <c r="O816" s="91"/>
      <c r="P816" s="91"/>
      <c r="Q816" s="90"/>
    </row>
    <row r="817">
      <c r="A817" s="81"/>
      <c r="I817" s="91"/>
      <c r="N817" s="90"/>
      <c r="O817" s="91"/>
      <c r="P817" s="91"/>
      <c r="Q817" s="90"/>
    </row>
    <row r="818">
      <c r="A818" s="81"/>
      <c r="I818" s="91"/>
      <c r="N818" s="90"/>
      <c r="O818" s="91"/>
      <c r="P818" s="91"/>
      <c r="Q818" s="90"/>
    </row>
    <row r="819">
      <c r="A819" s="81"/>
      <c r="I819" s="91"/>
      <c r="N819" s="90"/>
      <c r="O819" s="91"/>
      <c r="P819" s="91"/>
      <c r="Q819" s="90"/>
    </row>
    <row r="820">
      <c r="A820" s="81"/>
      <c r="I820" s="91"/>
      <c r="N820" s="90"/>
      <c r="O820" s="91"/>
      <c r="P820" s="91"/>
      <c r="Q820" s="90"/>
    </row>
    <row r="821">
      <c r="A821" s="81"/>
      <c r="I821" s="91"/>
      <c r="N821" s="90"/>
      <c r="O821" s="91"/>
      <c r="P821" s="91"/>
      <c r="Q821" s="90"/>
    </row>
    <row r="822">
      <c r="A822" s="81"/>
      <c r="I822" s="91"/>
      <c r="N822" s="90"/>
      <c r="O822" s="91"/>
      <c r="P822" s="91"/>
      <c r="Q822" s="90"/>
    </row>
    <row r="823">
      <c r="A823" s="81"/>
      <c r="I823" s="91"/>
      <c r="N823" s="90"/>
      <c r="O823" s="91"/>
      <c r="P823" s="91"/>
      <c r="Q823" s="90"/>
    </row>
    <row r="824">
      <c r="A824" s="81"/>
      <c r="I824" s="91"/>
      <c r="N824" s="90"/>
      <c r="O824" s="91"/>
      <c r="P824" s="91"/>
      <c r="Q824" s="90"/>
    </row>
    <row r="825">
      <c r="A825" s="81"/>
      <c r="I825" s="91"/>
      <c r="N825" s="90"/>
      <c r="O825" s="91"/>
      <c r="P825" s="91"/>
      <c r="Q825" s="90"/>
    </row>
    <row r="826">
      <c r="A826" s="81"/>
      <c r="I826" s="91"/>
      <c r="N826" s="90"/>
      <c r="O826" s="91"/>
      <c r="P826" s="91"/>
      <c r="Q826" s="90"/>
    </row>
    <row r="827">
      <c r="A827" s="81"/>
      <c r="I827" s="91"/>
      <c r="N827" s="90"/>
      <c r="O827" s="91"/>
      <c r="P827" s="91"/>
      <c r="Q827" s="90"/>
    </row>
    <row r="828">
      <c r="A828" s="81"/>
      <c r="I828" s="91"/>
      <c r="N828" s="90"/>
      <c r="O828" s="91"/>
      <c r="P828" s="91"/>
      <c r="Q828" s="90"/>
    </row>
    <row r="829">
      <c r="A829" s="81"/>
      <c r="I829" s="91"/>
      <c r="N829" s="90"/>
      <c r="O829" s="91"/>
      <c r="P829" s="91"/>
      <c r="Q829" s="90"/>
    </row>
    <row r="830">
      <c r="A830" s="81"/>
      <c r="I830" s="91"/>
      <c r="N830" s="90"/>
      <c r="O830" s="91"/>
      <c r="P830" s="91"/>
      <c r="Q830" s="90"/>
    </row>
    <row r="831">
      <c r="A831" s="81"/>
      <c r="I831" s="91"/>
      <c r="N831" s="90"/>
      <c r="O831" s="91"/>
      <c r="P831" s="91"/>
      <c r="Q831" s="90"/>
    </row>
    <row r="832">
      <c r="A832" s="81"/>
      <c r="I832" s="91"/>
      <c r="N832" s="90"/>
      <c r="O832" s="91"/>
      <c r="P832" s="91"/>
      <c r="Q832" s="90"/>
    </row>
    <row r="833">
      <c r="A833" s="81"/>
      <c r="I833" s="91"/>
      <c r="N833" s="90"/>
      <c r="O833" s="91"/>
      <c r="P833" s="91"/>
      <c r="Q833" s="90"/>
    </row>
    <row r="834">
      <c r="A834" s="81"/>
      <c r="I834" s="91"/>
      <c r="N834" s="90"/>
      <c r="O834" s="91"/>
      <c r="P834" s="91"/>
      <c r="Q834" s="90"/>
    </row>
    <row r="835">
      <c r="A835" s="81"/>
      <c r="I835" s="91"/>
      <c r="N835" s="90"/>
      <c r="O835" s="91"/>
      <c r="P835" s="91"/>
      <c r="Q835" s="90"/>
    </row>
    <row r="836">
      <c r="A836" s="81"/>
      <c r="I836" s="91"/>
      <c r="N836" s="90"/>
      <c r="O836" s="91"/>
      <c r="P836" s="91"/>
      <c r="Q836" s="90"/>
    </row>
    <row r="837">
      <c r="A837" s="81"/>
      <c r="I837" s="91"/>
      <c r="N837" s="90"/>
      <c r="O837" s="91"/>
      <c r="P837" s="91"/>
      <c r="Q837" s="90"/>
    </row>
    <row r="838">
      <c r="A838" s="81"/>
      <c r="I838" s="91"/>
      <c r="N838" s="90"/>
      <c r="O838" s="91"/>
      <c r="P838" s="91"/>
      <c r="Q838" s="90"/>
    </row>
    <row r="839">
      <c r="A839" s="81"/>
      <c r="I839" s="91"/>
      <c r="N839" s="90"/>
      <c r="O839" s="91"/>
      <c r="P839" s="91"/>
      <c r="Q839" s="90"/>
    </row>
    <row r="840">
      <c r="A840" s="81"/>
      <c r="I840" s="91"/>
      <c r="N840" s="90"/>
      <c r="O840" s="91"/>
      <c r="P840" s="91"/>
      <c r="Q840" s="90"/>
    </row>
    <row r="841">
      <c r="A841" s="81"/>
      <c r="I841" s="91"/>
      <c r="N841" s="90"/>
      <c r="O841" s="91"/>
      <c r="P841" s="91"/>
      <c r="Q841" s="90"/>
    </row>
    <row r="842">
      <c r="A842" s="81"/>
      <c r="I842" s="91"/>
      <c r="N842" s="90"/>
      <c r="O842" s="91"/>
      <c r="P842" s="91"/>
      <c r="Q842" s="90"/>
    </row>
    <row r="843">
      <c r="A843" s="81"/>
      <c r="I843" s="91"/>
      <c r="N843" s="90"/>
      <c r="O843" s="91"/>
      <c r="P843" s="91"/>
      <c r="Q843" s="90"/>
    </row>
    <row r="844">
      <c r="A844" s="81"/>
      <c r="I844" s="91"/>
      <c r="N844" s="90"/>
      <c r="O844" s="91"/>
      <c r="P844" s="91"/>
      <c r="Q844" s="90"/>
    </row>
    <row r="845">
      <c r="A845" s="81"/>
      <c r="I845" s="91"/>
      <c r="N845" s="90"/>
      <c r="O845" s="91"/>
      <c r="P845" s="91"/>
      <c r="Q845" s="90"/>
    </row>
    <row r="846">
      <c r="A846" s="81"/>
      <c r="I846" s="91"/>
      <c r="N846" s="90"/>
      <c r="O846" s="91"/>
      <c r="P846" s="91"/>
      <c r="Q846" s="90"/>
    </row>
    <row r="847">
      <c r="A847" s="81"/>
      <c r="I847" s="91"/>
      <c r="N847" s="90"/>
      <c r="O847" s="91"/>
      <c r="P847" s="91"/>
      <c r="Q847" s="90"/>
    </row>
    <row r="848">
      <c r="A848" s="81"/>
      <c r="I848" s="91"/>
      <c r="N848" s="90"/>
      <c r="O848" s="91"/>
      <c r="P848" s="91"/>
      <c r="Q848" s="90"/>
    </row>
    <row r="849">
      <c r="A849" s="81"/>
      <c r="I849" s="91"/>
      <c r="N849" s="90"/>
      <c r="O849" s="91"/>
      <c r="P849" s="91"/>
      <c r="Q849" s="90"/>
    </row>
    <row r="850">
      <c r="A850" s="81"/>
      <c r="I850" s="91"/>
      <c r="N850" s="90"/>
      <c r="O850" s="91"/>
      <c r="P850" s="91"/>
      <c r="Q850" s="90"/>
    </row>
    <row r="851">
      <c r="A851" s="81"/>
      <c r="I851" s="91"/>
      <c r="N851" s="90"/>
      <c r="O851" s="91"/>
      <c r="P851" s="91"/>
      <c r="Q851" s="90"/>
    </row>
    <row r="852">
      <c r="A852" s="81"/>
      <c r="I852" s="91"/>
      <c r="N852" s="90"/>
      <c r="O852" s="91"/>
      <c r="P852" s="91"/>
      <c r="Q852" s="90"/>
    </row>
    <row r="853">
      <c r="A853" s="81"/>
      <c r="I853" s="91"/>
      <c r="N853" s="90"/>
      <c r="O853" s="91"/>
      <c r="P853" s="91"/>
      <c r="Q853" s="90"/>
    </row>
    <row r="854">
      <c r="A854" s="81"/>
      <c r="I854" s="91"/>
      <c r="N854" s="90"/>
      <c r="O854" s="91"/>
      <c r="P854" s="91"/>
      <c r="Q854" s="90"/>
    </row>
    <row r="855">
      <c r="A855" s="81"/>
      <c r="I855" s="91"/>
      <c r="N855" s="90"/>
      <c r="O855" s="91"/>
      <c r="P855" s="91"/>
      <c r="Q855" s="90"/>
    </row>
    <row r="856">
      <c r="A856" s="81"/>
      <c r="I856" s="91"/>
      <c r="N856" s="90"/>
      <c r="O856" s="91"/>
      <c r="P856" s="91"/>
      <c r="Q856" s="90"/>
    </row>
    <row r="857">
      <c r="A857" s="81"/>
      <c r="I857" s="91"/>
      <c r="N857" s="90"/>
      <c r="O857" s="91"/>
      <c r="P857" s="91"/>
      <c r="Q857" s="90"/>
    </row>
    <row r="858">
      <c r="A858" s="81"/>
      <c r="I858" s="91"/>
      <c r="N858" s="90"/>
      <c r="O858" s="91"/>
      <c r="P858" s="91"/>
      <c r="Q858" s="90"/>
    </row>
    <row r="859">
      <c r="A859" s="81"/>
      <c r="I859" s="91"/>
      <c r="N859" s="90"/>
      <c r="O859" s="91"/>
      <c r="P859" s="91"/>
      <c r="Q859" s="90"/>
    </row>
    <row r="860">
      <c r="A860" s="81"/>
      <c r="I860" s="91"/>
      <c r="N860" s="90"/>
      <c r="O860" s="91"/>
      <c r="P860" s="91"/>
      <c r="Q860" s="90"/>
    </row>
    <row r="861">
      <c r="A861" s="81"/>
      <c r="I861" s="91"/>
      <c r="N861" s="90"/>
      <c r="O861" s="91"/>
      <c r="P861" s="91"/>
      <c r="Q861" s="90"/>
    </row>
    <row r="862">
      <c r="A862" s="81"/>
      <c r="I862" s="91"/>
      <c r="N862" s="90"/>
      <c r="O862" s="91"/>
      <c r="P862" s="91"/>
      <c r="Q862" s="90"/>
    </row>
    <row r="863">
      <c r="A863" s="81"/>
      <c r="I863" s="91"/>
      <c r="N863" s="90"/>
      <c r="O863" s="91"/>
      <c r="P863" s="91"/>
      <c r="Q863" s="90"/>
    </row>
    <row r="864">
      <c r="A864" s="81"/>
      <c r="I864" s="91"/>
      <c r="N864" s="90"/>
      <c r="O864" s="91"/>
      <c r="P864" s="91"/>
      <c r="Q864" s="90"/>
    </row>
    <row r="865">
      <c r="A865" s="81"/>
      <c r="I865" s="91"/>
      <c r="N865" s="90"/>
      <c r="O865" s="91"/>
      <c r="P865" s="91"/>
      <c r="Q865" s="90"/>
    </row>
    <row r="866">
      <c r="A866" s="81"/>
      <c r="I866" s="91"/>
      <c r="N866" s="90"/>
      <c r="O866" s="91"/>
      <c r="P866" s="91"/>
      <c r="Q866" s="90"/>
    </row>
    <row r="867">
      <c r="A867" s="81"/>
      <c r="I867" s="91"/>
      <c r="N867" s="90"/>
      <c r="O867" s="91"/>
      <c r="P867" s="91"/>
      <c r="Q867" s="90"/>
    </row>
    <row r="868">
      <c r="A868" s="81"/>
      <c r="I868" s="91"/>
      <c r="N868" s="90"/>
      <c r="O868" s="91"/>
      <c r="P868" s="91"/>
      <c r="Q868" s="90"/>
    </row>
    <row r="869">
      <c r="A869" s="81"/>
      <c r="I869" s="91"/>
      <c r="N869" s="90"/>
      <c r="O869" s="91"/>
      <c r="P869" s="91"/>
      <c r="Q869" s="90"/>
    </row>
    <row r="870">
      <c r="A870" s="81"/>
      <c r="I870" s="91"/>
      <c r="N870" s="90"/>
      <c r="O870" s="91"/>
      <c r="P870" s="91"/>
      <c r="Q870" s="90"/>
    </row>
    <row r="871">
      <c r="A871" s="81"/>
      <c r="I871" s="91"/>
      <c r="N871" s="90"/>
      <c r="O871" s="91"/>
      <c r="P871" s="91"/>
      <c r="Q871" s="90"/>
    </row>
    <row r="872">
      <c r="A872" s="81"/>
      <c r="I872" s="91"/>
      <c r="N872" s="90"/>
      <c r="O872" s="91"/>
      <c r="P872" s="91"/>
      <c r="Q872" s="90"/>
    </row>
    <row r="873">
      <c r="A873" s="81"/>
      <c r="I873" s="91"/>
      <c r="N873" s="90"/>
      <c r="O873" s="91"/>
      <c r="P873" s="91"/>
      <c r="Q873" s="90"/>
    </row>
    <row r="874">
      <c r="A874" s="81"/>
      <c r="I874" s="91"/>
      <c r="N874" s="90"/>
      <c r="O874" s="91"/>
      <c r="P874" s="91"/>
      <c r="Q874" s="90"/>
    </row>
    <row r="875">
      <c r="A875" s="81"/>
      <c r="I875" s="91"/>
      <c r="N875" s="90"/>
      <c r="O875" s="91"/>
      <c r="P875" s="91"/>
      <c r="Q875" s="90"/>
    </row>
    <row r="876">
      <c r="A876" s="81"/>
      <c r="I876" s="91"/>
      <c r="N876" s="90"/>
      <c r="O876" s="91"/>
      <c r="P876" s="91"/>
      <c r="Q876" s="90"/>
    </row>
    <row r="877">
      <c r="A877" s="81"/>
      <c r="I877" s="91"/>
      <c r="N877" s="90"/>
      <c r="O877" s="91"/>
      <c r="P877" s="91"/>
      <c r="Q877" s="90"/>
    </row>
    <row r="878">
      <c r="A878" s="81"/>
      <c r="I878" s="91"/>
      <c r="N878" s="90"/>
      <c r="O878" s="91"/>
      <c r="P878" s="91"/>
      <c r="Q878" s="90"/>
    </row>
    <row r="879">
      <c r="A879" s="81"/>
      <c r="I879" s="91"/>
      <c r="N879" s="90"/>
      <c r="O879" s="91"/>
      <c r="P879" s="91"/>
      <c r="Q879" s="90"/>
    </row>
    <row r="880">
      <c r="A880" s="81"/>
      <c r="I880" s="91"/>
      <c r="N880" s="90"/>
      <c r="O880" s="91"/>
      <c r="P880" s="91"/>
      <c r="Q880" s="90"/>
    </row>
    <row r="881">
      <c r="A881" s="81"/>
      <c r="I881" s="91"/>
      <c r="N881" s="90"/>
      <c r="O881" s="91"/>
      <c r="P881" s="91"/>
      <c r="Q881" s="90"/>
    </row>
    <row r="882">
      <c r="A882" s="81"/>
      <c r="I882" s="91"/>
      <c r="N882" s="90"/>
      <c r="O882" s="91"/>
      <c r="P882" s="91"/>
      <c r="Q882" s="90"/>
    </row>
    <row r="883">
      <c r="A883" s="81"/>
      <c r="I883" s="91"/>
      <c r="N883" s="90"/>
      <c r="O883" s="91"/>
      <c r="P883" s="91"/>
      <c r="Q883" s="90"/>
    </row>
    <row r="884">
      <c r="A884" s="81"/>
      <c r="I884" s="91"/>
      <c r="N884" s="90"/>
      <c r="O884" s="91"/>
      <c r="P884" s="91"/>
      <c r="Q884" s="90"/>
    </row>
    <row r="885">
      <c r="A885" s="81"/>
      <c r="I885" s="91"/>
      <c r="N885" s="90"/>
      <c r="O885" s="91"/>
      <c r="P885" s="91"/>
      <c r="Q885" s="90"/>
    </row>
    <row r="886">
      <c r="A886" s="81"/>
      <c r="I886" s="91"/>
      <c r="N886" s="90"/>
      <c r="O886" s="91"/>
      <c r="P886" s="91"/>
      <c r="Q886" s="90"/>
    </row>
    <row r="887">
      <c r="A887" s="81"/>
      <c r="I887" s="91"/>
      <c r="N887" s="90"/>
      <c r="O887" s="91"/>
      <c r="P887" s="91"/>
      <c r="Q887" s="90"/>
    </row>
    <row r="888">
      <c r="A888" s="81"/>
      <c r="I888" s="91"/>
      <c r="N888" s="90"/>
      <c r="O888" s="91"/>
      <c r="P888" s="91"/>
      <c r="Q888" s="90"/>
    </row>
    <row r="889">
      <c r="A889" s="81"/>
      <c r="I889" s="91"/>
      <c r="N889" s="90"/>
      <c r="O889" s="91"/>
      <c r="P889" s="91"/>
      <c r="Q889" s="90"/>
    </row>
    <row r="890">
      <c r="A890" s="81"/>
      <c r="I890" s="91"/>
      <c r="N890" s="90"/>
      <c r="O890" s="91"/>
      <c r="P890" s="91"/>
      <c r="Q890" s="90"/>
    </row>
    <row r="891">
      <c r="A891" s="81"/>
      <c r="I891" s="91"/>
      <c r="N891" s="90"/>
      <c r="O891" s="91"/>
      <c r="P891" s="91"/>
      <c r="Q891" s="90"/>
    </row>
    <row r="892">
      <c r="A892" s="81"/>
      <c r="I892" s="91"/>
      <c r="N892" s="90"/>
      <c r="O892" s="91"/>
      <c r="P892" s="91"/>
      <c r="Q892" s="90"/>
    </row>
    <row r="893">
      <c r="A893" s="81"/>
      <c r="I893" s="91"/>
      <c r="N893" s="90"/>
      <c r="O893" s="91"/>
      <c r="P893" s="91"/>
      <c r="Q893" s="90"/>
    </row>
    <row r="894">
      <c r="A894" s="81"/>
      <c r="I894" s="91"/>
      <c r="N894" s="90"/>
      <c r="O894" s="91"/>
      <c r="P894" s="91"/>
      <c r="Q894" s="90"/>
    </row>
    <row r="895">
      <c r="A895" s="81"/>
      <c r="I895" s="91"/>
      <c r="N895" s="90"/>
      <c r="O895" s="91"/>
      <c r="P895" s="91"/>
      <c r="Q895" s="90"/>
    </row>
    <row r="896">
      <c r="A896" s="81"/>
      <c r="I896" s="91"/>
      <c r="N896" s="90"/>
      <c r="O896" s="91"/>
      <c r="P896" s="91"/>
      <c r="Q896" s="90"/>
    </row>
    <row r="897">
      <c r="A897" s="81"/>
      <c r="I897" s="91"/>
      <c r="N897" s="90"/>
      <c r="O897" s="91"/>
      <c r="P897" s="91"/>
      <c r="Q897" s="90"/>
    </row>
    <row r="898">
      <c r="A898" s="81"/>
      <c r="I898" s="91"/>
      <c r="N898" s="90"/>
      <c r="O898" s="91"/>
      <c r="P898" s="91"/>
      <c r="Q898" s="90"/>
    </row>
    <row r="899">
      <c r="A899" s="81"/>
      <c r="I899" s="91"/>
      <c r="N899" s="90"/>
      <c r="O899" s="91"/>
      <c r="P899" s="91"/>
      <c r="Q899" s="90"/>
    </row>
    <row r="900">
      <c r="A900" s="81"/>
      <c r="I900" s="91"/>
      <c r="N900" s="90"/>
      <c r="O900" s="91"/>
      <c r="P900" s="91"/>
      <c r="Q900" s="90"/>
    </row>
    <row r="901">
      <c r="A901" s="81"/>
      <c r="I901" s="91"/>
      <c r="N901" s="90"/>
      <c r="O901" s="91"/>
      <c r="P901" s="91"/>
      <c r="Q901" s="90"/>
    </row>
    <row r="902">
      <c r="A902" s="81"/>
      <c r="I902" s="91"/>
      <c r="N902" s="90"/>
      <c r="O902" s="91"/>
      <c r="P902" s="91"/>
      <c r="Q902" s="90"/>
    </row>
    <row r="903">
      <c r="A903" s="81"/>
      <c r="I903" s="91"/>
      <c r="N903" s="90"/>
      <c r="O903" s="91"/>
      <c r="P903" s="91"/>
      <c r="Q903" s="90"/>
    </row>
    <row r="904">
      <c r="A904" s="81"/>
      <c r="I904" s="91"/>
      <c r="N904" s="90"/>
      <c r="O904" s="91"/>
      <c r="P904" s="91"/>
      <c r="Q904" s="90"/>
    </row>
    <row r="905">
      <c r="A905" s="81"/>
      <c r="I905" s="91"/>
      <c r="N905" s="90"/>
      <c r="O905" s="91"/>
      <c r="P905" s="91"/>
      <c r="Q905" s="90"/>
    </row>
    <row r="906">
      <c r="A906" s="81"/>
      <c r="I906" s="91"/>
      <c r="N906" s="90"/>
      <c r="O906" s="91"/>
      <c r="P906" s="91"/>
      <c r="Q906" s="90"/>
    </row>
    <row r="907">
      <c r="A907" s="81"/>
      <c r="I907" s="91"/>
      <c r="N907" s="90"/>
      <c r="O907" s="91"/>
      <c r="P907" s="91"/>
      <c r="Q907" s="90"/>
    </row>
    <row r="908">
      <c r="A908" s="81"/>
      <c r="I908" s="91"/>
      <c r="N908" s="90"/>
      <c r="O908" s="91"/>
      <c r="P908" s="91"/>
      <c r="Q908" s="90"/>
    </row>
    <row r="909">
      <c r="A909" s="81"/>
      <c r="I909" s="91"/>
      <c r="N909" s="90"/>
      <c r="O909" s="91"/>
      <c r="P909" s="91"/>
      <c r="Q909" s="90"/>
    </row>
    <row r="910">
      <c r="A910" s="81"/>
      <c r="I910" s="91"/>
      <c r="N910" s="90"/>
      <c r="O910" s="91"/>
      <c r="P910" s="91"/>
      <c r="Q910" s="90"/>
    </row>
    <row r="911">
      <c r="A911" s="81"/>
      <c r="I911" s="91"/>
      <c r="N911" s="90"/>
      <c r="O911" s="91"/>
      <c r="P911" s="91"/>
      <c r="Q911" s="90"/>
    </row>
    <row r="912">
      <c r="A912" s="81"/>
      <c r="I912" s="91"/>
      <c r="N912" s="90"/>
      <c r="O912" s="91"/>
      <c r="P912" s="91"/>
      <c r="Q912" s="90"/>
    </row>
    <row r="913">
      <c r="A913" s="81"/>
      <c r="I913" s="91"/>
      <c r="N913" s="90"/>
      <c r="O913" s="91"/>
      <c r="P913" s="91"/>
      <c r="Q913" s="90"/>
    </row>
    <row r="914">
      <c r="A914" s="81"/>
      <c r="I914" s="91"/>
      <c r="N914" s="90"/>
      <c r="O914" s="91"/>
      <c r="P914" s="91"/>
      <c r="Q914" s="90"/>
    </row>
    <row r="915">
      <c r="A915" s="81"/>
      <c r="I915" s="91"/>
      <c r="N915" s="90"/>
      <c r="O915" s="91"/>
      <c r="P915" s="91"/>
      <c r="Q915" s="90"/>
    </row>
    <row r="916">
      <c r="A916" s="81"/>
      <c r="I916" s="91"/>
      <c r="N916" s="90"/>
      <c r="O916" s="91"/>
      <c r="P916" s="91"/>
      <c r="Q916" s="90"/>
    </row>
    <row r="917">
      <c r="A917" s="81"/>
      <c r="I917" s="91"/>
      <c r="N917" s="90"/>
      <c r="O917" s="91"/>
      <c r="P917" s="91"/>
      <c r="Q917" s="90"/>
    </row>
    <row r="918">
      <c r="A918" s="81"/>
      <c r="I918" s="91"/>
      <c r="N918" s="90"/>
      <c r="O918" s="91"/>
      <c r="P918" s="91"/>
      <c r="Q918" s="90"/>
    </row>
    <row r="919">
      <c r="A919" s="81"/>
      <c r="I919" s="91"/>
      <c r="N919" s="90"/>
      <c r="O919" s="91"/>
      <c r="P919" s="91"/>
      <c r="Q919" s="90"/>
    </row>
    <row r="920">
      <c r="A920" s="81"/>
      <c r="I920" s="91"/>
      <c r="N920" s="90"/>
      <c r="O920" s="91"/>
      <c r="P920" s="91"/>
      <c r="Q920" s="90"/>
    </row>
    <row r="921">
      <c r="A921" s="81"/>
      <c r="I921" s="91"/>
      <c r="N921" s="90"/>
      <c r="O921" s="91"/>
      <c r="P921" s="91"/>
      <c r="Q921" s="90"/>
    </row>
    <row r="922">
      <c r="A922" s="81"/>
      <c r="I922" s="91"/>
      <c r="N922" s="90"/>
      <c r="O922" s="91"/>
      <c r="P922" s="91"/>
      <c r="Q922" s="90"/>
    </row>
    <row r="923">
      <c r="A923" s="81"/>
      <c r="I923" s="91"/>
      <c r="N923" s="90"/>
      <c r="O923" s="91"/>
      <c r="P923" s="91"/>
      <c r="Q923" s="90"/>
    </row>
    <row r="924">
      <c r="A924" s="81"/>
      <c r="I924" s="91"/>
      <c r="N924" s="90"/>
      <c r="O924" s="91"/>
      <c r="P924" s="91"/>
      <c r="Q924" s="90"/>
    </row>
    <row r="925">
      <c r="A925" s="81"/>
      <c r="I925" s="91"/>
      <c r="N925" s="90"/>
      <c r="O925" s="91"/>
      <c r="P925" s="91"/>
      <c r="Q925" s="90"/>
    </row>
    <row r="926">
      <c r="A926" s="81"/>
      <c r="I926" s="91"/>
      <c r="N926" s="90"/>
      <c r="O926" s="91"/>
      <c r="P926" s="91"/>
      <c r="Q926" s="90"/>
    </row>
    <row r="927">
      <c r="A927" s="81"/>
      <c r="I927" s="91"/>
      <c r="N927" s="90"/>
      <c r="O927" s="91"/>
      <c r="P927" s="91"/>
      <c r="Q927" s="90"/>
    </row>
    <row r="928">
      <c r="A928" s="81"/>
      <c r="I928" s="91"/>
      <c r="N928" s="90"/>
      <c r="O928" s="91"/>
      <c r="P928" s="91"/>
      <c r="Q928" s="90"/>
    </row>
    <row r="929">
      <c r="A929" s="81"/>
      <c r="I929" s="91"/>
      <c r="N929" s="90"/>
      <c r="O929" s="91"/>
      <c r="P929" s="91"/>
      <c r="Q929" s="90"/>
    </row>
    <row r="930">
      <c r="A930" s="81"/>
      <c r="I930" s="91"/>
      <c r="N930" s="90"/>
      <c r="O930" s="91"/>
      <c r="P930" s="91"/>
      <c r="Q930" s="90"/>
    </row>
    <row r="931">
      <c r="A931" s="81"/>
      <c r="I931" s="91"/>
      <c r="N931" s="90"/>
      <c r="O931" s="91"/>
      <c r="P931" s="91"/>
      <c r="Q931" s="90"/>
    </row>
    <row r="932">
      <c r="A932" s="81"/>
      <c r="I932" s="91"/>
      <c r="N932" s="90"/>
      <c r="O932" s="91"/>
      <c r="P932" s="91"/>
      <c r="Q932" s="90"/>
    </row>
    <row r="933">
      <c r="A933" s="81"/>
      <c r="I933" s="91"/>
      <c r="N933" s="90"/>
      <c r="O933" s="91"/>
      <c r="P933" s="91"/>
      <c r="Q933" s="90"/>
    </row>
    <row r="934">
      <c r="A934" s="81"/>
      <c r="I934" s="91"/>
      <c r="N934" s="90"/>
      <c r="O934" s="91"/>
      <c r="P934" s="91"/>
      <c r="Q934" s="90"/>
    </row>
    <row r="935">
      <c r="A935" s="81"/>
      <c r="I935" s="91"/>
      <c r="N935" s="90"/>
      <c r="O935" s="91"/>
      <c r="P935" s="91"/>
      <c r="Q935" s="90"/>
    </row>
    <row r="936">
      <c r="A936" s="81"/>
      <c r="I936" s="91"/>
      <c r="N936" s="90"/>
      <c r="O936" s="91"/>
      <c r="P936" s="91"/>
      <c r="Q936" s="90"/>
    </row>
    <row r="937">
      <c r="A937" s="81"/>
      <c r="I937" s="91"/>
      <c r="N937" s="90"/>
      <c r="O937" s="91"/>
      <c r="P937" s="91"/>
      <c r="Q937" s="90"/>
    </row>
    <row r="938">
      <c r="A938" s="81"/>
      <c r="I938" s="91"/>
      <c r="N938" s="90"/>
      <c r="O938" s="91"/>
      <c r="P938" s="91"/>
      <c r="Q938" s="90"/>
    </row>
    <row r="939">
      <c r="A939" s="81"/>
      <c r="I939" s="91"/>
      <c r="N939" s="90"/>
      <c r="O939" s="91"/>
      <c r="P939" s="91"/>
      <c r="Q939" s="90"/>
    </row>
    <row r="940">
      <c r="A940" s="81"/>
      <c r="I940" s="91"/>
      <c r="N940" s="90"/>
      <c r="O940" s="91"/>
      <c r="P940" s="91"/>
      <c r="Q940" s="90"/>
    </row>
    <row r="941">
      <c r="A941" s="81"/>
      <c r="I941" s="91"/>
      <c r="N941" s="90"/>
      <c r="O941" s="91"/>
      <c r="P941" s="91"/>
      <c r="Q941" s="90"/>
    </row>
    <row r="942">
      <c r="A942" s="81"/>
      <c r="I942" s="91"/>
      <c r="N942" s="90"/>
      <c r="O942" s="91"/>
      <c r="P942" s="91"/>
      <c r="Q942" s="90"/>
    </row>
    <row r="943">
      <c r="A943" s="81"/>
      <c r="I943" s="91"/>
      <c r="N943" s="90"/>
      <c r="O943" s="91"/>
      <c r="P943" s="91"/>
      <c r="Q943" s="90"/>
    </row>
    <row r="944">
      <c r="A944" s="81"/>
      <c r="I944" s="91"/>
      <c r="N944" s="90"/>
      <c r="O944" s="91"/>
      <c r="P944" s="91"/>
      <c r="Q944" s="90"/>
    </row>
    <row r="945">
      <c r="A945" s="81"/>
      <c r="I945" s="91"/>
      <c r="N945" s="90"/>
      <c r="O945" s="91"/>
      <c r="P945" s="91"/>
      <c r="Q945" s="90"/>
    </row>
    <row r="946">
      <c r="A946" s="81"/>
      <c r="I946" s="91"/>
      <c r="N946" s="90"/>
      <c r="O946" s="91"/>
      <c r="P946" s="91"/>
      <c r="Q946" s="90"/>
    </row>
    <row r="947">
      <c r="A947" s="81"/>
      <c r="I947" s="91"/>
      <c r="N947" s="90"/>
      <c r="O947" s="91"/>
      <c r="P947" s="91"/>
      <c r="Q947" s="90"/>
    </row>
    <row r="948">
      <c r="A948" s="81"/>
      <c r="I948" s="91"/>
      <c r="N948" s="90"/>
      <c r="O948" s="91"/>
      <c r="P948" s="91"/>
      <c r="Q948" s="90"/>
    </row>
    <row r="949">
      <c r="A949" s="81"/>
      <c r="I949" s="91"/>
      <c r="N949" s="90"/>
      <c r="O949" s="91"/>
      <c r="P949" s="91"/>
      <c r="Q949" s="90"/>
    </row>
    <row r="950">
      <c r="A950" s="81"/>
      <c r="I950" s="91"/>
      <c r="N950" s="90"/>
      <c r="O950" s="91"/>
      <c r="P950" s="91"/>
      <c r="Q950" s="90"/>
    </row>
    <row r="951">
      <c r="A951" s="81"/>
      <c r="I951" s="91"/>
      <c r="N951" s="90"/>
      <c r="O951" s="91"/>
      <c r="P951" s="91"/>
      <c r="Q951" s="90"/>
    </row>
    <row r="952">
      <c r="A952" s="81"/>
      <c r="I952" s="91"/>
      <c r="N952" s="90"/>
      <c r="O952" s="91"/>
      <c r="P952" s="91"/>
      <c r="Q952" s="90"/>
    </row>
    <row r="953">
      <c r="A953" s="81"/>
      <c r="I953" s="91"/>
      <c r="N953" s="90"/>
      <c r="O953" s="91"/>
      <c r="P953" s="91"/>
      <c r="Q953" s="90"/>
    </row>
    <row r="954">
      <c r="A954" s="81"/>
      <c r="I954" s="91"/>
      <c r="N954" s="90"/>
      <c r="O954" s="91"/>
      <c r="P954" s="91"/>
      <c r="Q954" s="90"/>
    </row>
    <row r="955">
      <c r="A955" s="81"/>
      <c r="I955" s="91"/>
      <c r="N955" s="90"/>
      <c r="O955" s="91"/>
      <c r="P955" s="91"/>
      <c r="Q955" s="90"/>
    </row>
    <row r="956">
      <c r="A956" s="81"/>
      <c r="I956" s="91"/>
      <c r="N956" s="90"/>
      <c r="O956" s="91"/>
      <c r="P956" s="91"/>
      <c r="Q956" s="90"/>
    </row>
    <row r="957">
      <c r="A957" s="81"/>
      <c r="I957" s="91"/>
      <c r="N957" s="90"/>
      <c r="O957" s="91"/>
      <c r="P957" s="91"/>
      <c r="Q957" s="90"/>
    </row>
    <row r="958">
      <c r="A958" s="81"/>
      <c r="I958" s="91"/>
      <c r="N958" s="90"/>
      <c r="O958" s="91"/>
      <c r="P958" s="91"/>
      <c r="Q958" s="90"/>
    </row>
    <row r="959">
      <c r="A959" s="81"/>
      <c r="I959" s="91"/>
      <c r="N959" s="90"/>
      <c r="O959" s="91"/>
      <c r="P959" s="91"/>
      <c r="Q959" s="90"/>
    </row>
    <row r="960">
      <c r="A960" s="81"/>
      <c r="I960" s="91"/>
      <c r="N960" s="90"/>
      <c r="O960" s="91"/>
      <c r="P960" s="91"/>
      <c r="Q960" s="90"/>
    </row>
    <row r="961">
      <c r="A961" s="81"/>
      <c r="I961" s="91"/>
      <c r="N961" s="90"/>
      <c r="O961" s="91"/>
      <c r="P961" s="91"/>
      <c r="Q961" s="90"/>
    </row>
    <row r="962">
      <c r="A962" s="81"/>
      <c r="I962" s="91"/>
      <c r="N962" s="90"/>
      <c r="O962" s="91"/>
      <c r="P962" s="91"/>
      <c r="Q962" s="90"/>
    </row>
    <row r="963">
      <c r="A963" s="81"/>
      <c r="I963" s="91"/>
      <c r="N963" s="90"/>
      <c r="O963" s="91"/>
      <c r="P963" s="91"/>
      <c r="Q963" s="90"/>
    </row>
    <row r="964">
      <c r="A964" s="81"/>
      <c r="I964" s="91"/>
      <c r="N964" s="90"/>
      <c r="O964" s="91"/>
      <c r="P964" s="91"/>
      <c r="Q964" s="90"/>
    </row>
    <row r="965">
      <c r="A965" s="81"/>
      <c r="I965" s="91"/>
      <c r="N965" s="90"/>
      <c r="O965" s="91"/>
      <c r="P965" s="91"/>
      <c r="Q965" s="90"/>
    </row>
    <row r="966">
      <c r="A966" s="81"/>
      <c r="I966" s="91"/>
      <c r="N966" s="90"/>
      <c r="O966" s="91"/>
      <c r="P966" s="91"/>
      <c r="Q966" s="90"/>
    </row>
    <row r="967">
      <c r="A967" s="81"/>
      <c r="I967" s="91"/>
      <c r="N967" s="90"/>
      <c r="O967" s="91"/>
      <c r="P967" s="91"/>
      <c r="Q967" s="90"/>
    </row>
    <row r="968">
      <c r="A968" s="81"/>
      <c r="I968" s="91"/>
      <c r="N968" s="90"/>
      <c r="O968" s="91"/>
      <c r="P968" s="91"/>
      <c r="Q968" s="90"/>
    </row>
    <row r="969">
      <c r="A969" s="81"/>
      <c r="I969" s="91"/>
      <c r="N969" s="90"/>
      <c r="O969" s="91"/>
      <c r="P969" s="91"/>
      <c r="Q969" s="90"/>
    </row>
    <row r="970">
      <c r="A970" s="81"/>
      <c r="I970" s="91"/>
      <c r="N970" s="90"/>
      <c r="O970" s="91"/>
      <c r="P970" s="91"/>
      <c r="Q970" s="90"/>
    </row>
    <row r="971">
      <c r="A971" s="81"/>
      <c r="I971" s="91"/>
      <c r="N971" s="90"/>
      <c r="O971" s="91"/>
      <c r="P971" s="91"/>
      <c r="Q971" s="90"/>
    </row>
    <row r="972">
      <c r="A972" s="81"/>
      <c r="I972" s="91"/>
      <c r="N972" s="90"/>
      <c r="O972" s="91"/>
      <c r="P972" s="91"/>
      <c r="Q972" s="90"/>
    </row>
    <row r="973">
      <c r="A973" s="81"/>
      <c r="I973" s="91"/>
      <c r="N973" s="90"/>
      <c r="O973" s="91"/>
      <c r="P973" s="91"/>
      <c r="Q973" s="90"/>
    </row>
    <row r="974">
      <c r="A974" s="81"/>
      <c r="I974" s="91"/>
      <c r="N974" s="90"/>
      <c r="O974" s="91"/>
      <c r="P974" s="91"/>
      <c r="Q974" s="90"/>
    </row>
    <row r="975">
      <c r="A975" s="81"/>
      <c r="I975" s="91"/>
      <c r="N975" s="90"/>
      <c r="O975" s="91"/>
      <c r="P975" s="91"/>
      <c r="Q975" s="90"/>
    </row>
    <row r="976">
      <c r="A976" s="81"/>
      <c r="I976" s="91"/>
      <c r="N976" s="90"/>
      <c r="O976" s="91"/>
      <c r="P976" s="91"/>
      <c r="Q976" s="90"/>
    </row>
    <row r="977">
      <c r="A977" s="81"/>
      <c r="I977" s="91"/>
      <c r="N977" s="90"/>
      <c r="O977" s="91"/>
      <c r="P977" s="91"/>
      <c r="Q977" s="90"/>
    </row>
    <row r="978">
      <c r="A978" s="81"/>
      <c r="I978" s="91"/>
      <c r="N978" s="90"/>
      <c r="O978" s="91"/>
      <c r="P978" s="91"/>
      <c r="Q978" s="90"/>
    </row>
    <row r="979">
      <c r="A979" s="81"/>
      <c r="I979" s="91"/>
      <c r="N979" s="90"/>
      <c r="O979" s="91"/>
      <c r="P979" s="91"/>
      <c r="Q979" s="90"/>
    </row>
    <row r="980">
      <c r="A980" s="81"/>
      <c r="I980" s="91"/>
      <c r="N980" s="90"/>
      <c r="O980" s="91"/>
      <c r="P980" s="91"/>
      <c r="Q980" s="90"/>
    </row>
    <row r="981">
      <c r="A981" s="81"/>
      <c r="I981" s="91"/>
      <c r="N981" s="90"/>
      <c r="O981" s="91"/>
      <c r="P981" s="91"/>
      <c r="Q981" s="90"/>
    </row>
    <row r="982">
      <c r="A982" s="81"/>
      <c r="I982" s="91"/>
      <c r="N982" s="90"/>
      <c r="O982" s="91"/>
      <c r="P982" s="91"/>
      <c r="Q982" s="90"/>
    </row>
    <row r="983">
      <c r="A983" s="81"/>
      <c r="I983" s="91"/>
      <c r="N983" s="90"/>
      <c r="O983" s="91"/>
      <c r="P983" s="91"/>
      <c r="Q983" s="90"/>
    </row>
    <row r="984">
      <c r="A984" s="81"/>
      <c r="I984" s="91"/>
      <c r="N984" s="90"/>
      <c r="O984" s="91"/>
      <c r="P984" s="91"/>
      <c r="Q984" s="90"/>
    </row>
    <row r="985">
      <c r="A985" s="81"/>
      <c r="I985" s="91"/>
      <c r="N985" s="90"/>
      <c r="O985" s="91"/>
      <c r="P985" s="91"/>
      <c r="Q985" s="90"/>
    </row>
    <row r="986">
      <c r="A986" s="81"/>
      <c r="I986" s="91"/>
      <c r="N986" s="90"/>
      <c r="O986" s="91"/>
      <c r="P986" s="91"/>
      <c r="Q986" s="90"/>
    </row>
    <row r="987">
      <c r="A987" s="81"/>
      <c r="I987" s="91"/>
      <c r="N987" s="90"/>
      <c r="O987" s="91"/>
      <c r="P987" s="91"/>
      <c r="Q987" s="90"/>
    </row>
    <row r="988">
      <c r="A988" s="81"/>
      <c r="I988" s="91"/>
      <c r="N988" s="90"/>
      <c r="O988" s="91"/>
      <c r="P988" s="91"/>
      <c r="Q988" s="90"/>
    </row>
    <row r="989">
      <c r="A989" s="81"/>
      <c r="I989" s="91"/>
      <c r="N989" s="90"/>
      <c r="O989" s="91"/>
      <c r="P989" s="91"/>
      <c r="Q989" s="90"/>
    </row>
    <row r="990">
      <c r="A990" s="81"/>
      <c r="I990" s="91"/>
      <c r="N990" s="90"/>
      <c r="O990" s="91"/>
      <c r="P990" s="91"/>
      <c r="Q990" s="90"/>
    </row>
    <row r="991">
      <c r="A991" s="81"/>
      <c r="I991" s="91"/>
      <c r="N991" s="90"/>
      <c r="O991" s="91"/>
      <c r="P991" s="91"/>
      <c r="Q991" s="90"/>
    </row>
    <row r="992">
      <c r="A992" s="81"/>
      <c r="I992" s="91"/>
      <c r="N992" s="90"/>
      <c r="O992" s="91"/>
      <c r="P992" s="91"/>
      <c r="Q992" s="90"/>
    </row>
    <row r="993">
      <c r="A993" s="81"/>
      <c r="I993" s="91"/>
      <c r="N993" s="90"/>
      <c r="O993" s="91"/>
      <c r="P993" s="91"/>
      <c r="Q993" s="90"/>
    </row>
    <row r="994">
      <c r="A994" s="81"/>
      <c r="I994" s="91"/>
      <c r="N994" s="90"/>
      <c r="O994" s="91"/>
      <c r="P994" s="91"/>
      <c r="Q994" s="90"/>
    </row>
    <row r="995">
      <c r="A995" s="81"/>
      <c r="I995" s="91"/>
      <c r="N995" s="90"/>
      <c r="O995" s="91"/>
      <c r="P995" s="91"/>
      <c r="Q995" s="90"/>
    </row>
    <row r="996">
      <c r="A996" s="81"/>
      <c r="I996" s="91"/>
      <c r="N996" s="90"/>
      <c r="O996" s="91"/>
      <c r="P996" s="91"/>
      <c r="Q996" s="90"/>
    </row>
    <row r="997">
      <c r="A997" s="81"/>
      <c r="I997" s="91"/>
      <c r="N997" s="90"/>
      <c r="O997" s="91"/>
      <c r="P997" s="91"/>
      <c r="Q997" s="90"/>
    </row>
    <row r="998">
      <c r="A998" s="81"/>
      <c r="I998" s="91"/>
      <c r="N998" s="90"/>
      <c r="O998" s="91"/>
      <c r="P998" s="91"/>
      <c r="Q998" s="9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2.14"/>
    <col customWidth="1" min="2" max="2" width="48.0"/>
    <col customWidth="1" min="3" max="3" width="17.14"/>
    <col customWidth="1" min="4" max="4" width="5.57"/>
    <col customWidth="1" min="5" max="5" width="19.43"/>
    <col customWidth="1" min="6" max="6" width="21.57"/>
  </cols>
  <sheetData>
    <row r="1">
      <c r="A1" s="121" t="s">
        <v>226</v>
      </c>
      <c r="B1" s="122" t="s">
        <v>227</v>
      </c>
      <c r="C1" s="123" t="s">
        <v>228</v>
      </c>
      <c r="D1" s="123" t="s">
        <v>229</v>
      </c>
      <c r="E1" s="123" t="s">
        <v>230</v>
      </c>
      <c r="F1" s="123" t="s">
        <v>231</v>
      </c>
    </row>
    <row r="2">
      <c r="A2" s="124" t="s">
        <v>232</v>
      </c>
      <c r="B2" s="125"/>
      <c r="C2" s="125"/>
      <c r="D2" s="125"/>
      <c r="E2" s="125"/>
      <c r="F2" s="126"/>
    </row>
    <row r="3" ht="37.5" customHeight="1">
      <c r="A3" s="127" t="s">
        <v>233</v>
      </c>
      <c r="B3" s="128" t="s">
        <v>234</v>
      </c>
      <c r="C3" s="129" t="s">
        <v>235</v>
      </c>
      <c r="D3" s="129">
        <v>1.0</v>
      </c>
      <c r="E3" s="129" t="s">
        <v>236</v>
      </c>
      <c r="F3" s="130" t="s">
        <v>237</v>
      </c>
      <c r="G3" s="98"/>
    </row>
    <row r="4" ht="35.25" customHeight="1">
      <c r="A4" s="131" t="s">
        <v>238</v>
      </c>
      <c r="B4" s="125"/>
      <c r="C4" s="125"/>
      <c r="D4" s="125"/>
      <c r="E4" s="125"/>
      <c r="F4" s="126"/>
    </row>
    <row r="5">
      <c r="A5" s="132" t="s">
        <v>239</v>
      </c>
      <c r="B5" s="133" t="s">
        <v>240</v>
      </c>
      <c r="C5" s="134" t="s">
        <v>241</v>
      </c>
      <c r="D5" s="134">
        <v>1.0</v>
      </c>
      <c r="E5" s="134" t="s">
        <v>242</v>
      </c>
      <c r="F5" s="135">
        <v>43028.0</v>
      </c>
    </row>
    <row r="6">
      <c r="A6" s="136" t="s">
        <v>243</v>
      </c>
      <c r="B6" s="137" t="s">
        <v>244</v>
      </c>
      <c r="C6" s="138" t="s">
        <v>245</v>
      </c>
      <c r="D6" s="138">
        <v>2.0</v>
      </c>
      <c r="E6" s="138" t="s">
        <v>246</v>
      </c>
      <c r="F6" s="139">
        <v>43019.0</v>
      </c>
    </row>
    <row r="7">
      <c r="A7" s="132" t="s">
        <v>247</v>
      </c>
      <c r="B7" s="133" t="s">
        <v>248</v>
      </c>
      <c r="C7" s="134" t="s">
        <v>249</v>
      </c>
      <c r="D7" s="134">
        <v>1.0</v>
      </c>
      <c r="E7" s="134" t="s">
        <v>250</v>
      </c>
      <c r="F7" s="135">
        <v>43026.0</v>
      </c>
    </row>
    <row r="8">
      <c r="A8" s="136" t="s">
        <v>251</v>
      </c>
      <c r="B8" s="137" t="s">
        <v>252</v>
      </c>
      <c r="C8" s="138" t="s">
        <v>253</v>
      </c>
      <c r="D8" s="138">
        <v>1.0</v>
      </c>
      <c r="E8" s="138" t="s">
        <v>254</v>
      </c>
      <c r="F8" s="139">
        <v>43026.0</v>
      </c>
    </row>
    <row r="9">
      <c r="A9" s="132" t="s">
        <v>255</v>
      </c>
      <c r="B9" s="140" t="s">
        <v>256</v>
      </c>
      <c r="C9" s="141" t="s">
        <v>257</v>
      </c>
      <c r="D9" s="141">
        <v>2.0</v>
      </c>
      <c r="E9" s="141" t="s">
        <v>258</v>
      </c>
      <c r="F9" s="135">
        <v>43031.0</v>
      </c>
    </row>
    <row r="10">
      <c r="B10" s="142"/>
    </row>
    <row r="11">
      <c r="B11" s="142"/>
    </row>
    <row r="12">
      <c r="B12" s="142"/>
    </row>
    <row r="13">
      <c r="B13" s="142"/>
    </row>
    <row r="14">
      <c r="B14" s="142"/>
    </row>
    <row r="15">
      <c r="B15" s="142"/>
    </row>
    <row r="16">
      <c r="B16" s="142"/>
    </row>
    <row r="17">
      <c r="B17" s="142"/>
    </row>
    <row r="18">
      <c r="B18" s="142"/>
    </row>
    <row r="19">
      <c r="B19" s="142"/>
    </row>
    <row r="20">
      <c r="B20" s="142"/>
    </row>
    <row r="21">
      <c r="B21" s="142"/>
    </row>
    <row r="22">
      <c r="B22" s="142"/>
    </row>
    <row r="23">
      <c r="B23" s="142"/>
    </row>
    <row r="24">
      <c r="B24" s="142"/>
    </row>
    <row r="25">
      <c r="B25" s="142"/>
    </row>
    <row r="26">
      <c r="B26" s="142"/>
    </row>
    <row r="27">
      <c r="B27" s="142"/>
    </row>
    <row r="28">
      <c r="B28" s="142"/>
    </row>
    <row r="29">
      <c r="B29" s="142"/>
    </row>
    <row r="30">
      <c r="B30" s="142"/>
    </row>
    <row r="31">
      <c r="B31" s="142"/>
    </row>
    <row r="32">
      <c r="B32" s="142"/>
    </row>
    <row r="33">
      <c r="B33" s="142"/>
    </row>
    <row r="34">
      <c r="B34" s="142"/>
    </row>
    <row r="35">
      <c r="B35" s="142"/>
    </row>
    <row r="36">
      <c r="B36" s="142"/>
    </row>
    <row r="37">
      <c r="B37" s="142"/>
    </row>
    <row r="38">
      <c r="B38" s="142"/>
    </row>
    <row r="39">
      <c r="B39" s="142"/>
    </row>
    <row r="40">
      <c r="B40" s="142"/>
    </row>
    <row r="41">
      <c r="B41" s="142"/>
    </row>
    <row r="42">
      <c r="B42" s="142"/>
    </row>
    <row r="43">
      <c r="B43" s="142"/>
    </row>
    <row r="44">
      <c r="B44" s="142"/>
    </row>
    <row r="45">
      <c r="B45" s="142"/>
    </row>
    <row r="46">
      <c r="B46" s="142"/>
    </row>
    <row r="47">
      <c r="B47" s="142"/>
    </row>
    <row r="48">
      <c r="B48" s="142"/>
    </row>
    <row r="49">
      <c r="B49" s="142"/>
    </row>
    <row r="50">
      <c r="B50" s="142"/>
    </row>
    <row r="51">
      <c r="B51" s="142"/>
    </row>
    <row r="52">
      <c r="B52" s="142"/>
    </row>
    <row r="53">
      <c r="B53" s="142"/>
    </row>
    <row r="54">
      <c r="B54" s="142"/>
    </row>
    <row r="55">
      <c r="B55" s="142"/>
    </row>
    <row r="56">
      <c r="B56" s="142"/>
    </row>
    <row r="57">
      <c r="B57" s="142"/>
    </row>
    <row r="58">
      <c r="B58" s="142"/>
    </row>
    <row r="59">
      <c r="B59" s="142"/>
    </row>
    <row r="60">
      <c r="B60" s="142"/>
    </row>
    <row r="61">
      <c r="B61" s="142"/>
    </row>
    <row r="62">
      <c r="B62" s="142"/>
    </row>
    <row r="63">
      <c r="B63" s="142"/>
    </row>
    <row r="64">
      <c r="B64" s="142"/>
    </row>
    <row r="65">
      <c r="B65" s="142"/>
    </row>
    <row r="66">
      <c r="B66" s="142"/>
    </row>
    <row r="67">
      <c r="B67" s="142"/>
    </row>
    <row r="68">
      <c r="B68" s="142"/>
    </row>
    <row r="69">
      <c r="B69" s="142"/>
    </row>
    <row r="70">
      <c r="B70" s="142"/>
    </row>
    <row r="71">
      <c r="B71" s="142"/>
    </row>
    <row r="72">
      <c r="B72" s="142"/>
    </row>
    <row r="73">
      <c r="B73" s="142"/>
    </row>
    <row r="74">
      <c r="B74" s="142"/>
    </row>
    <row r="75">
      <c r="B75" s="142"/>
    </row>
    <row r="76">
      <c r="B76" s="142"/>
    </row>
    <row r="77">
      <c r="B77" s="142"/>
    </row>
    <row r="78">
      <c r="B78" s="142"/>
    </row>
    <row r="79">
      <c r="B79" s="142"/>
    </row>
    <row r="80">
      <c r="B80" s="142"/>
    </row>
    <row r="81">
      <c r="B81" s="142"/>
    </row>
    <row r="82">
      <c r="B82" s="142"/>
    </row>
    <row r="83">
      <c r="B83" s="142"/>
    </row>
    <row r="84">
      <c r="B84" s="142"/>
    </row>
    <row r="85">
      <c r="B85" s="142"/>
    </row>
    <row r="86">
      <c r="B86" s="142"/>
    </row>
    <row r="87">
      <c r="B87" s="142"/>
    </row>
    <row r="88">
      <c r="B88" s="142"/>
    </row>
    <row r="89">
      <c r="B89" s="142"/>
    </row>
    <row r="90">
      <c r="B90" s="142"/>
    </row>
    <row r="91">
      <c r="B91" s="142"/>
    </row>
    <row r="92">
      <c r="B92" s="142"/>
    </row>
    <row r="93">
      <c r="B93" s="142"/>
    </row>
    <row r="94">
      <c r="B94" s="142"/>
    </row>
    <row r="95">
      <c r="B95" s="142"/>
    </row>
    <row r="96">
      <c r="B96" s="142"/>
    </row>
    <row r="97">
      <c r="B97" s="142"/>
    </row>
    <row r="98">
      <c r="B98" s="142"/>
    </row>
    <row r="99">
      <c r="B99" s="142"/>
    </row>
    <row r="100">
      <c r="B100" s="142"/>
    </row>
    <row r="101">
      <c r="B101" s="142"/>
    </row>
    <row r="102">
      <c r="B102" s="142"/>
    </row>
    <row r="103">
      <c r="B103" s="142"/>
    </row>
    <row r="104">
      <c r="B104" s="142"/>
    </row>
    <row r="105">
      <c r="B105" s="142"/>
    </row>
    <row r="106">
      <c r="B106" s="142"/>
    </row>
    <row r="107">
      <c r="B107" s="142"/>
    </row>
    <row r="108">
      <c r="B108" s="142"/>
    </row>
    <row r="109">
      <c r="B109" s="142"/>
    </row>
    <row r="110">
      <c r="B110" s="142"/>
    </row>
    <row r="111">
      <c r="B111" s="142"/>
    </row>
    <row r="112">
      <c r="B112" s="142"/>
    </row>
    <row r="113">
      <c r="B113" s="142"/>
    </row>
    <row r="114">
      <c r="B114" s="142"/>
    </row>
    <row r="115">
      <c r="B115" s="142"/>
    </row>
    <row r="116">
      <c r="B116" s="142"/>
    </row>
    <row r="117">
      <c r="B117" s="142"/>
    </row>
    <row r="118">
      <c r="B118" s="142"/>
    </row>
    <row r="119">
      <c r="B119" s="142"/>
    </row>
    <row r="120">
      <c r="B120" s="142"/>
    </row>
    <row r="121">
      <c r="B121" s="142"/>
    </row>
    <row r="122">
      <c r="B122" s="142"/>
    </row>
    <row r="123">
      <c r="B123" s="142"/>
    </row>
    <row r="124">
      <c r="B124" s="142"/>
    </row>
    <row r="125">
      <c r="B125" s="142"/>
    </row>
    <row r="126">
      <c r="B126" s="142"/>
    </row>
    <row r="127">
      <c r="B127" s="142"/>
    </row>
    <row r="128">
      <c r="B128" s="142"/>
    </row>
    <row r="129">
      <c r="B129" s="142"/>
    </row>
    <row r="130">
      <c r="B130" s="142"/>
    </row>
    <row r="131">
      <c r="B131" s="142"/>
    </row>
    <row r="132">
      <c r="B132" s="142"/>
    </row>
    <row r="133">
      <c r="B133" s="142"/>
    </row>
    <row r="134">
      <c r="B134" s="142"/>
    </row>
    <row r="135">
      <c r="B135" s="142"/>
    </row>
    <row r="136">
      <c r="B136" s="142"/>
    </row>
    <row r="137">
      <c r="B137" s="142"/>
    </row>
    <row r="138">
      <c r="B138" s="142"/>
    </row>
    <row r="139">
      <c r="B139" s="142"/>
    </row>
    <row r="140">
      <c r="B140" s="142"/>
    </row>
    <row r="141">
      <c r="B141" s="142"/>
    </row>
    <row r="142">
      <c r="B142" s="142"/>
    </row>
    <row r="143">
      <c r="B143" s="142"/>
    </row>
    <row r="144">
      <c r="B144" s="142"/>
    </row>
    <row r="145">
      <c r="B145" s="142"/>
    </row>
    <row r="146">
      <c r="B146" s="142"/>
    </row>
    <row r="147">
      <c r="B147" s="142"/>
    </row>
    <row r="148">
      <c r="B148" s="142"/>
    </row>
    <row r="149">
      <c r="B149" s="142"/>
    </row>
    <row r="150">
      <c r="B150" s="142"/>
    </row>
    <row r="151">
      <c r="B151" s="142"/>
    </row>
    <row r="152">
      <c r="B152" s="142"/>
    </row>
    <row r="153">
      <c r="B153" s="142"/>
    </row>
    <row r="154">
      <c r="B154" s="142"/>
    </row>
    <row r="155">
      <c r="B155" s="142"/>
    </row>
    <row r="156">
      <c r="B156" s="142"/>
    </row>
    <row r="157">
      <c r="B157" s="142"/>
    </row>
    <row r="158">
      <c r="B158" s="142"/>
    </row>
    <row r="159">
      <c r="B159" s="142"/>
    </row>
    <row r="160">
      <c r="B160" s="142"/>
    </row>
    <row r="161">
      <c r="B161" s="142"/>
    </row>
    <row r="162">
      <c r="B162" s="142"/>
    </row>
    <row r="163">
      <c r="B163" s="142"/>
    </row>
    <row r="164">
      <c r="B164" s="142"/>
    </row>
    <row r="165">
      <c r="B165" s="142"/>
    </row>
    <row r="166">
      <c r="B166" s="142"/>
    </row>
    <row r="167">
      <c r="B167" s="142"/>
    </row>
    <row r="168">
      <c r="B168" s="142"/>
    </row>
    <row r="169">
      <c r="B169" s="142"/>
    </row>
    <row r="170">
      <c r="B170" s="142"/>
    </row>
    <row r="171">
      <c r="B171" s="142"/>
    </row>
    <row r="172">
      <c r="B172" s="142"/>
    </row>
    <row r="173">
      <c r="B173" s="142"/>
    </row>
    <row r="174">
      <c r="B174" s="142"/>
    </row>
    <row r="175">
      <c r="B175" s="142"/>
    </row>
    <row r="176">
      <c r="B176" s="142"/>
    </row>
    <row r="177">
      <c r="B177" s="142"/>
    </row>
    <row r="178">
      <c r="B178" s="142"/>
    </row>
    <row r="179">
      <c r="B179" s="142"/>
    </row>
    <row r="180">
      <c r="B180" s="142"/>
    </row>
    <row r="181">
      <c r="B181" s="142"/>
    </row>
    <row r="182">
      <c r="B182" s="142"/>
    </row>
    <row r="183">
      <c r="B183" s="142"/>
    </row>
    <row r="184">
      <c r="B184" s="142"/>
    </row>
    <row r="185">
      <c r="B185" s="142"/>
    </row>
    <row r="186">
      <c r="B186" s="142"/>
    </row>
    <row r="187">
      <c r="B187" s="142"/>
    </row>
    <row r="188">
      <c r="B188" s="142"/>
    </row>
    <row r="189">
      <c r="B189" s="142"/>
    </row>
    <row r="190">
      <c r="B190" s="142"/>
    </row>
    <row r="191">
      <c r="B191" s="142"/>
    </row>
    <row r="192">
      <c r="B192" s="142"/>
    </row>
    <row r="193">
      <c r="B193" s="142"/>
    </row>
    <row r="194">
      <c r="B194" s="142"/>
    </row>
    <row r="195">
      <c r="B195" s="142"/>
    </row>
    <row r="196">
      <c r="B196" s="142"/>
    </row>
    <row r="197">
      <c r="B197" s="142"/>
    </row>
    <row r="198">
      <c r="B198" s="142"/>
    </row>
    <row r="199">
      <c r="B199" s="142"/>
    </row>
    <row r="200">
      <c r="B200" s="142"/>
    </row>
    <row r="201">
      <c r="B201" s="142"/>
    </row>
    <row r="202">
      <c r="B202" s="142"/>
    </row>
    <row r="203">
      <c r="B203" s="142"/>
    </row>
    <row r="204">
      <c r="B204" s="142"/>
    </row>
    <row r="205">
      <c r="B205" s="142"/>
    </row>
    <row r="206">
      <c r="B206" s="142"/>
    </row>
    <row r="207">
      <c r="B207" s="142"/>
    </row>
    <row r="208">
      <c r="B208" s="142"/>
    </row>
    <row r="209">
      <c r="B209" s="142"/>
    </row>
    <row r="210">
      <c r="B210" s="142"/>
    </row>
    <row r="211">
      <c r="B211" s="142"/>
    </row>
    <row r="212">
      <c r="B212" s="142"/>
    </row>
    <row r="213">
      <c r="B213" s="142"/>
    </row>
    <row r="214">
      <c r="B214" s="142"/>
    </row>
    <row r="215">
      <c r="B215" s="142"/>
    </row>
    <row r="216">
      <c r="B216" s="142"/>
    </row>
    <row r="217">
      <c r="B217" s="142"/>
    </row>
    <row r="218">
      <c r="B218" s="142"/>
    </row>
    <row r="219">
      <c r="B219" s="142"/>
    </row>
    <row r="220">
      <c r="B220" s="142"/>
    </row>
    <row r="221">
      <c r="B221" s="142"/>
    </row>
    <row r="222">
      <c r="B222" s="142"/>
    </row>
    <row r="223">
      <c r="B223" s="142"/>
    </row>
    <row r="224">
      <c r="B224" s="142"/>
    </row>
    <row r="225">
      <c r="B225" s="142"/>
    </row>
    <row r="226">
      <c r="B226" s="142"/>
    </row>
    <row r="227">
      <c r="B227" s="142"/>
    </row>
    <row r="228">
      <c r="B228" s="142"/>
    </row>
    <row r="229">
      <c r="B229" s="142"/>
    </row>
    <row r="230">
      <c r="B230" s="142"/>
    </row>
    <row r="231">
      <c r="B231" s="142"/>
    </row>
    <row r="232">
      <c r="B232" s="142"/>
    </row>
    <row r="233">
      <c r="B233" s="142"/>
    </row>
    <row r="234">
      <c r="B234" s="142"/>
    </row>
    <row r="235">
      <c r="B235" s="142"/>
    </row>
    <row r="236">
      <c r="B236" s="142"/>
    </row>
    <row r="237">
      <c r="B237" s="142"/>
    </row>
    <row r="238">
      <c r="B238" s="142"/>
    </row>
    <row r="239">
      <c r="B239" s="142"/>
    </row>
    <row r="240">
      <c r="B240" s="142"/>
    </row>
    <row r="241">
      <c r="B241" s="142"/>
    </row>
    <row r="242">
      <c r="B242" s="142"/>
    </row>
    <row r="243">
      <c r="B243" s="142"/>
    </row>
    <row r="244">
      <c r="B244" s="142"/>
    </row>
    <row r="245">
      <c r="B245" s="142"/>
    </row>
    <row r="246">
      <c r="B246" s="142"/>
    </row>
    <row r="247">
      <c r="B247" s="142"/>
    </row>
    <row r="248">
      <c r="B248" s="142"/>
    </row>
    <row r="249">
      <c r="B249" s="142"/>
    </row>
    <row r="250">
      <c r="B250" s="142"/>
    </row>
    <row r="251">
      <c r="B251" s="142"/>
    </row>
    <row r="252">
      <c r="B252" s="142"/>
    </row>
    <row r="253">
      <c r="B253" s="142"/>
    </row>
    <row r="254">
      <c r="B254" s="142"/>
    </row>
    <row r="255">
      <c r="B255" s="142"/>
    </row>
    <row r="256">
      <c r="B256" s="142"/>
    </row>
    <row r="257">
      <c r="B257" s="142"/>
    </row>
    <row r="258">
      <c r="B258" s="142"/>
    </row>
    <row r="259">
      <c r="B259" s="142"/>
    </row>
    <row r="260">
      <c r="B260" s="142"/>
    </row>
    <row r="261">
      <c r="B261" s="142"/>
    </row>
    <row r="262">
      <c r="B262" s="142"/>
    </row>
    <row r="263">
      <c r="B263" s="142"/>
    </row>
    <row r="264">
      <c r="B264" s="142"/>
    </row>
    <row r="265">
      <c r="B265" s="142"/>
    </row>
    <row r="266">
      <c r="B266" s="142"/>
    </row>
    <row r="267">
      <c r="B267" s="142"/>
    </row>
    <row r="268">
      <c r="B268" s="142"/>
    </row>
    <row r="269">
      <c r="B269" s="142"/>
    </row>
    <row r="270">
      <c r="B270" s="142"/>
    </row>
    <row r="271">
      <c r="B271" s="142"/>
    </row>
    <row r="272">
      <c r="B272" s="142"/>
    </row>
    <row r="273">
      <c r="B273" s="142"/>
    </row>
    <row r="274">
      <c r="B274" s="142"/>
    </row>
    <row r="275">
      <c r="B275" s="142"/>
    </row>
    <row r="276">
      <c r="B276" s="142"/>
    </row>
    <row r="277">
      <c r="B277" s="142"/>
    </row>
    <row r="278">
      <c r="B278" s="142"/>
    </row>
    <row r="279">
      <c r="B279" s="142"/>
    </row>
    <row r="280">
      <c r="B280" s="142"/>
    </row>
    <row r="281">
      <c r="B281" s="142"/>
    </row>
    <row r="282">
      <c r="B282" s="142"/>
    </row>
    <row r="283">
      <c r="B283" s="142"/>
    </row>
    <row r="284">
      <c r="B284" s="142"/>
    </row>
    <row r="285">
      <c r="B285" s="142"/>
    </row>
    <row r="286">
      <c r="B286" s="142"/>
    </row>
    <row r="287">
      <c r="B287" s="142"/>
    </row>
    <row r="288">
      <c r="B288" s="142"/>
    </row>
    <row r="289">
      <c r="B289" s="142"/>
    </row>
    <row r="290">
      <c r="B290" s="142"/>
    </row>
    <row r="291">
      <c r="B291" s="142"/>
    </row>
    <row r="292">
      <c r="B292" s="142"/>
    </row>
    <row r="293">
      <c r="B293" s="142"/>
    </row>
    <row r="294">
      <c r="B294" s="142"/>
    </row>
    <row r="295">
      <c r="B295" s="142"/>
    </row>
    <row r="296">
      <c r="B296" s="142"/>
    </row>
    <row r="297">
      <c r="B297" s="142"/>
    </row>
    <row r="298">
      <c r="B298" s="142"/>
    </row>
    <row r="299">
      <c r="B299" s="142"/>
    </row>
    <row r="300">
      <c r="B300" s="142"/>
    </row>
    <row r="301">
      <c r="B301" s="142"/>
    </row>
    <row r="302">
      <c r="B302" s="142"/>
    </row>
    <row r="303">
      <c r="B303" s="142"/>
    </row>
    <row r="304">
      <c r="B304" s="142"/>
    </row>
    <row r="305">
      <c r="B305" s="142"/>
    </row>
    <row r="306">
      <c r="B306" s="142"/>
    </row>
    <row r="307">
      <c r="B307" s="142"/>
    </row>
    <row r="308">
      <c r="B308" s="142"/>
    </row>
    <row r="309">
      <c r="B309" s="142"/>
    </row>
    <row r="310">
      <c r="B310" s="142"/>
    </row>
    <row r="311">
      <c r="B311" s="142"/>
    </row>
    <row r="312">
      <c r="B312" s="142"/>
    </row>
    <row r="313">
      <c r="B313" s="142"/>
    </row>
    <row r="314">
      <c r="B314" s="142"/>
    </row>
    <row r="315">
      <c r="B315" s="142"/>
    </row>
    <row r="316">
      <c r="B316" s="142"/>
    </row>
    <row r="317">
      <c r="B317" s="142"/>
    </row>
    <row r="318">
      <c r="B318" s="142"/>
    </row>
    <row r="319">
      <c r="B319" s="142"/>
    </row>
    <row r="320">
      <c r="B320" s="142"/>
    </row>
    <row r="321">
      <c r="B321" s="142"/>
    </row>
    <row r="322">
      <c r="B322" s="142"/>
    </row>
    <row r="323">
      <c r="B323" s="142"/>
    </row>
    <row r="324">
      <c r="B324" s="142"/>
    </row>
    <row r="325">
      <c r="B325" s="142"/>
    </row>
    <row r="326">
      <c r="B326" s="142"/>
    </row>
    <row r="327">
      <c r="B327" s="142"/>
    </row>
    <row r="328">
      <c r="B328" s="142"/>
    </row>
    <row r="329">
      <c r="B329" s="142"/>
    </row>
    <row r="330">
      <c r="B330" s="142"/>
    </row>
    <row r="331">
      <c r="B331" s="142"/>
    </row>
    <row r="332">
      <c r="B332" s="142"/>
    </row>
    <row r="333">
      <c r="B333" s="142"/>
    </row>
    <row r="334">
      <c r="B334" s="142"/>
    </row>
    <row r="335">
      <c r="B335" s="142"/>
    </row>
    <row r="336">
      <c r="B336" s="142"/>
    </row>
    <row r="337">
      <c r="B337" s="142"/>
    </row>
    <row r="338">
      <c r="B338" s="142"/>
    </row>
    <row r="339">
      <c r="B339" s="142"/>
    </row>
    <row r="340">
      <c r="B340" s="142"/>
    </row>
    <row r="341">
      <c r="B341" s="142"/>
    </row>
    <row r="342">
      <c r="B342" s="142"/>
    </row>
    <row r="343">
      <c r="B343" s="142"/>
    </row>
    <row r="344">
      <c r="B344" s="142"/>
    </row>
    <row r="345">
      <c r="B345" s="142"/>
    </row>
    <row r="346">
      <c r="B346" s="142"/>
    </row>
    <row r="347">
      <c r="B347" s="142"/>
    </row>
    <row r="348">
      <c r="B348" s="142"/>
    </row>
    <row r="349">
      <c r="B349" s="142"/>
    </row>
    <row r="350">
      <c r="B350" s="142"/>
    </row>
    <row r="351">
      <c r="B351" s="142"/>
    </row>
    <row r="352">
      <c r="B352" s="142"/>
    </row>
    <row r="353">
      <c r="B353" s="142"/>
    </row>
    <row r="354">
      <c r="B354" s="142"/>
    </row>
    <row r="355">
      <c r="B355" s="142"/>
    </row>
    <row r="356">
      <c r="B356" s="142"/>
    </row>
    <row r="357">
      <c r="B357" s="142"/>
    </row>
    <row r="358">
      <c r="B358" s="142"/>
    </row>
    <row r="359">
      <c r="B359" s="142"/>
    </row>
    <row r="360">
      <c r="B360" s="142"/>
    </row>
    <row r="361">
      <c r="B361" s="142"/>
    </row>
    <row r="362">
      <c r="B362" s="142"/>
    </row>
    <row r="363">
      <c r="B363" s="142"/>
    </row>
    <row r="364">
      <c r="B364" s="142"/>
    </row>
    <row r="365">
      <c r="B365" s="142"/>
    </row>
    <row r="366">
      <c r="B366" s="142"/>
    </row>
    <row r="367">
      <c r="B367" s="142"/>
    </row>
    <row r="368">
      <c r="B368" s="142"/>
    </row>
    <row r="369">
      <c r="B369" s="142"/>
    </row>
    <row r="370">
      <c r="B370" s="142"/>
    </row>
    <row r="371">
      <c r="B371" s="142"/>
    </row>
    <row r="372">
      <c r="B372" s="142"/>
    </row>
    <row r="373">
      <c r="B373" s="142"/>
    </row>
    <row r="374">
      <c r="B374" s="142"/>
    </row>
    <row r="375">
      <c r="B375" s="142"/>
    </row>
    <row r="376">
      <c r="B376" s="142"/>
    </row>
    <row r="377">
      <c r="B377" s="142"/>
    </row>
    <row r="378">
      <c r="B378" s="142"/>
    </row>
    <row r="379">
      <c r="B379" s="142"/>
    </row>
    <row r="380">
      <c r="B380" s="142"/>
    </row>
    <row r="381">
      <c r="B381" s="142"/>
    </row>
    <row r="382">
      <c r="B382" s="142"/>
    </row>
    <row r="383">
      <c r="B383" s="142"/>
    </row>
    <row r="384">
      <c r="B384" s="142"/>
    </row>
    <row r="385">
      <c r="B385" s="142"/>
    </row>
    <row r="386">
      <c r="B386" s="142"/>
    </row>
    <row r="387">
      <c r="B387" s="142"/>
    </row>
    <row r="388">
      <c r="B388" s="142"/>
    </row>
    <row r="389">
      <c r="B389" s="142"/>
    </row>
    <row r="390">
      <c r="B390" s="142"/>
    </row>
    <row r="391">
      <c r="B391" s="142"/>
    </row>
    <row r="392">
      <c r="B392" s="142"/>
    </row>
    <row r="393">
      <c r="B393" s="142"/>
    </row>
    <row r="394">
      <c r="B394" s="142"/>
    </row>
    <row r="395">
      <c r="B395" s="142"/>
    </row>
    <row r="396">
      <c r="B396" s="142"/>
    </row>
    <row r="397">
      <c r="B397" s="142"/>
    </row>
    <row r="398">
      <c r="B398" s="142"/>
    </row>
    <row r="399">
      <c r="B399" s="142"/>
    </row>
    <row r="400">
      <c r="B400" s="142"/>
    </row>
    <row r="401">
      <c r="B401" s="142"/>
    </row>
    <row r="402">
      <c r="B402" s="142"/>
    </row>
    <row r="403">
      <c r="B403" s="142"/>
    </row>
    <row r="404">
      <c r="B404" s="142"/>
    </row>
    <row r="405">
      <c r="B405" s="142"/>
    </row>
    <row r="406">
      <c r="B406" s="142"/>
    </row>
    <row r="407">
      <c r="B407" s="142"/>
    </row>
    <row r="408">
      <c r="B408" s="142"/>
    </row>
    <row r="409">
      <c r="B409" s="142"/>
    </row>
    <row r="410">
      <c r="B410" s="142"/>
    </row>
    <row r="411">
      <c r="B411" s="142"/>
    </row>
    <row r="412">
      <c r="B412" s="142"/>
    </row>
    <row r="413">
      <c r="B413" s="142"/>
    </row>
    <row r="414">
      <c r="B414" s="142"/>
    </row>
    <row r="415">
      <c r="B415" s="142"/>
    </row>
    <row r="416">
      <c r="B416" s="142"/>
    </row>
    <row r="417">
      <c r="B417" s="142"/>
    </row>
    <row r="418">
      <c r="B418" s="142"/>
    </row>
    <row r="419">
      <c r="B419" s="142"/>
    </row>
    <row r="420">
      <c r="B420" s="142"/>
    </row>
    <row r="421">
      <c r="B421" s="142"/>
    </row>
    <row r="422">
      <c r="B422" s="142"/>
    </row>
    <row r="423">
      <c r="B423" s="142"/>
    </row>
    <row r="424">
      <c r="B424" s="142"/>
    </row>
    <row r="425">
      <c r="B425" s="142"/>
    </row>
    <row r="426">
      <c r="B426" s="142"/>
    </row>
    <row r="427">
      <c r="B427" s="142"/>
    </row>
    <row r="428">
      <c r="B428" s="142"/>
    </row>
    <row r="429">
      <c r="B429" s="142"/>
    </row>
    <row r="430">
      <c r="B430" s="142"/>
    </row>
    <row r="431">
      <c r="B431" s="142"/>
    </row>
    <row r="432">
      <c r="B432" s="142"/>
    </row>
    <row r="433">
      <c r="B433" s="142"/>
    </row>
    <row r="434">
      <c r="B434" s="142"/>
    </row>
    <row r="435">
      <c r="B435" s="142"/>
    </row>
    <row r="436">
      <c r="B436" s="142"/>
    </row>
    <row r="437">
      <c r="B437" s="142"/>
    </row>
    <row r="438">
      <c r="B438" s="142"/>
    </row>
    <row r="439">
      <c r="B439" s="142"/>
    </row>
    <row r="440">
      <c r="B440" s="142"/>
    </row>
    <row r="441">
      <c r="B441" s="142"/>
    </row>
    <row r="442">
      <c r="B442" s="142"/>
    </row>
    <row r="443">
      <c r="B443" s="142"/>
    </row>
    <row r="444">
      <c r="B444" s="142"/>
    </row>
    <row r="445">
      <c r="B445" s="142"/>
    </row>
    <row r="446">
      <c r="B446" s="142"/>
    </row>
    <row r="447">
      <c r="B447" s="142"/>
    </row>
    <row r="448">
      <c r="B448" s="142"/>
    </row>
    <row r="449">
      <c r="B449" s="142"/>
    </row>
    <row r="450">
      <c r="B450" s="142"/>
    </row>
    <row r="451">
      <c r="B451" s="142"/>
    </row>
    <row r="452">
      <c r="B452" s="142"/>
    </row>
    <row r="453">
      <c r="B453" s="142"/>
    </row>
    <row r="454">
      <c r="B454" s="142"/>
    </row>
    <row r="455">
      <c r="B455" s="142"/>
    </row>
    <row r="456">
      <c r="B456" s="142"/>
    </row>
    <row r="457">
      <c r="B457" s="142"/>
    </row>
    <row r="458">
      <c r="B458" s="142"/>
    </row>
    <row r="459">
      <c r="B459" s="142"/>
    </row>
    <row r="460">
      <c r="B460" s="142"/>
    </row>
    <row r="461">
      <c r="B461" s="142"/>
    </row>
    <row r="462">
      <c r="B462" s="142"/>
    </row>
    <row r="463">
      <c r="B463" s="142"/>
    </row>
    <row r="464">
      <c r="B464" s="142"/>
    </row>
    <row r="465">
      <c r="B465" s="142"/>
    </row>
    <row r="466">
      <c r="B466" s="142"/>
    </row>
    <row r="467">
      <c r="B467" s="142"/>
    </row>
    <row r="468">
      <c r="B468" s="142"/>
    </row>
    <row r="469">
      <c r="B469" s="142"/>
    </row>
    <row r="470">
      <c r="B470" s="142"/>
    </row>
    <row r="471">
      <c r="B471" s="142"/>
    </row>
    <row r="472">
      <c r="B472" s="142"/>
    </row>
    <row r="473">
      <c r="B473" s="142"/>
    </row>
    <row r="474">
      <c r="B474" s="142"/>
    </row>
    <row r="475">
      <c r="B475" s="142"/>
    </row>
    <row r="476">
      <c r="B476" s="142"/>
    </row>
    <row r="477">
      <c r="B477" s="142"/>
    </row>
    <row r="478">
      <c r="B478" s="142"/>
    </row>
    <row r="479">
      <c r="B479" s="142"/>
    </row>
    <row r="480">
      <c r="B480" s="142"/>
    </row>
    <row r="481">
      <c r="B481" s="142"/>
    </row>
    <row r="482">
      <c r="B482" s="142"/>
    </row>
    <row r="483">
      <c r="B483" s="142"/>
    </row>
    <row r="484">
      <c r="B484" s="142"/>
    </row>
    <row r="485">
      <c r="B485" s="142"/>
    </row>
    <row r="486">
      <c r="B486" s="142"/>
    </row>
    <row r="487">
      <c r="B487" s="142"/>
    </row>
    <row r="488">
      <c r="B488" s="142"/>
    </row>
    <row r="489">
      <c r="B489" s="142"/>
    </row>
    <row r="490">
      <c r="B490" s="142"/>
    </row>
    <row r="491">
      <c r="B491" s="142"/>
    </row>
    <row r="492">
      <c r="B492" s="142"/>
    </row>
    <row r="493">
      <c r="B493" s="142"/>
    </row>
    <row r="494">
      <c r="B494" s="142"/>
    </row>
    <row r="495">
      <c r="B495" s="142"/>
    </row>
    <row r="496">
      <c r="B496" s="142"/>
    </row>
    <row r="497">
      <c r="B497" s="142"/>
    </row>
    <row r="498">
      <c r="B498" s="142"/>
    </row>
    <row r="499">
      <c r="B499" s="142"/>
    </row>
    <row r="500">
      <c r="B500" s="142"/>
    </row>
    <row r="501">
      <c r="B501" s="142"/>
    </row>
    <row r="502">
      <c r="B502" s="142"/>
    </row>
    <row r="503">
      <c r="B503" s="142"/>
    </row>
    <row r="504">
      <c r="B504" s="142"/>
    </row>
    <row r="505">
      <c r="B505" s="142"/>
    </row>
    <row r="506">
      <c r="B506" s="142"/>
    </row>
    <row r="507">
      <c r="B507" s="142"/>
    </row>
    <row r="508">
      <c r="B508" s="142"/>
    </row>
    <row r="509">
      <c r="B509" s="142"/>
    </row>
    <row r="510">
      <c r="B510" s="142"/>
    </row>
    <row r="511">
      <c r="B511" s="142"/>
    </row>
    <row r="512">
      <c r="B512" s="142"/>
    </row>
    <row r="513">
      <c r="B513" s="142"/>
    </row>
    <row r="514">
      <c r="B514" s="142"/>
    </row>
    <row r="515">
      <c r="B515" s="142"/>
    </row>
    <row r="516">
      <c r="B516" s="142"/>
    </row>
    <row r="517">
      <c r="B517" s="142"/>
    </row>
    <row r="518">
      <c r="B518" s="142"/>
    </row>
    <row r="519">
      <c r="B519" s="142"/>
    </row>
    <row r="520">
      <c r="B520" s="142"/>
    </row>
    <row r="521">
      <c r="B521" s="142"/>
    </row>
    <row r="522">
      <c r="B522" s="142"/>
    </row>
    <row r="523">
      <c r="B523" s="142"/>
    </row>
    <row r="524">
      <c r="B524" s="142"/>
    </row>
    <row r="525">
      <c r="B525" s="142"/>
    </row>
    <row r="526">
      <c r="B526" s="142"/>
    </row>
    <row r="527">
      <c r="B527" s="142"/>
    </row>
    <row r="528">
      <c r="B528" s="142"/>
    </row>
    <row r="529">
      <c r="B529" s="142"/>
    </row>
    <row r="530">
      <c r="B530" s="142"/>
    </row>
    <row r="531">
      <c r="B531" s="142"/>
    </row>
    <row r="532">
      <c r="B532" s="142"/>
    </row>
    <row r="533">
      <c r="B533" s="142"/>
    </row>
    <row r="534">
      <c r="B534" s="142"/>
    </row>
    <row r="535">
      <c r="B535" s="142"/>
    </row>
    <row r="536">
      <c r="B536" s="142"/>
    </row>
    <row r="537">
      <c r="B537" s="142"/>
    </row>
    <row r="538">
      <c r="B538" s="142"/>
    </row>
    <row r="539">
      <c r="B539" s="142"/>
    </row>
    <row r="540">
      <c r="B540" s="142"/>
    </row>
    <row r="541">
      <c r="B541" s="142"/>
    </row>
    <row r="542">
      <c r="B542" s="142"/>
    </row>
    <row r="543">
      <c r="B543" s="142"/>
    </row>
    <row r="544">
      <c r="B544" s="142"/>
    </row>
    <row r="545">
      <c r="B545" s="142"/>
    </row>
    <row r="546">
      <c r="B546" s="142"/>
    </row>
    <row r="547">
      <c r="B547" s="142"/>
    </row>
    <row r="548">
      <c r="B548" s="142"/>
    </row>
    <row r="549">
      <c r="B549" s="142"/>
    </row>
    <row r="550">
      <c r="B550" s="142"/>
    </row>
    <row r="551">
      <c r="B551" s="142"/>
    </row>
    <row r="552">
      <c r="B552" s="142"/>
    </row>
    <row r="553">
      <c r="B553" s="142"/>
    </row>
    <row r="554">
      <c r="B554" s="142"/>
    </row>
    <row r="555">
      <c r="B555" s="142"/>
    </row>
    <row r="556">
      <c r="B556" s="142"/>
    </row>
    <row r="557">
      <c r="B557" s="142"/>
    </row>
    <row r="558">
      <c r="B558" s="142"/>
    </row>
    <row r="559">
      <c r="B559" s="142"/>
    </row>
    <row r="560">
      <c r="B560" s="142"/>
    </row>
    <row r="561">
      <c r="B561" s="142"/>
    </row>
    <row r="562">
      <c r="B562" s="142"/>
    </row>
    <row r="563">
      <c r="B563" s="142"/>
    </row>
    <row r="564">
      <c r="B564" s="142"/>
    </row>
    <row r="565">
      <c r="B565" s="142"/>
    </row>
    <row r="566">
      <c r="B566" s="142"/>
    </row>
    <row r="567">
      <c r="B567" s="142"/>
    </row>
    <row r="568">
      <c r="B568" s="142"/>
    </row>
    <row r="569">
      <c r="B569" s="142"/>
    </row>
    <row r="570">
      <c r="B570" s="142"/>
    </row>
    <row r="571">
      <c r="B571" s="142"/>
    </row>
    <row r="572">
      <c r="B572" s="142"/>
    </row>
    <row r="573">
      <c r="B573" s="142"/>
    </row>
    <row r="574">
      <c r="B574" s="142"/>
    </row>
    <row r="575">
      <c r="B575" s="142"/>
    </row>
    <row r="576">
      <c r="B576" s="142"/>
    </row>
    <row r="577">
      <c r="B577" s="142"/>
    </row>
    <row r="578">
      <c r="B578" s="142"/>
    </row>
    <row r="579">
      <c r="B579" s="142"/>
    </row>
    <row r="580">
      <c r="B580" s="142"/>
    </row>
    <row r="581">
      <c r="B581" s="142"/>
    </row>
    <row r="582">
      <c r="B582" s="142"/>
    </row>
    <row r="583">
      <c r="B583" s="142"/>
    </row>
    <row r="584">
      <c r="B584" s="142"/>
    </row>
    <row r="585">
      <c r="B585" s="142"/>
    </row>
    <row r="586">
      <c r="B586" s="142"/>
    </row>
    <row r="587">
      <c r="B587" s="142"/>
    </row>
    <row r="588">
      <c r="B588" s="142"/>
    </row>
    <row r="589">
      <c r="B589" s="142"/>
    </row>
    <row r="590">
      <c r="B590" s="142"/>
    </row>
    <row r="591">
      <c r="B591" s="142"/>
    </row>
    <row r="592">
      <c r="B592" s="142"/>
    </row>
    <row r="593">
      <c r="B593" s="142"/>
    </row>
    <row r="594">
      <c r="B594" s="142"/>
    </row>
    <row r="595">
      <c r="B595" s="142"/>
    </row>
    <row r="596">
      <c r="B596" s="142"/>
    </row>
    <row r="597">
      <c r="B597" s="142"/>
    </row>
    <row r="598">
      <c r="B598" s="142"/>
    </row>
    <row r="599">
      <c r="B599" s="142"/>
    </row>
    <row r="600">
      <c r="B600" s="142"/>
    </row>
    <row r="601">
      <c r="B601" s="142"/>
    </row>
    <row r="602">
      <c r="B602" s="142"/>
    </row>
    <row r="603">
      <c r="B603" s="142"/>
    </row>
    <row r="604">
      <c r="B604" s="142"/>
    </row>
    <row r="605">
      <c r="B605" s="142"/>
    </row>
    <row r="606">
      <c r="B606" s="142"/>
    </row>
    <row r="607">
      <c r="B607" s="142"/>
    </row>
    <row r="608">
      <c r="B608" s="142"/>
    </row>
    <row r="609">
      <c r="B609" s="142"/>
    </row>
    <row r="610">
      <c r="B610" s="142"/>
    </row>
    <row r="611">
      <c r="B611" s="142"/>
    </row>
    <row r="612">
      <c r="B612" s="142"/>
    </row>
    <row r="613">
      <c r="B613" s="142"/>
    </row>
    <row r="614">
      <c r="B614" s="142"/>
    </row>
    <row r="615">
      <c r="B615" s="142"/>
    </row>
    <row r="616">
      <c r="B616" s="142"/>
    </row>
    <row r="617">
      <c r="B617" s="142"/>
    </row>
    <row r="618">
      <c r="B618" s="142"/>
    </row>
    <row r="619">
      <c r="B619" s="142"/>
    </row>
    <row r="620">
      <c r="B620" s="142"/>
    </row>
    <row r="621">
      <c r="B621" s="142"/>
    </row>
    <row r="622">
      <c r="B622" s="142"/>
    </row>
    <row r="623">
      <c r="B623" s="142"/>
    </row>
    <row r="624">
      <c r="B624" s="142"/>
    </row>
    <row r="625">
      <c r="B625" s="142"/>
    </row>
    <row r="626">
      <c r="B626" s="142"/>
    </row>
    <row r="627">
      <c r="B627" s="142"/>
    </row>
    <row r="628">
      <c r="B628" s="142"/>
    </row>
    <row r="629">
      <c r="B629" s="142"/>
    </row>
    <row r="630">
      <c r="B630" s="142"/>
    </row>
    <row r="631">
      <c r="B631" s="142"/>
    </row>
    <row r="632">
      <c r="B632" s="142"/>
    </row>
    <row r="633">
      <c r="B633" s="142"/>
    </row>
    <row r="634">
      <c r="B634" s="142"/>
    </row>
    <row r="635">
      <c r="B635" s="142"/>
    </row>
    <row r="636">
      <c r="B636" s="142"/>
    </row>
    <row r="637">
      <c r="B637" s="142"/>
    </row>
    <row r="638">
      <c r="B638" s="142"/>
    </row>
    <row r="639">
      <c r="B639" s="142"/>
    </row>
    <row r="640">
      <c r="B640" s="142"/>
    </row>
    <row r="641">
      <c r="B641" s="142"/>
    </row>
    <row r="642">
      <c r="B642" s="142"/>
    </row>
    <row r="643">
      <c r="B643" s="142"/>
    </row>
    <row r="644">
      <c r="B644" s="142"/>
    </row>
    <row r="645">
      <c r="B645" s="142"/>
    </row>
    <row r="646">
      <c r="B646" s="142"/>
    </row>
    <row r="647">
      <c r="B647" s="142"/>
    </row>
    <row r="648">
      <c r="B648" s="142"/>
    </row>
    <row r="649">
      <c r="B649" s="142"/>
    </row>
    <row r="650">
      <c r="B650" s="142"/>
    </row>
    <row r="651">
      <c r="B651" s="142"/>
    </row>
    <row r="652">
      <c r="B652" s="142"/>
    </row>
    <row r="653">
      <c r="B653" s="142"/>
    </row>
    <row r="654">
      <c r="B654" s="142"/>
    </row>
    <row r="655">
      <c r="B655" s="142"/>
    </row>
    <row r="656">
      <c r="B656" s="142"/>
    </row>
    <row r="657">
      <c r="B657" s="142"/>
    </row>
    <row r="658">
      <c r="B658" s="142"/>
    </row>
    <row r="659">
      <c r="B659" s="142"/>
    </row>
    <row r="660">
      <c r="B660" s="142"/>
    </row>
    <row r="661">
      <c r="B661" s="142"/>
    </row>
    <row r="662">
      <c r="B662" s="142"/>
    </row>
    <row r="663">
      <c r="B663" s="142"/>
    </row>
    <row r="664">
      <c r="B664" s="142"/>
    </row>
    <row r="665">
      <c r="B665" s="142"/>
    </row>
    <row r="666">
      <c r="B666" s="142"/>
    </row>
    <row r="667">
      <c r="B667" s="142"/>
    </row>
    <row r="668">
      <c r="B668" s="142"/>
    </row>
    <row r="669">
      <c r="B669" s="142"/>
    </row>
    <row r="670">
      <c r="B670" s="142"/>
    </row>
    <row r="671">
      <c r="B671" s="142"/>
    </row>
    <row r="672">
      <c r="B672" s="142"/>
    </row>
    <row r="673">
      <c r="B673" s="142"/>
    </row>
    <row r="674">
      <c r="B674" s="142"/>
    </row>
    <row r="675">
      <c r="B675" s="142"/>
    </row>
    <row r="676">
      <c r="B676" s="142"/>
    </row>
    <row r="677">
      <c r="B677" s="142"/>
    </row>
    <row r="678">
      <c r="B678" s="142"/>
    </row>
    <row r="679">
      <c r="B679" s="142"/>
    </row>
    <row r="680">
      <c r="B680" s="142"/>
    </row>
    <row r="681">
      <c r="B681" s="142"/>
    </row>
    <row r="682">
      <c r="B682" s="142"/>
    </row>
    <row r="683">
      <c r="B683" s="142"/>
    </row>
    <row r="684">
      <c r="B684" s="142"/>
    </row>
    <row r="685">
      <c r="B685" s="142"/>
    </row>
    <row r="686">
      <c r="B686" s="142"/>
    </row>
    <row r="687">
      <c r="B687" s="142"/>
    </row>
    <row r="688">
      <c r="B688" s="142"/>
    </row>
    <row r="689">
      <c r="B689" s="142"/>
    </row>
    <row r="690">
      <c r="B690" s="142"/>
    </row>
    <row r="691">
      <c r="B691" s="142"/>
    </row>
    <row r="692">
      <c r="B692" s="142"/>
    </row>
    <row r="693">
      <c r="B693" s="142"/>
    </row>
    <row r="694">
      <c r="B694" s="142"/>
    </row>
    <row r="695">
      <c r="B695" s="142"/>
    </row>
    <row r="696">
      <c r="B696" s="142"/>
    </row>
    <row r="697">
      <c r="B697" s="142"/>
    </row>
    <row r="698">
      <c r="B698" s="142"/>
    </row>
    <row r="699">
      <c r="B699" s="142"/>
    </row>
    <row r="700">
      <c r="B700" s="142"/>
    </row>
    <row r="701">
      <c r="B701" s="142"/>
    </row>
    <row r="702">
      <c r="B702" s="142"/>
    </row>
    <row r="703">
      <c r="B703" s="142"/>
    </row>
    <row r="704">
      <c r="B704" s="142"/>
    </row>
    <row r="705">
      <c r="B705" s="142"/>
    </row>
    <row r="706">
      <c r="B706" s="142"/>
    </row>
    <row r="707">
      <c r="B707" s="142"/>
    </row>
    <row r="708">
      <c r="B708" s="142"/>
    </row>
    <row r="709">
      <c r="B709" s="142"/>
    </row>
    <row r="710">
      <c r="B710" s="142"/>
    </row>
    <row r="711">
      <c r="B711" s="142"/>
    </row>
    <row r="712">
      <c r="B712" s="142"/>
    </row>
    <row r="713">
      <c r="B713" s="142"/>
    </row>
    <row r="714">
      <c r="B714" s="142"/>
    </row>
    <row r="715">
      <c r="B715" s="142"/>
    </row>
    <row r="716">
      <c r="B716" s="142"/>
    </row>
    <row r="717">
      <c r="B717" s="142"/>
    </row>
    <row r="718">
      <c r="B718" s="142"/>
    </row>
    <row r="719">
      <c r="B719" s="142"/>
    </row>
    <row r="720">
      <c r="B720" s="142"/>
    </row>
    <row r="721">
      <c r="B721" s="142"/>
    </row>
    <row r="722">
      <c r="B722" s="142"/>
    </row>
    <row r="723">
      <c r="B723" s="142"/>
    </row>
    <row r="724">
      <c r="B724" s="142"/>
    </row>
    <row r="725">
      <c r="B725" s="142"/>
    </row>
    <row r="726">
      <c r="B726" s="142"/>
    </row>
    <row r="727">
      <c r="B727" s="142"/>
    </row>
    <row r="728">
      <c r="B728" s="142"/>
    </row>
    <row r="729">
      <c r="B729" s="142"/>
    </row>
    <row r="730">
      <c r="B730" s="142"/>
    </row>
    <row r="731">
      <c r="B731" s="142"/>
    </row>
    <row r="732">
      <c r="B732" s="142"/>
    </row>
    <row r="733">
      <c r="B733" s="142"/>
    </row>
    <row r="734">
      <c r="B734" s="142"/>
    </row>
    <row r="735">
      <c r="B735" s="142"/>
    </row>
    <row r="736">
      <c r="B736" s="142"/>
    </row>
    <row r="737">
      <c r="B737" s="142"/>
    </row>
    <row r="738">
      <c r="B738" s="142"/>
    </row>
    <row r="739">
      <c r="B739" s="142"/>
    </row>
    <row r="740">
      <c r="B740" s="142"/>
    </row>
    <row r="741">
      <c r="B741" s="142"/>
    </row>
    <row r="742">
      <c r="B742" s="142"/>
    </row>
    <row r="743">
      <c r="B743" s="142"/>
    </row>
    <row r="744">
      <c r="B744" s="142"/>
    </row>
    <row r="745">
      <c r="B745" s="142"/>
    </row>
    <row r="746">
      <c r="B746" s="142"/>
    </row>
    <row r="747">
      <c r="B747" s="142"/>
    </row>
    <row r="748">
      <c r="B748" s="142"/>
    </row>
    <row r="749">
      <c r="B749" s="142"/>
    </row>
    <row r="750">
      <c r="B750" s="142"/>
    </row>
    <row r="751">
      <c r="B751" s="142"/>
    </row>
    <row r="752">
      <c r="B752" s="142"/>
    </row>
    <row r="753">
      <c r="B753" s="142"/>
    </row>
    <row r="754">
      <c r="B754" s="142"/>
    </row>
    <row r="755">
      <c r="B755" s="142"/>
    </row>
    <row r="756">
      <c r="B756" s="142"/>
    </row>
    <row r="757">
      <c r="B757" s="142"/>
    </row>
    <row r="758">
      <c r="B758" s="142"/>
    </row>
    <row r="759">
      <c r="B759" s="142"/>
    </row>
    <row r="760">
      <c r="B760" s="142"/>
    </row>
    <row r="761">
      <c r="B761" s="142"/>
    </row>
    <row r="762">
      <c r="B762" s="142"/>
    </row>
    <row r="763">
      <c r="B763" s="142"/>
    </row>
    <row r="764">
      <c r="B764" s="142"/>
    </row>
    <row r="765">
      <c r="B765" s="142"/>
    </row>
    <row r="766">
      <c r="B766" s="142"/>
    </row>
    <row r="767">
      <c r="B767" s="142"/>
    </row>
    <row r="768">
      <c r="B768" s="142"/>
    </row>
    <row r="769">
      <c r="B769" s="142"/>
    </row>
    <row r="770">
      <c r="B770" s="142"/>
    </row>
    <row r="771">
      <c r="B771" s="142"/>
    </row>
    <row r="772">
      <c r="B772" s="142"/>
    </row>
    <row r="773">
      <c r="B773" s="142"/>
    </row>
    <row r="774">
      <c r="B774" s="142"/>
    </row>
    <row r="775">
      <c r="B775" s="142"/>
    </row>
    <row r="776">
      <c r="B776" s="142"/>
    </row>
    <row r="777">
      <c r="B777" s="142"/>
    </row>
    <row r="778">
      <c r="B778" s="142"/>
    </row>
    <row r="779">
      <c r="B779" s="142"/>
    </row>
    <row r="780">
      <c r="B780" s="142"/>
    </row>
    <row r="781">
      <c r="B781" s="142"/>
    </row>
    <row r="782">
      <c r="B782" s="142"/>
    </row>
    <row r="783">
      <c r="B783" s="142"/>
    </row>
    <row r="784">
      <c r="B784" s="142"/>
    </row>
    <row r="785">
      <c r="B785" s="142"/>
    </row>
    <row r="786">
      <c r="B786" s="142"/>
    </row>
    <row r="787">
      <c r="B787" s="142"/>
    </row>
    <row r="788">
      <c r="B788" s="142"/>
    </row>
    <row r="789">
      <c r="B789" s="142"/>
    </row>
    <row r="790">
      <c r="B790" s="142"/>
    </row>
    <row r="791">
      <c r="B791" s="142"/>
    </row>
    <row r="792">
      <c r="B792" s="142"/>
    </row>
    <row r="793">
      <c r="B793" s="142"/>
    </row>
    <row r="794">
      <c r="B794" s="142"/>
    </row>
    <row r="795">
      <c r="B795" s="142"/>
    </row>
    <row r="796">
      <c r="B796" s="142"/>
    </row>
    <row r="797">
      <c r="B797" s="142"/>
    </row>
    <row r="798">
      <c r="B798" s="142"/>
    </row>
    <row r="799">
      <c r="B799" s="142"/>
    </row>
    <row r="800">
      <c r="B800" s="142"/>
    </row>
    <row r="801">
      <c r="B801" s="142"/>
    </row>
    <row r="802">
      <c r="B802" s="142"/>
    </row>
    <row r="803">
      <c r="B803" s="142"/>
    </row>
    <row r="804">
      <c r="B804" s="142"/>
    </row>
    <row r="805">
      <c r="B805" s="142"/>
    </row>
    <row r="806">
      <c r="B806" s="142"/>
    </row>
    <row r="807">
      <c r="B807" s="142"/>
    </row>
    <row r="808">
      <c r="B808" s="142"/>
    </row>
    <row r="809">
      <c r="B809" s="142"/>
    </row>
    <row r="810">
      <c r="B810" s="142"/>
    </row>
    <row r="811">
      <c r="B811" s="142"/>
    </row>
    <row r="812">
      <c r="B812" s="142"/>
    </row>
    <row r="813">
      <c r="B813" s="142"/>
    </row>
    <row r="814">
      <c r="B814" s="142"/>
    </row>
    <row r="815">
      <c r="B815" s="142"/>
    </row>
    <row r="816">
      <c r="B816" s="142"/>
    </row>
    <row r="817">
      <c r="B817" s="142"/>
    </row>
    <row r="818">
      <c r="B818" s="142"/>
    </row>
    <row r="819">
      <c r="B819" s="142"/>
    </row>
    <row r="820">
      <c r="B820" s="142"/>
    </row>
    <row r="821">
      <c r="B821" s="142"/>
    </row>
    <row r="822">
      <c r="B822" s="142"/>
    </row>
    <row r="823">
      <c r="B823" s="142"/>
    </row>
    <row r="824">
      <c r="B824" s="142"/>
    </row>
    <row r="825">
      <c r="B825" s="142"/>
    </row>
    <row r="826">
      <c r="B826" s="142"/>
    </row>
    <row r="827">
      <c r="B827" s="142"/>
    </row>
    <row r="828">
      <c r="B828" s="142"/>
    </row>
    <row r="829">
      <c r="B829" s="142"/>
    </row>
    <row r="830">
      <c r="B830" s="142"/>
    </row>
    <row r="831">
      <c r="B831" s="142"/>
    </row>
    <row r="832">
      <c r="B832" s="142"/>
    </row>
    <row r="833">
      <c r="B833" s="142"/>
    </row>
    <row r="834">
      <c r="B834" s="142"/>
    </row>
    <row r="835">
      <c r="B835" s="142"/>
    </row>
    <row r="836">
      <c r="B836" s="142"/>
    </row>
    <row r="837">
      <c r="B837" s="142"/>
    </row>
    <row r="838">
      <c r="B838" s="142"/>
    </row>
    <row r="839">
      <c r="B839" s="142"/>
    </row>
    <row r="840">
      <c r="B840" s="142"/>
    </row>
    <row r="841">
      <c r="B841" s="142"/>
    </row>
    <row r="842">
      <c r="B842" s="142"/>
    </row>
    <row r="843">
      <c r="B843" s="142"/>
    </row>
    <row r="844">
      <c r="B844" s="142"/>
    </row>
    <row r="845">
      <c r="B845" s="142"/>
    </row>
    <row r="846">
      <c r="B846" s="142"/>
    </row>
    <row r="847">
      <c r="B847" s="142"/>
    </row>
    <row r="848">
      <c r="B848" s="142"/>
    </row>
    <row r="849">
      <c r="B849" s="142"/>
    </row>
    <row r="850">
      <c r="B850" s="142"/>
    </row>
    <row r="851">
      <c r="B851" s="142"/>
    </row>
    <row r="852">
      <c r="B852" s="142"/>
    </row>
    <row r="853">
      <c r="B853" s="142"/>
    </row>
    <row r="854">
      <c r="B854" s="142"/>
    </row>
    <row r="855">
      <c r="B855" s="142"/>
    </row>
    <row r="856">
      <c r="B856" s="142"/>
    </row>
    <row r="857">
      <c r="B857" s="142"/>
    </row>
    <row r="858">
      <c r="B858" s="142"/>
    </row>
    <row r="859">
      <c r="B859" s="142"/>
    </row>
    <row r="860">
      <c r="B860" s="142"/>
    </row>
    <row r="861">
      <c r="B861" s="142"/>
    </row>
    <row r="862">
      <c r="B862" s="142"/>
    </row>
    <row r="863">
      <c r="B863" s="142"/>
    </row>
    <row r="864">
      <c r="B864" s="142"/>
    </row>
    <row r="865">
      <c r="B865" s="142"/>
    </row>
    <row r="866">
      <c r="B866" s="142"/>
    </row>
    <row r="867">
      <c r="B867" s="142"/>
    </row>
    <row r="868">
      <c r="B868" s="142"/>
    </row>
    <row r="869">
      <c r="B869" s="142"/>
    </row>
    <row r="870">
      <c r="B870" s="142"/>
    </row>
    <row r="871">
      <c r="B871" s="142"/>
    </row>
    <row r="872">
      <c r="B872" s="142"/>
    </row>
    <row r="873">
      <c r="B873" s="142"/>
    </row>
    <row r="874">
      <c r="B874" s="142"/>
    </row>
    <row r="875">
      <c r="B875" s="142"/>
    </row>
    <row r="876">
      <c r="B876" s="142"/>
    </row>
    <row r="877">
      <c r="B877" s="142"/>
    </row>
    <row r="878">
      <c r="B878" s="142"/>
    </row>
    <row r="879">
      <c r="B879" s="142"/>
    </row>
    <row r="880">
      <c r="B880" s="142"/>
    </row>
    <row r="881">
      <c r="B881" s="142"/>
    </row>
    <row r="882">
      <c r="B882" s="142"/>
    </row>
    <row r="883">
      <c r="B883" s="142"/>
    </row>
    <row r="884">
      <c r="B884" s="142"/>
    </row>
    <row r="885">
      <c r="B885" s="142"/>
    </row>
    <row r="886">
      <c r="B886" s="142"/>
    </row>
    <row r="887">
      <c r="B887" s="142"/>
    </row>
    <row r="888">
      <c r="B888" s="142"/>
    </row>
    <row r="889">
      <c r="B889" s="142"/>
    </row>
    <row r="890">
      <c r="B890" s="142"/>
    </row>
    <row r="891">
      <c r="B891" s="142"/>
    </row>
    <row r="892">
      <c r="B892" s="142"/>
    </row>
    <row r="893">
      <c r="B893" s="142"/>
    </row>
    <row r="894">
      <c r="B894" s="142"/>
    </row>
    <row r="895">
      <c r="B895" s="142"/>
    </row>
    <row r="896">
      <c r="B896" s="142"/>
    </row>
    <row r="897">
      <c r="B897" s="142"/>
    </row>
    <row r="898">
      <c r="B898" s="142"/>
    </row>
    <row r="899">
      <c r="B899" s="142"/>
    </row>
    <row r="900">
      <c r="B900" s="142"/>
    </row>
    <row r="901">
      <c r="B901" s="142"/>
    </row>
    <row r="902">
      <c r="B902" s="142"/>
    </row>
    <row r="903">
      <c r="B903" s="142"/>
    </row>
    <row r="904">
      <c r="B904" s="142"/>
    </row>
    <row r="905">
      <c r="B905" s="142"/>
    </row>
    <row r="906">
      <c r="B906" s="142"/>
    </row>
    <row r="907">
      <c r="B907" s="142"/>
    </row>
    <row r="908">
      <c r="B908" s="142"/>
    </row>
    <row r="909">
      <c r="B909" s="142"/>
    </row>
    <row r="910">
      <c r="B910" s="142"/>
    </row>
    <row r="911">
      <c r="B911" s="142"/>
    </row>
    <row r="912">
      <c r="B912" s="142"/>
    </row>
    <row r="913">
      <c r="B913" s="142"/>
    </row>
    <row r="914">
      <c r="B914" s="142"/>
    </row>
    <row r="915">
      <c r="B915" s="142"/>
    </row>
    <row r="916">
      <c r="B916" s="142"/>
    </row>
    <row r="917">
      <c r="B917" s="142"/>
    </row>
    <row r="918">
      <c r="B918" s="142"/>
    </row>
    <row r="919">
      <c r="B919" s="142"/>
    </row>
    <row r="920">
      <c r="B920" s="142"/>
    </row>
    <row r="921">
      <c r="B921" s="142"/>
    </row>
    <row r="922">
      <c r="B922" s="142"/>
    </row>
    <row r="923">
      <c r="B923" s="142"/>
    </row>
    <row r="924">
      <c r="B924" s="142"/>
    </row>
    <row r="925">
      <c r="B925" s="142"/>
    </row>
    <row r="926">
      <c r="B926" s="142"/>
    </row>
    <row r="927">
      <c r="B927" s="142"/>
    </row>
    <row r="928">
      <c r="B928" s="142"/>
    </row>
    <row r="929">
      <c r="B929" s="142"/>
    </row>
    <row r="930">
      <c r="B930" s="142"/>
    </row>
    <row r="931">
      <c r="B931" s="142"/>
    </row>
    <row r="932">
      <c r="B932" s="142"/>
    </row>
    <row r="933">
      <c r="B933" s="142"/>
    </row>
    <row r="934">
      <c r="B934" s="142"/>
    </row>
    <row r="935">
      <c r="B935" s="142"/>
    </row>
    <row r="936">
      <c r="B936" s="142"/>
    </row>
    <row r="937">
      <c r="B937" s="142"/>
    </row>
    <row r="938">
      <c r="B938" s="142"/>
    </row>
    <row r="939">
      <c r="B939" s="142"/>
    </row>
    <row r="940">
      <c r="B940" s="142"/>
    </row>
    <row r="941">
      <c r="B941" s="142"/>
    </row>
    <row r="942">
      <c r="B942" s="142"/>
    </row>
    <row r="943">
      <c r="B943" s="142"/>
    </row>
    <row r="944">
      <c r="B944" s="142"/>
    </row>
    <row r="945">
      <c r="B945" s="142"/>
    </row>
    <row r="946">
      <c r="B946" s="142"/>
    </row>
    <row r="947">
      <c r="B947" s="142"/>
    </row>
    <row r="948">
      <c r="B948" s="142"/>
    </row>
    <row r="949">
      <c r="B949" s="142"/>
    </row>
    <row r="950">
      <c r="B950" s="142"/>
    </row>
    <row r="951">
      <c r="B951" s="142"/>
    </row>
    <row r="952">
      <c r="B952" s="142"/>
    </row>
    <row r="953">
      <c r="B953" s="142"/>
    </row>
    <row r="954">
      <c r="B954" s="142"/>
    </row>
    <row r="955">
      <c r="B955" s="142"/>
    </row>
    <row r="956">
      <c r="B956" s="142"/>
    </row>
    <row r="957">
      <c r="B957" s="142"/>
    </row>
    <row r="958">
      <c r="B958" s="142"/>
    </row>
    <row r="959">
      <c r="B959" s="142"/>
    </row>
    <row r="960">
      <c r="B960" s="142"/>
    </row>
    <row r="961">
      <c r="B961" s="142"/>
    </row>
    <row r="962">
      <c r="B962" s="142"/>
    </row>
    <row r="963">
      <c r="B963" s="142"/>
    </row>
    <row r="964">
      <c r="B964" s="142"/>
    </row>
    <row r="965">
      <c r="B965" s="142"/>
    </row>
    <row r="966">
      <c r="B966" s="142"/>
    </row>
    <row r="967">
      <c r="B967" s="142"/>
    </row>
    <row r="968">
      <c r="B968" s="142"/>
    </row>
    <row r="969">
      <c r="B969" s="142"/>
    </row>
    <row r="970">
      <c r="B970" s="142"/>
    </row>
    <row r="971">
      <c r="B971" s="142"/>
    </row>
    <row r="972">
      <c r="B972" s="142"/>
    </row>
    <row r="973">
      <c r="B973" s="142"/>
    </row>
    <row r="974">
      <c r="B974" s="142"/>
    </row>
    <row r="975">
      <c r="B975" s="142"/>
    </row>
    <row r="976">
      <c r="B976" s="142"/>
    </row>
    <row r="977">
      <c r="B977" s="142"/>
    </row>
    <row r="978">
      <c r="B978" s="142"/>
    </row>
    <row r="979">
      <c r="B979" s="142"/>
    </row>
    <row r="980">
      <c r="B980" s="142"/>
    </row>
    <row r="981">
      <c r="B981" s="142"/>
    </row>
    <row r="982">
      <c r="B982" s="142"/>
    </row>
    <row r="983">
      <c r="B983" s="142"/>
    </row>
    <row r="984">
      <c r="B984" s="142"/>
    </row>
    <row r="985">
      <c r="B985" s="142"/>
    </row>
    <row r="986">
      <c r="B986" s="142"/>
    </row>
    <row r="987">
      <c r="B987" s="142"/>
    </row>
    <row r="988">
      <c r="B988" s="142"/>
    </row>
    <row r="989">
      <c r="B989" s="142"/>
    </row>
    <row r="990">
      <c r="B990" s="142"/>
    </row>
    <row r="991">
      <c r="B991" s="142"/>
    </row>
    <row r="992">
      <c r="B992" s="142"/>
    </row>
    <row r="993">
      <c r="B993" s="142"/>
    </row>
    <row r="994">
      <c r="B994" s="142"/>
    </row>
    <row r="995">
      <c r="B995" s="142"/>
    </row>
    <row r="996">
      <c r="B996" s="142"/>
    </row>
    <row r="997">
      <c r="B997" s="142"/>
    </row>
    <row r="998">
      <c r="B998" s="142"/>
    </row>
    <row r="999">
      <c r="B999" s="142"/>
    </row>
    <row r="1000">
      <c r="B1000" s="142"/>
    </row>
  </sheetData>
  <mergeCells count="2">
    <mergeCell ref="A2:F2"/>
    <mergeCell ref="A4:F4"/>
  </mergeCells>
  <drawing r:id="rId1"/>
</worksheet>
</file>