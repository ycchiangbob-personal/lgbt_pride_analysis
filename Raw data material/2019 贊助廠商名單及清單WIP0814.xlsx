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/>
  <mc:AlternateContent xmlns:mc="http://schemas.openxmlformats.org/markup-compatibility/2006">
    <mc:Choice Requires="x15">
      <x15ac:absPath xmlns:x15ac="http://schemas.microsoft.com/office/spreadsheetml/2010/11/ac" url="C:\Users\2343\Desktop\0_2019Pride\"/>
    </mc:Choice>
  </mc:AlternateContent>
  <xr:revisionPtr revIDLastSave="0" documentId="8_{F6A5B5C0-F4E0-4AAB-A771-72440C98B75B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廠商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46" i="1" l="1"/>
  <c r="C45" i="1"/>
  <c r="C44" i="1"/>
  <c r="C43" i="1"/>
  <c r="C21" i="1" l="1"/>
  <c r="C18" i="1"/>
  <c r="C11" i="1"/>
  <c r="C12" i="1"/>
  <c r="C10" i="1"/>
  <c r="C6" i="1"/>
</calcChain>
</file>

<file path=xl/sharedStrings.xml><?xml version="1.0" encoding="utf-8"?>
<sst xmlns="http://schemas.openxmlformats.org/spreadsheetml/2006/main" count="185" uniqueCount="92">
  <si>
    <t>GILEAD</t>
    <phoneticPr fontId="1" type="noConversion"/>
  </si>
  <si>
    <t>B</t>
  </si>
  <si>
    <t>V</t>
    <phoneticPr fontId="1" type="noConversion"/>
  </si>
  <si>
    <t>G-Star</t>
    <phoneticPr fontId="1" type="noConversion"/>
  </si>
  <si>
    <t>C</t>
  </si>
  <si>
    <t>V</t>
    <phoneticPr fontId="1" type="noConversion"/>
  </si>
  <si>
    <t>A</t>
  </si>
  <si>
    <t>LES park</t>
    <phoneticPr fontId="1" type="noConversion"/>
  </si>
  <si>
    <t>DES</t>
    <phoneticPr fontId="1" type="noConversion"/>
  </si>
  <si>
    <t>Grindr</t>
    <phoneticPr fontId="1" type="noConversion"/>
  </si>
  <si>
    <t>GAP</t>
    <phoneticPr fontId="1" type="noConversion"/>
  </si>
  <si>
    <t>Mozilla</t>
    <phoneticPr fontId="1" type="noConversion"/>
  </si>
  <si>
    <t>EY</t>
    <phoneticPr fontId="1" type="noConversion"/>
  </si>
  <si>
    <t>MING</t>
  </si>
  <si>
    <t>KIRK</t>
  </si>
  <si>
    <t>Tstudio</t>
    <phoneticPr fontId="1" type="noConversion"/>
  </si>
  <si>
    <t>$-OK</t>
    <phoneticPr fontId="1" type="noConversion"/>
  </si>
  <si>
    <t>$-OK</t>
    <phoneticPr fontId="1" type="noConversion"/>
  </si>
  <si>
    <t>UBER</t>
    <phoneticPr fontId="1" type="noConversion"/>
  </si>
  <si>
    <t>熱海</t>
    <phoneticPr fontId="1" type="noConversion"/>
  </si>
  <si>
    <t>商業攤位(40)</t>
    <phoneticPr fontId="1" type="noConversion"/>
  </si>
  <si>
    <t>臺灣酷蓋</t>
    <phoneticPr fontId="1" type="noConversion"/>
  </si>
  <si>
    <t>Double APP</t>
    <phoneticPr fontId="1" type="noConversion"/>
  </si>
  <si>
    <t>橙</t>
  </si>
  <si>
    <t>銀級</t>
  </si>
  <si>
    <t>紅樓友善商家聯盟</t>
    <phoneticPr fontId="1" type="noConversion"/>
  </si>
  <si>
    <t>藍</t>
  </si>
  <si>
    <t>紫</t>
  </si>
  <si>
    <t>質男幫</t>
    <phoneticPr fontId="1" type="noConversion"/>
  </si>
  <si>
    <t>東南亞航空公司</t>
    <phoneticPr fontId="1" type="noConversion"/>
  </si>
  <si>
    <t>戶戶送</t>
    <phoneticPr fontId="1" type="noConversion"/>
  </si>
  <si>
    <t>金</t>
    <phoneticPr fontId="1" type="noConversion"/>
  </si>
  <si>
    <t>銀</t>
    <phoneticPr fontId="1" type="noConversion"/>
  </si>
  <si>
    <t>PINKOI</t>
    <phoneticPr fontId="1" type="noConversion"/>
  </si>
  <si>
    <t>序號</t>
  </si>
  <si>
    <t>廠商名稱</t>
  </si>
  <si>
    <t>贊助金額</t>
  </si>
  <si>
    <t>贊助類別</t>
  </si>
  <si>
    <t>車權</t>
  </si>
  <si>
    <t>官網廣告</t>
  </si>
  <si>
    <t>DM廣告</t>
  </si>
  <si>
    <t>臉書橫幅</t>
  </si>
  <si>
    <t>大螢幕橫幅</t>
  </si>
  <si>
    <t>主舞台廣告</t>
  </si>
  <si>
    <t>市集入口</t>
  </si>
  <si>
    <t>終點廣告</t>
  </si>
  <si>
    <t>30秒廣告</t>
    <phoneticPr fontId="1" type="noConversion"/>
  </si>
  <si>
    <t>彩虹市集</t>
  </si>
  <si>
    <t>攤位數</t>
  </si>
  <si>
    <t>路線小舞台</t>
  </si>
  <si>
    <t>飯店方案</t>
  </si>
  <si>
    <t>案件處理人</t>
  </si>
  <si>
    <t>進度</t>
  </si>
  <si>
    <t>備註</t>
  </si>
  <si>
    <t>黃金級</t>
  </si>
  <si>
    <t>紅</t>
  </si>
  <si>
    <t>市府起點</t>
  </si>
  <si>
    <t>獨立棚</t>
  </si>
  <si>
    <t>洽談中</t>
  </si>
  <si>
    <t>文斌</t>
  </si>
  <si>
    <t>簽約中</t>
  </si>
  <si>
    <t>杰德影音</t>
    <phoneticPr fontId="1" type="noConversion"/>
  </si>
  <si>
    <t>美嬴</t>
  </si>
  <si>
    <t>黃</t>
  </si>
  <si>
    <t>梅子</t>
  </si>
  <si>
    <t>美生國際</t>
    <phoneticPr fontId="1" type="noConversion"/>
  </si>
  <si>
    <t>綠</t>
  </si>
  <si>
    <t>驕陽基金會</t>
    <phoneticPr fontId="1" type="noConversion"/>
  </si>
  <si>
    <t>凱道終點左</t>
  </si>
  <si>
    <t>已簽約</t>
  </si>
  <si>
    <t>基島科技</t>
    <phoneticPr fontId="1" type="noConversion"/>
  </si>
  <si>
    <t>維尼</t>
  </si>
  <si>
    <t>彩虹酷兒</t>
    <phoneticPr fontId="1" type="noConversion"/>
  </si>
  <si>
    <t>哈利男孩</t>
    <phoneticPr fontId="1" type="noConversion"/>
  </si>
  <si>
    <t>合併棚</t>
  </si>
  <si>
    <t>英諾美生物科技</t>
    <phoneticPr fontId="1" type="noConversion"/>
  </si>
  <si>
    <t>市府起點左</t>
  </si>
  <si>
    <t>艿緦服裝有限公司</t>
    <phoneticPr fontId="1" type="noConversion"/>
  </si>
  <si>
    <t>5台NGO車</t>
    <phoneticPr fontId="1" type="noConversion"/>
  </si>
  <si>
    <t>NGO攤位(30)</t>
    <phoneticPr fontId="1" type="noConversion"/>
  </si>
  <si>
    <t>Google</t>
    <phoneticPr fontId="1" type="noConversion"/>
  </si>
  <si>
    <t>FACEBOOK</t>
    <phoneticPr fontId="1" type="noConversion"/>
  </si>
  <si>
    <t>EXPEDIA(HOTELCOM)</t>
    <phoneticPr fontId="1" type="noConversion"/>
  </si>
  <si>
    <t>已簽約 簽約中</t>
    <phoneticPr fontId="1" type="noConversion"/>
  </si>
  <si>
    <t>YAHOO</t>
    <phoneticPr fontId="1" type="noConversion"/>
  </si>
  <si>
    <t>茶鋪</t>
    <phoneticPr fontId="1" type="noConversion"/>
  </si>
  <si>
    <t>彩虹市集</t>
    <phoneticPr fontId="1" type="noConversion"/>
  </si>
  <si>
    <t>社運車</t>
    <phoneticPr fontId="1" type="noConversion"/>
  </si>
  <si>
    <t>洽談中</t>
    <phoneticPr fontId="1" type="noConversion"/>
  </si>
  <si>
    <t>洽</t>
    <phoneticPr fontId="1" type="noConversion"/>
  </si>
  <si>
    <t>談</t>
    <phoneticPr fontId="1" type="noConversion"/>
  </si>
  <si>
    <t>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</si>
</sst>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PMingLiu"/>
      <family val="1"/>
      <charset val="136"/>
    </font>
    <font>
      <sz val="9"/>
      <name val="細明體"/>
      <family val="3"/>
      <charset val="136"/>
    </font>
    <font>
      <b/>
      <sz val="12"/>
      <color indexed="8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FFC000"/>
      <name val="微軟正黑體"/>
      <family val="2"/>
      <charset val="136"/>
    </font>
    <font>
      <sz val="12"/>
      <color rgb="FFFFFF00"/>
      <name val="微軟正黑體"/>
      <family val="2"/>
      <charset val="136"/>
    </font>
    <font>
      <sz val="12"/>
      <color rgb="FF00B050"/>
      <name val="微軟正黑體"/>
      <family val="2"/>
      <charset val="136"/>
    </font>
    <font>
      <sz val="12"/>
      <color theme="5"/>
      <name val="微軟正黑體"/>
      <family val="2"/>
      <charset val="136"/>
    </font>
    <font>
      <sz val="12"/>
      <color rgb="FF7030A0"/>
      <name val="微軟正黑體"/>
      <family val="2"/>
      <charset val="136"/>
    </font>
    <font>
      <sz val="12"/>
      <color theme="4"/>
      <name val="微軟正黑體"/>
      <family val="2"/>
      <charset val="136"/>
    </font>
    <font>
      <sz val="12"/>
      <color indexed="8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3"/>
  <sheetViews>
    <sheetView tabSelected="1" topLeftCell="A46" zoomScale="94" zoomScaleNormal="94" workbookViewId="0">
      <selection activeCell="G37" sqref="G37"/>
    </sheetView>
  </sheetViews>
  <sheetFormatPr defaultColWidth="12.6328125" defaultRowHeight="15" customHeight="1"/>
  <cols>
    <col min="1" max="1" width="5.08984375" style="3" customWidth="1"/>
    <col min="2" max="2" width="19.7265625" style="3" customWidth="1"/>
    <col min="3" max="3" width="13.26953125" style="3" customWidth="1"/>
    <col min="4" max="4" width="9.7265625" style="3" customWidth="1"/>
    <col min="5" max="5" width="7.6328125" style="3" customWidth="1"/>
    <col min="6" max="8" width="11" style="3" customWidth="1"/>
    <col min="9" max="9" width="11.6328125" style="3" customWidth="1"/>
    <col min="10" max="10" width="11" style="3" customWidth="1"/>
    <col min="11" max="11" width="10.6328125" style="3" customWidth="1"/>
    <col min="12" max="13" width="10.26953125" style="3" customWidth="1"/>
    <col min="14" max="14" width="8.7265625" style="3" customWidth="1"/>
    <col min="15" max="15" width="7.6328125" style="3" customWidth="1"/>
    <col min="16" max="16" width="11.26953125" style="3" customWidth="1"/>
    <col min="17" max="17" width="9.453125" style="3" customWidth="1"/>
    <col min="18" max="18" width="11.453125" style="3" customWidth="1"/>
    <col min="19" max="19" width="9.7265625" style="3" customWidth="1"/>
    <col min="20" max="20" width="10.90625" style="3" customWidth="1"/>
    <col min="21" max="16384" width="12.6328125" style="3"/>
  </cols>
  <sheetData>
    <row r="1" spans="1:20" ht="16.5" customHeight="1">
      <c r="A1" s="1" t="s">
        <v>34</v>
      </c>
      <c r="B1" s="1" t="s">
        <v>35</v>
      </c>
      <c r="C1" s="1" t="s">
        <v>36</v>
      </c>
      <c r="D1" s="2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</row>
    <row r="2" spans="1:20" ht="16.5" customHeight="1">
      <c r="A2" s="3" t="s">
        <v>31</v>
      </c>
      <c r="B2" s="3" t="s">
        <v>0</v>
      </c>
      <c r="C2" s="3">
        <v>500000</v>
      </c>
      <c r="D2" s="3" t="s">
        <v>54</v>
      </c>
      <c r="E2" s="4" t="s">
        <v>55</v>
      </c>
      <c r="F2" s="3" t="s">
        <v>1</v>
      </c>
      <c r="I2" s="3" t="s">
        <v>56</v>
      </c>
      <c r="M2" s="3" t="s">
        <v>2</v>
      </c>
      <c r="N2" s="3" t="s">
        <v>57</v>
      </c>
      <c r="O2" s="3">
        <v>3</v>
      </c>
      <c r="R2" s="3" t="s">
        <v>14</v>
      </c>
      <c r="S2" s="3" t="s">
        <v>58</v>
      </c>
    </row>
    <row r="3" spans="1:20" ht="16.5" customHeight="1">
      <c r="A3" s="3" t="s">
        <v>32</v>
      </c>
      <c r="B3" s="3" t="s">
        <v>3</v>
      </c>
      <c r="C3" s="3">
        <v>150000</v>
      </c>
      <c r="D3" s="3" t="s">
        <v>24</v>
      </c>
      <c r="E3" s="5" t="s">
        <v>23</v>
      </c>
      <c r="F3" s="3" t="s">
        <v>4</v>
      </c>
      <c r="K3" s="3" t="s">
        <v>5</v>
      </c>
      <c r="L3" s="3" t="s">
        <v>5</v>
      </c>
      <c r="M3" s="3" t="s">
        <v>5</v>
      </c>
      <c r="N3" s="3" t="s">
        <v>57</v>
      </c>
      <c r="O3" s="3">
        <v>1</v>
      </c>
      <c r="R3" s="3" t="s">
        <v>59</v>
      </c>
      <c r="S3" s="3" t="s">
        <v>60</v>
      </c>
    </row>
    <row r="4" spans="1:20" ht="16.5" customHeight="1">
      <c r="A4" s="3" t="s">
        <v>32</v>
      </c>
      <c r="B4" s="3" t="s">
        <v>61</v>
      </c>
      <c r="C4" s="3">
        <v>150000</v>
      </c>
      <c r="D4" s="3" t="s">
        <v>24</v>
      </c>
      <c r="E4" s="4" t="s">
        <v>55</v>
      </c>
      <c r="F4" s="3" t="s">
        <v>4</v>
      </c>
      <c r="G4" s="3" t="s">
        <v>1</v>
      </c>
      <c r="K4" s="3" t="s">
        <v>5</v>
      </c>
      <c r="L4" s="3" t="s">
        <v>5</v>
      </c>
      <c r="M4" s="3" t="s">
        <v>5</v>
      </c>
      <c r="N4" s="3" t="s">
        <v>57</v>
      </c>
      <c r="O4" s="3">
        <v>1</v>
      </c>
      <c r="R4" s="3" t="s">
        <v>62</v>
      </c>
      <c r="S4" s="3" t="s">
        <v>60</v>
      </c>
    </row>
    <row r="5" spans="1:20" ht="16.5" customHeight="1">
      <c r="A5" s="3" t="s">
        <v>32</v>
      </c>
      <c r="B5" s="3" t="s">
        <v>15</v>
      </c>
      <c r="C5" s="3">
        <v>150000</v>
      </c>
      <c r="D5" s="3" t="s">
        <v>24</v>
      </c>
      <c r="E5" s="6" t="s">
        <v>63</v>
      </c>
      <c r="G5" s="3" t="s">
        <v>1</v>
      </c>
      <c r="K5" s="3" t="s">
        <v>5</v>
      </c>
      <c r="N5" s="3" t="s">
        <v>57</v>
      </c>
      <c r="O5" s="3">
        <v>5</v>
      </c>
      <c r="R5" s="3" t="s">
        <v>64</v>
      </c>
      <c r="S5" s="3" t="s">
        <v>60</v>
      </c>
    </row>
    <row r="6" spans="1:20" ht="16.5" customHeight="1">
      <c r="A6" s="3" t="s">
        <v>32</v>
      </c>
      <c r="B6" s="3" t="s">
        <v>65</v>
      </c>
      <c r="C6" s="3">
        <f>150000+25000</f>
        <v>175000</v>
      </c>
      <c r="D6" s="3" t="s">
        <v>24</v>
      </c>
      <c r="E6" s="7" t="s">
        <v>66</v>
      </c>
      <c r="F6" s="3" t="s">
        <v>4</v>
      </c>
      <c r="G6" s="3" t="s">
        <v>6</v>
      </c>
      <c r="K6" s="3" t="s">
        <v>5</v>
      </c>
      <c r="L6" s="3" t="s">
        <v>5</v>
      </c>
      <c r="M6" s="3" t="s">
        <v>5</v>
      </c>
      <c r="N6" s="3" t="s">
        <v>57</v>
      </c>
      <c r="O6" s="3">
        <v>1</v>
      </c>
      <c r="R6" s="3" t="s">
        <v>62</v>
      </c>
      <c r="S6" s="3" t="s">
        <v>58</v>
      </c>
    </row>
    <row r="7" spans="1:20" ht="16.5" customHeight="1">
      <c r="A7" s="3" t="s">
        <v>32</v>
      </c>
      <c r="B7" s="3" t="s">
        <v>21</v>
      </c>
      <c r="C7" s="3">
        <v>150000</v>
      </c>
      <c r="D7" s="3" t="s">
        <v>24</v>
      </c>
      <c r="E7" s="8" t="s">
        <v>23</v>
      </c>
    </row>
    <row r="8" spans="1:20" ht="16.5" customHeight="1">
      <c r="A8" s="3" t="s">
        <v>32</v>
      </c>
      <c r="B8" s="3" t="s">
        <v>22</v>
      </c>
      <c r="C8" s="3">
        <v>150000</v>
      </c>
      <c r="D8" s="3" t="s">
        <v>24</v>
      </c>
      <c r="E8" s="8" t="s">
        <v>23</v>
      </c>
    </row>
    <row r="9" spans="1:20" ht="16.5" customHeight="1">
      <c r="A9" s="3" t="s">
        <v>32</v>
      </c>
      <c r="B9" s="14" t="s">
        <v>80</v>
      </c>
      <c r="C9" s="3">
        <v>150000</v>
      </c>
      <c r="D9" s="3" t="s">
        <v>24</v>
      </c>
      <c r="E9" s="10" t="s">
        <v>27</v>
      </c>
      <c r="F9" s="3" t="s">
        <v>4</v>
      </c>
      <c r="K9" s="3" t="s">
        <v>2</v>
      </c>
      <c r="L9" s="3" t="s">
        <v>5</v>
      </c>
      <c r="M9" s="3" t="s">
        <v>5</v>
      </c>
      <c r="N9" s="3" t="s">
        <v>57</v>
      </c>
      <c r="O9" s="3">
        <v>1</v>
      </c>
      <c r="R9" s="3" t="s">
        <v>14</v>
      </c>
      <c r="S9" s="3" t="s">
        <v>58</v>
      </c>
    </row>
    <row r="10" spans="1:20" ht="16.5" customHeight="1">
      <c r="B10" s="3" t="s">
        <v>67</v>
      </c>
      <c r="C10" s="3">
        <f>0.95*20000+0.95*90000</f>
        <v>104500</v>
      </c>
      <c r="E10" s="11"/>
      <c r="H10" s="3" t="s">
        <v>5</v>
      </c>
      <c r="J10" s="3" t="s">
        <v>68</v>
      </c>
      <c r="R10" s="3" t="s">
        <v>62</v>
      </c>
      <c r="S10" s="3" t="s">
        <v>69</v>
      </c>
      <c r="T10" s="3" t="s">
        <v>16</v>
      </c>
    </row>
    <row r="11" spans="1:20" ht="16.5" customHeight="1">
      <c r="B11" s="3" t="s">
        <v>7</v>
      </c>
      <c r="C11" s="3">
        <f>20000*0.92+8000*0.92+0.92*70000</f>
        <v>90160</v>
      </c>
      <c r="E11" s="6" t="s">
        <v>63</v>
      </c>
      <c r="H11" s="3" t="s">
        <v>5</v>
      </c>
      <c r="N11" s="3" t="s">
        <v>57</v>
      </c>
      <c r="O11" s="3">
        <v>1</v>
      </c>
      <c r="R11" s="3" t="s">
        <v>64</v>
      </c>
      <c r="S11" s="3" t="s">
        <v>60</v>
      </c>
    </row>
    <row r="12" spans="1:20" ht="16.5" customHeight="1">
      <c r="B12" s="3" t="s">
        <v>70</v>
      </c>
      <c r="C12" s="3">
        <f>8000*0.95+8000*0.95</f>
        <v>15200</v>
      </c>
      <c r="E12" s="11"/>
      <c r="G12" s="3" t="s">
        <v>1</v>
      </c>
      <c r="N12" s="3" t="s">
        <v>57</v>
      </c>
      <c r="O12" s="3">
        <v>1</v>
      </c>
      <c r="R12" s="3" t="s">
        <v>13</v>
      </c>
      <c r="S12" s="3" t="s">
        <v>60</v>
      </c>
    </row>
    <row r="13" spans="1:20" ht="16.5" customHeight="1">
      <c r="B13" s="3" t="s">
        <v>8</v>
      </c>
      <c r="C13" s="3">
        <v>100000</v>
      </c>
      <c r="E13" s="4" t="s">
        <v>55</v>
      </c>
      <c r="R13" s="3" t="s">
        <v>59</v>
      </c>
      <c r="S13" s="3" t="s">
        <v>69</v>
      </c>
    </row>
    <row r="14" spans="1:20" ht="16.5" customHeight="1">
      <c r="B14" s="3" t="s">
        <v>9</v>
      </c>
      <c r="C14" s="3">
        <v>70000</v>
      </c>
      <c r="E14" s="6" t="s">
        <v>63</v>
      </c>
      <c r="R14" s="3" t="s">
        <v>59</v>
      </c>
      <c r="S14" s="3" t="s">
        <v>69</v>
      </c>
    </row>
    <row r="15" spans="1:20" ht="16.5" customHeight="1">
      <c r="B15" s="3" t="s">
        <v>10</v>
      </c>
      <c r="C15" s="3">
        <v>70000</v>
      </c>
      <c r="E15" s="7" t="s">
        <v>66</v>
      </c>
      <c r="N15" s="3" t="s">
        <v>57</v>
      </c>
      <c r="O15" s="3">
        <v>1</v>
      </c>
      <c r="R15" s="3" t="s">
        <v>62</v>
      </c>
      <c r="S15" s="3" t="s">
        <v>58</v>
      </c>
    </row>
    <row r="16" spans="1:20" ht="16.5" customHeight="1">
      <c r="A16" s="3" t="s">
        <v>32</v>
      </c>
      <c r="B16" s="14" t="s">
        <v>11</v>
      </c>
      <c r="C16" s="3">
        <v>150000</v>
      </c>
      <c r="D16" s="3" t="s">
        <v>24</v>
      </c>
      <c r="E16" s="7" t="s">
        <v>66</v>
      </c>
      <c r="R16" s="3" t="s">
        <v>71</v>
      </c>
      <c r="S16" s="3" t="s">
        <v>58</v>
      </c>
    </row>
    <row r="17" spans="1:20" ht="16.5" customHeight="1">
      <c r="B17" s="3" t="s">
        <v>72</v>
      </c>
      <c r="C17" s="3">
        <v>40000</v>
      </c>
      <c r="E17" s="12" t="s">
        <v>26</v>
      </c>
      <c r="R17" s="3" t="s">
        <v>59</v>
      </c>
      <c r="S17" s="3" t="s">
        <v>60</v>
      </c>
    </row>
    <row r="18" spans="1:20" ht="16.5" customHeight="1">
      <c r="B18" s="3" t="s">
        <v>73</v>
      </c>
      <c r="C18" s="3">
        <f>0.95*40000+16000*0.95</f>
        <v>53200</v>
      </c>
      <c r="E18" s="12" t="s">
        <v>26</v>
      </c>
      <c r="N18" s="3" t="s">
        <v>74</v>
      </c>
      <c r="O18" s="3">
        <v>2</v>
      </c>
      <c r="R18" s="3" t="s">
        <v>13</v>
      </c>
      <c r="S18" s="3" t="s">
        <v>69</v>
      </c>
      <c r="T18" s="3" t="s">
        <v>17</v>
      </c>
    </row>
    <row r="19" spans="1:20" ht="16.5" customHeight="1">
      <c r="B19" s="3" t="s">
        <v>28</v>
      </c>
      <c r="C19" s="3">
        <v>40000</v>
      </c>
      <c r="E19" s="10" t="s">
        <v>27</v>
      </c>
      <c r="R19" s="3" t="s">
        <v>14</v>
      </c>
      <c r="S19" s="3" t="s">
        <v>58</v>
      </c>
    </row>
    <row r="20" spans="1:20" ht="16.5" customHeight="1">
      <c r="B20" s="14" t="s">
        <v>12</v>
      </c>
      <c r="C20" s="3">
        <v>40000</v>
      </c>
      <c r="E20" s="10" t="s">
        <v>27</v>
      </c>
      <c r="R20" s="3" t="s">
        <v>14</v>
      </c>
      <c r="S20" s="3" t="s">
        <v>58</v>
      </c>
    </row>
    <row r="21" spans="1:20" ht="16.5" customHeight="1">
      <c r="B21" s="3" t="s">
        <v>75</v>
      </c>
      <c r="C21" s="13">
        <f>6600*0.92+90000*0.92+8000*0.92</f>
        <v>96232</v>
      </c>
      <c r="E21" s="11"/>
      <c r="J21" s="3" t="s">
        <v>76</v>
      </c>
      <c r="M21" s="3" t="s">
        <v>5</v>
      </c>
      <c r="N21" s="3" t="s">
        <v>57</v>
      </c>
      <c r="O21" s="3">
        <v>1</v>
      </c>
      <c r="R21" s="3" t="s">
        <v>13</v>
      </c>
      <c r="S21" s="3" t="s">
        <v>60</v>
      </c>
    </row>
    <row r="22" spans="1:20" ht="16.5" customHeight="1">
      <c r="B22" s="3" t="s">
        <v>77</v>
      </c>
      <c r="C22" s="3">
        <v>8000</v>
      </c>
      <c r="E22" s="11"/>
      <c r="N22" s="3" t="s">
        <v>57</v>
      </c>
      <c r="O22" s="3">
        <v>1</v>
      </c>
      <c r="R22" s="3" t="s">
        <v>59</v>
      </c>
      <c r="S22" s="3" t="s">
        <v>69</v>
      </c>
    </row>
    <row r="23" spans="1:20" ht="16.5" customHeight="1">
      <c r="B23" s="3" t="s">
        <v>25</v>
      </c>
      <c r="C23" s="3">
        <v>250000</v>
      </c>
    </row>
    <row r="24" spans="1:20" ht="16.5" customHeight="1">
      <c r="B24" s="3" t="s">
        <v>19</v>
      </c>
      <c r="C24" s="3">
        <v>45000</v>
      </c>
    </row>
    <row r="25" spans="1:20" ht="16.5" customHeight="1">
      <c r="A25" s="3" t="s">
        <v>32</v>
      </c>
      <c r="B25" s="9" t="s">
        <v>29</v>
      </c>
      <c r="C25" s="3">
        <v>0</v>
      </c>
    </row>
    <row r="26" spans="1:20" ht="16.5" customHeight="1">
      <c r="A26" s="3" t="s">
        <v>31</v>
      </c>
      <c r="B26" s="9" t="s">
        <v>30</v>
      </c>
      <c r="C26" s="3">
        <v>0</v>
      </c>
      <c r="D26" s="3" t="s">
        <v>54</v>
      </c>
    </row>
    <row r="27" spans="1:20" ht="16.5" customHeight="1">
      <c r="B27" s="3" t="s">
        <v>18</v>
      </c>
      <c r="C27" s="3">
        <v>31350</v>
      </c>
    </row>
    <row r="28" spans="1:20" ht="16.5" customHeight="1">
      <c r="A28" s="3" t="s">
        <v>32</v>
      </c>
      <c r="B28" s="9" t="s">
        <v>33</v>
      </c>
      <c r="C28" s="3">
        <v>0</v>
      </c>
    </row>
    <row r="29" spans="1:20" ht="16.5" customHeight="1">
      <c r="B29" s="14" t="s">
        <v>81</v>
      </c>
      <c r="C29" s="3">
        <v>150000</v>
      </c>
      <c r="D29" s="3" t="s">
        <v>24</v>
      </c>
    </row>
    <row r="30" spans="1:20" ht="16.5" customHeight="1">
      <c r="B30" s="14" t="s">
        <v>85</v>
      </c>
      <c r="C30" s="3">
        <v>50000</v>
      </c>
    </row>
    <row r="31" spans="1:20" ht="16.5" customHeight="1"/>
    <row r="32" spans="1:20" ht="16.5" customHeight="1">
      <c r="B32" s="9" t="s">
        <v>78</v>
      </c>
      <c r="C32" s="3">
        <v>100000</v>
      </c>
    </row>
    <row r="33" spans="1:3" ht="16.5" customHeight="1">
      <c r="B33" s="9" t="s">
        <v>79</v>
      </c>
      <c r="C33" s="3">
        <v>150000</v>
      </c>
    </row>
    <row r="34" spans="1:3" ht="16.5" customHeight="1">
      <c r="B34" s="9" t="s">
        <v>20</v>
      </c>
      <c r="C34" s="3">
        <v>370000</v>
      </c>
    </row>
    <row r="35" spans="1:3" ht="16.5" customHeight="1"/>
    <row r="36" spans="1:3" ht="16.5" customHeight="1"/>
    <row r="37" spans="1:3" ht="16.5" customHeight="1">
      <c r="A37" s="3" t="s">
        <v>89</v>
      </c>
      <c r="B37" s="9" t="s">
        <v>33</v>
      </c>
      <c r="C37" s="3">
        <v>150000</v>
      </c>
    </row>
    <row r="38" spans="1:3" ht="16.5" customHeight="1">
      <c r="A38" s="3" t="s">
        <v>90</v>
      </c>
      <c r="B38" s="9" t="s">
        <v>82</v>
      </c>
      <c r="C38" s="3">
        <v>200000</v>
      </c>
    </row>
    <row r="39" spans="1:3" ht="16.5" customHeight="1">
      <c r="A39" s="3" t="s">
        <v>91</v>
      </c>
      <c r="B39" s="9" t="s">
        <v>29</v>
      </c>
      <c r="C39" s="3">
        <v>150000</v>
      </c>
    </row>
    <row r="40" spans="1:3" ht="16.5" customHeight="1">
      <c r="B40" s="9" t="s">
        <v>84</v>
      </c>
      <c r="C40" s="3">
        <v>50000</v>
      </c>
    </row>
    <row r="41" spans="1:3" ht="16.5" customHeight="1">
      <c r="B41" s="9" t="s">
        <v>30</v>
      </c>
      <c r="C41" s="3">
        <v>300000</v>
      </c>
    </row>
    <row r="42" spans="1:3" ht="16.5" customHeight="1"/>
    <row r="43" spans="1:3" ht="16.5" customHeight="1">
      <c r="B43" s="15" t="s">
        <v>83</v>
      </c>
      <c r="C43" s="15">
        <f>SUM(C2:C30)</f>
        <v>2978642</v>
      </c>
    </row>
    <row r="44" spans="1:3" ht="16.5" customHeight="1">
      <c r="B44" s="15" t="s">
        <v>86</v>
      </c>
      <c r="C44" s="15">
        <f>C33+C34</f>
        <v>520000</v>
      </c>
    </row>
    <row r="45" spans="1:3" ht="16.5" customHeight="1">
      <c r="B45" s="15" t="s">
        <v>87</v>
      </c>
      <c r="C45" s="15">
        <f>C32</f>
        <v>100000</v>
      </c>
    </row>
    <row r="46" spans="1:3" ht="16.5" customHeight="1">
      <c r="B46" s="15" t="s">
        <v>88</v>
      </c>
      <c r="C46" s="15">
        <f>SUM(C37:C41)</f>
        <v>850000</v>
      </c>
    </row>
    <row r="47" spans="1:3" ht="16.5" customHeight="1"/>
    <row r="48" spans="1:3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</sheetData>
  <phoneticPr fontId="1" type="noConversion"/>
  <dataValidations count="9">
    <dataValidation type="list" allowBlank="1" showErrorMessage="1" sqref="S1:S103" xr:uid="{00000000-0002-0000-0000-000000000000}">
      <formula1>"洽談中,草擬合約中,簽約中,已簽約"</formula1>
    </dataValidation>
    <dataValidation type="list" allowBlank="1" showErrorMessage="1" sqref="R1:R103" xr:uid="{00000000-0002-0000-0000-000001000000}">
      <formula1>"KIRK,美嬴,梅子,文斌,鄧霆,MING,維尼,小盛,欣潔,美克,KID,誠誠"</formula1>
    </dataValidation>
    <dataValidation type="list" allowBlank="1" showErrorMessage="1" sqref="D1:D103" xr:uid="{00000000-0002-0000-0000-000002000000}">
      <formula1>"白金級,黃金級,銀級,一般,純市集"</formula1>
    </dataValidation>
    <dataValidation type="list" allowBlank="1" showErrorMessage="1" sqref="G1:G103" xr:uid="{00000000-0002-0000-0000-000003000000}">
      <formula1>"A,B"</formula1>
    </dataValidation>
    <dataValidation type="list" allowBlank="1" showErrorMessage="1" sqref="J1:J103" xr:uid="{00000000-0002-0000-0000-000004000000}">
      <formula1>"市府起點左,市府起點右,凱道終點左,凱道終點右"</formula1>
    </dataValidation>
    <dataValidation type="list" allowBlank="1" showErrorMessage="1" sqref="E1:E103" xr:uid="{00000000-0002-0000-0000-000005000000}">
      <formula1>"紅,橙,黃,綠,藍,紫"</formula1>
    </dataValidation>
    <dataValidation type="list" allowBlank="1" showErrorMessage="1" sqref="I1:I103" xr:uid="{00000000-0002-0000-0000-000006000000}">
      <formula1>"市府起點,凱道終點"</formula1>
    </dataValidation>
    <dataValidation type="list" allowBlank="1" showErrorMessage="1" sqref="N1:N103" xr:uid="{00000000-0002-0000-0000-000007000000}">
      <formula1>"獨立棚,合併棚"</formula1>
    </dataValidation>
    <dataValidation type="list" allowBlank="1" showErrorMessage="1" sqref="F1:F103" xr:uid="{00000000-0002-0000-0000-000008000000}">
      <formula1>"A,B,C"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廠商別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HSIEN-HUI</dc:creator>
  <cp:lastModifiedBy>WANG HSIEN-HUI</cp:lastModifiedBy>
  <dcterms:created xsi:type="dcterms:W3CDTF">2019-07-15T01:05:53Z</dcterms:created>
  <dcterms:modified xsi:type="dcterms:W3CDTF">2019-08-14T05:38:39Z</dcterms:modified>
</cp:coreProperties>
</file>