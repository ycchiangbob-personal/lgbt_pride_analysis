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5"/>
    <sheet state="visible" name="統計圖表" sheetId="2" r:id="rId6"/>
    <sheet state="hidden" name="32收款對帳表" sheetId="3" r:id="rId7"/>
    <sheet state="visible" name="付款追蹤" sheetId="4" r:id="rId8"/>
    <sheet state="visible" name="合約管理" sheetId="5" r:id="rId9"/>
    <sheet state="visible" name="保證金管理" sheetId="6" r:id="rId10"/>
    <sheet state="visible" name="31業務統計總表" sheetId="7" r:id="rId11"/>
    <sheet state="visible" name="廠商聯絡資料" sheetId="8" r:id="rId12"/>
    <sheet state="visible" name="市集" sheetId="9" r:id="rId13"/>
    <sheet state="hidden" name="33收入總表" sheetId="10" r:id="rId14"/>
    <sheet state="hidden" name="321 贊助商收款明細" sheetId="11" r:id="rId15"/>
    <sheet state="hidden" name="322 帳戶收款明細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1">
      <text>
        <t xml:space="preserve">彩虹市集攤位
花車
皆須保證金
</t>
      </text>
    </comment>
    <comment authorId="0" ref="F2">
      <text>
        <t xml:space="preserve">會計填寫
</t>
      </text>
    </comment>
    <comment authorId="0" ref="G2">
      <text>
        <t xml:space="preserve">會計填寫
</t>
      </text>
    </comment>
    <comment authorId="0" ref="M2">
      <text>
        <t xml:space="preserve">會計填寫
</t>
      </text>
    </comment>
    <comment authorId="0" ref="N2">
      <text>
        <t xml:space="preserve">會計填寫</t>
      </text>
    </comment>
    <comment authorId="0" ref="S2">
      <text>
        <t xml:space="preserve">會計填寫
實體紀錄郵戳編號
電子紀錄email</t>
      </text>
    </comment>
    <comment authorId="0" ref="W2">
      <text>
        <t xml:space="preserve">會計協助確認
實體紀錄郵戳編號
電子紀錄email</t>
      </text>
    </comment>
    <comment authorId="0" ref="Y2">
      <text>
        <t xml:space="preserve">會計填寫
電子/掃描檔連結</t>
      </text>
    </comment>
    <comment authorId="0" ref="AB22">
      <text>
        <t xml:space="preserve">玉山銀行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1">
      <text>
        <t xml:space="preserve">6.5 面 Truss
(一座 8 廣告（各 1/6) x 6.5 座)</t>
      </text>
    </comment>
    <comment authorId="0" ref="E35">
      <text>
        <t xml:space="preserve">總時長5分鐘
因為轉播剩下 1 面 LED，轉播次數可能要變成兩倍 (40次)。
開場前、彩排時、散場時。</t>
      </text>
    </comment>
    <comment authorId="0" ref="B37">
      <text>
        <t xml:space="preserve">可以 0.5 為單位</t>
      </text>
    </comment>
    <comment authorId="0" ref="J64">
      <text>
        <t xml:space="preserve">不另收保證金</t>
      </text>
    </comment>
  </commentList>
</comments>
</file>

<file path=xl/sharedStrings.xml><?xml version="1.0" encoding="utf-8"?>
<sst xmlns="http://schemas.openxmlformats.org/spreadsheetml/2006/main" count="657" uniqueCount="380">
  <si>
    <t>#</t>
  </si>
  <si>
    <t>性質</t>
  </si>
  <si>
    <t>表單</t>
  </si>
  <si>
    <t>用途</t>
  </si>
  <si>
    <t>Remarks</t>
  </si>
  <si>
    <t>資料參考</t>
  </si>
  <si>
    <t>合作品項資料表</t>
  </si>
  <si>
    <t>稽核報表</t>
  </si>
  <si>
    <t>合作品項數量控管表</t>
  </si>
  <si>
    <t>品項數量保留多少給級別，多少可以單賣，多少正在洽談中。</t>
  </si>
  <si>
    <t>保留期限的設置以及自動放棄。</t>
  </si>
  <si>
    <t>資料輸入</t>
  </si>
  <si>
    <t>客戶資料表</t>
  </si>
  <si>
    <t>客戶合作品項資料表</t>
  </si>
  <si>
    <t>輸入與管理級別各區域選取數量資料</t>
  </si>
  <si>
    <t>價格計算、合約產生，級別區域項目數量檢核。</t>
  </si>
  <si>
    <t>候補名單</t>
  </si>
  <si>
    <t>合作狀態表</t>
  </si>
  <si>
    <t>洽談、簽約、收款</t>
  </si>
  <si>
    <t>品項執行狀態表</t>
  </si>
  <si>
    <t>階段</t>
  </si>
  <si>
    <t>任務</t>
  </si>
  <si>
    <t>說明</t>
  </si>
  <si>
    <t>備註</t>
  </si>
  <si>
    <t>洽談</t>
  </si>
  <si>
    <t>[業務] 與贊助商接洽。</t>
  </si>
  <si>
    <t>Booking 原訂合作品項。</t>
  </si>
  <si>
    <t>確認品項</t>
  </si>
  <si>
    <t>[業務] 與贊助商確認合作內容。</t>
  </si>
  <si>
    <t>確認後寄 email 給客戶 cc 給 bc@。</t>
  </si>
  <si>
    <t>出合約</t>
  </si>
  <si>
    <t>[PM] 由 bc.pm 製作合約，業務寄出。</t>
  </si>
  <si>
    <t>追合約</t>
  </si>
  <si>
    <t>[PM] 第一次提醒：一個月</t>
  </si>
  <si>
    <t>每一週提醒一次，提醒兩次還沒交就到商合群組確認繼續等還是釋出。</t>
  </si>
  <si>
    <t>釋出原訂合作品項。</t>
  </si>
  <si>
    <t>合約用印</t>
  </si>
  <si>
    <t>[秘書處] 雙方合約用印</t>
  </si>
  <si>
    <t>合約存檔</t>
  </si>
  <si>
    <t>[秘書處] 群掃描上傳、歸檔</t>
  </si>
  <si>
    <t>更新合作狀態</t>
  </si>
  <si>
    <t>追蹤付款狀態</t>
  </si>
  <si>
    <t>[PM] 追蹤贊助商付款狀態。</t>
  </si>
  <si>
    <t>確認付款後更新付款狀態。</t>
  </si>
  <si>
    <t>追蹤後續品項執行</t>
  </si>
  <si>
    <t>[業務] 追蹤合作品項執行狀態。</t>
  </si>
  <si>
    <t>確認執行後更新執行狀態。</t>
  </si>
  <si>
    <t>結案</t>
  </si>
  <si>
    <t>確認完成後更新合作狀態。</t>
  </si>
  <si>
    <t>贊助商數量與金額統計</t>
  </si>
  <si>
    <t>合約狀態統計</t>
  </si>
  <si>
    <t>付款狀態統計</t>
  </si>
  <si>
    <t>友善飯店專案</t>
  </si>
  <si>
    <t>彩虹市集專案</t>
  </si>
  <si>
    <t>級別</t>
  </si>
  <si>
    <t>贊助商數量</t>
  </si>
  <si>
    <t>合約金額</t>
  </si>
  <si>
    <t>現金金額</t>
  </si>
  <si>
    <t>商品金額</t>
  </si>
  <si>
    <t>項目</t>
  </si>
  <si>
    <t>專案</t>
  </si>
  <si>
    <t>白金級</t>
  </si>
  <si>
    <t>洽談中</t>
  </si>
  <si>
    <t>待付款</t>
  </si>
  <si>
    <t>A</t>
  </si>
  <si>
    <t>黃金級</t>
  </si>
  <si>
    <t>製作中</t>
  </si>
  <si>
    <t>已付款</t>
  </si>
  <si>
    <t>B</t>
  </si>
  <si>
    <t>鈦金級</t>
  </si>
  <si>
    <t>待簽回</t>
  </si>
  <si>
    <t>未標記</t>
  </si>
  <si>
    <t>C</t>
  </si>
  <si>
    <t>銀級</t>
  </si>
  <si>
    <t>已簽回</t>
  </si>
  <si>
    <t>總計</t>
  </si>
  <si>
    <t>銅級</t>
  </si>
  <si>
    <t>未填寫</t>
  </si>
  <si>
    <t>花車</t>
  </si>
  <si>
    <t>非市集已付款金額</t>
  </si>
  <si>
    <t>單買</t>
  </si>
  <si>
    <t>市集已付款金額</t>
  </si>
  <si>
    <t>其他</t>
  </si>
  <si>
    <t>總計已付款金額</t>
  </si>
  <si>
    <t>友善飯店</t>
  </si>
  <si>
    <t>彩虹市集</t>
  </si>
  <si>
    <t>商合會計對帳區</t>
  </si>
  <si>
    <t>廠商匯款資訊填寫資料區</t>
  </si>
  <si>
    <t>廠商財務憑證資訊區</t>
  </si>
  <si>
    <t>廠商合約資訊填寫資料區</t>
  </si>
  <si>
    <t>保證金退款填寫資料區</t>
  </si>
  <si>
    <t>贊助商/單位名稱</t>
  </si>
  <si>
    <t>聯絡人</t>
  </si>
  <si>
    <t>商合組窗口</t>
  </si>
  <si>
    <t>業務屬性</t>
  </si>
  <si>
    <t>帳戶</t>
  </si>
  <si>
    <t>日期</t>
  </si>
  <si>
    <t>金額</t>
  </si>
  <si>
    <t>預計匯款日</t>
  </si>
  <si>
    <t>預計匯款金額</t>
  </si>
  <si>
    <t>匯款帳號末五碼</t>
  </si>
  <si>
    <t>憑證類型</t>
  </si>
  <si>
    <t>憑證編號</t>
  </si>
  <si>
    <t>憑證日期</t>
  </si>
  <si>
    <t>發票金額</t>
  </si>
  <si>
    <t>品名</t>
  </si>
  <si>
    <t>憑證抬頭</t>
  </si>
  <si>
    <t>憑證統一編號</t>
  </si>
  <si>
    <t>憑證寄出</t>
  </si>
  <si>
    <t>合約收件人</t>
  </si>
  <si>
    <t>合約收件人電話</t>
  </si>
  <si>
    <t>合約收件人地址</t>
  </si>
  <si>
    <t>合約寄出</t>
  </si>
  <si>
    <t>退款日期</t>
  </si>
  <si>
    <t>退款金額</t>
  </si>
  <si>
    <t>退款銀行代碼</t>
  </si>
  <si>
    <t>退款帳號</t>
  </si>
  <si>
    <t>退款戶名</t>
  </si>
  <si>
    <t>退款備註</t>
  </si>
  <si>
    <t>AAA公司</t>
  </si>
  <si>
    <t>BBBB窗口</t>
  </si>
  <si>
    <t>CCCC窗口</t>
  </si>
  <si>
    <t>NGO花車</t>
  </si>
  <si>
    <t>MM/DD</t>
  </si>
  <si>
    <t>$$$$$</t>
  </si>
  <si>
    <t>DDDDD</t>
  </si>
  <si>
    <t>發票</t>
  </si>
  <si>
    <t>XXXXX1</t>
  </si>
  <si>
    <t>YY/MM/DD</t>
  </si>
  <si>
    <t>XXX執行</t>
  </si>
  <si>
    <t>39759641</t>
  </si>
  <si>
    <t>FFFFFF@gmail.com</t>
  </si>
  <si>
    <t>09TT-TTTTTT</t>
  </si>
  <si>
    <t>EE市EE區EE路EE號EE樓</t>
  </si>
  <si>
    <t>docs.google.com</t>
  </si>
  <si>
    <t>LesPark</t>
  </si>
  <si>
    <t>雪靖</t>
  </si>
  <si>
    <t>深紅</t>
  </si>
  <si>
    <t>各類廣告</t>
  </si>
  <si>
    <t>台幣帳戶</t>
  </si>
  <si>
    <t>v</t>
  </si>
  <si>
    <t>01324</t>
  </si>
  <si>
    <t>RJ17391754</t>
  </si>
  <si>
    <t>遊行贊助執行</t>
  </si>
  <si>
    <t xml:space="preserve">貝里斯商艾虎網路科技有限公司台灣分公司 </t>
  </si>
  <si>
    <t>24811205</t>
  </si>
  <si>
    <t>tttishu95@taiwanpride.lgbt</t>
  </si>
  <si>
    <t>待製作</t>
  </si>
  <si>
    <t>未付</t>
  </si>
  <si>
    <t>已付</t>
  </si>
  <si>
    <t>已退</t>
  </si>
  <si>
    <t>01_商業合作手冊</t>
  </si>
  <si>
    <t>單購價格</t>
  </si>
  <si>
    <t>級別限定</t>
  </si>
  <si>
    <t>最大釋出</t>
  </si>
  <si>
    <t>可售
總數量</t>
  </si>
  <si>
    <t>已售出
數量</t>
  </si>
  <si>
    <t>市集</t>
  </si>
  <si>
    <t>品項 \ 贊助商</t>
  </si>
  <si>
    <t>波士頓科技</t>
  </si>
  <si>
    <t>諾億保經</t>
  </si>
  <si>
    <t>台灣美光</t>
  </si>
  <si>
    <t>JINS</t>
  </si>
  <si>
    <t>Google</t>
  </si>
  <si>
    <t>LifeWonders</t>
  </si>
  <si>
    <t>Gstar</t>
  </si>
  <si>
    <t>聯合利華</t>
  </si>
  <si>
    <t xml:space="preserve">Johnnie Walker </t>
  </si>
  <si>
    <t>Tapestry</t>
  </si>
  <si>
    <t>臺虎精釀</t>
  </si>
  <si>
    <t>Lespark</t>
  </si>
  <si>
    <t>吉利亞醫藥</t>
  </si>
  <si>
    <t>AZ</t>
  </si>
  <si>
    <t>GSK</t>
  </si>
  <si>
    <t>必勝客</t>
  </si>
  <si>
    <t>犀牛盾</t>
  </si>
  <si>
    <t>默沙東</t>
  </si>
  <si>
    <t>TFC 
臺北婦產科診所</t>
  </si>
  <si>
    <t>Hyve</t>
  </si>
  <si>
    <t>疾管署</t>
  </si>
  <si>
    <t>Tstudio</t>
  </si>
  <si>
    <t>彩虹酷兒</t>
  </si>
  <si>
    <t>渣打銀行</t>
  </si>
  <si>
    <t>VERVE</t>
  </si>
  <si>
    <t>IM Adult</t>
  </si>
  <si>
    <t>GAP</t>
  </si>
  <si>
    <t>Uber
Eats</t>
  </si>
  <si>
    <t>NIKE</t>
  </si>
  <si>
    <t>TSMC</t>
  </si>
  <si>
    <t>FNF</t>
  </si>
  <si>
    <t>可口可樂</t>
  </si>
  <si>
    <t>新思科技</t>
  </si>
  <si>
    <t>愛群婦產科</t>
  </si>
  <si>
    <t>辻利茶舖</t>
  </si>
  <si>
    <t>Sagami</t>
  </si>
  <si>
    <t>台灣百健</t>
  </si>
  <si>
    <t>華納兄弟</t>
  </si>
  <si>
    <t>TENGA</t>
  </si>
  <si>
    <t>一口純淨</t>
  </si>
  <si>
    <t>Precision
Biotics</t>
  </si>
  <si>
    <t>M.A.C</t>
  </si>
  <si>
    <t>聯名商品</t>
  </si>
  <si>
    <t>環球影城</t>
  </si>
  <si>
    <t>國泰萬怡</t>
  </si>
  <si>
    <t>和逸飯店</t>
  </si>
  <si>
    <t>大直英迪格</t>
  </si>
  <si>
    <t>慕軒飯店</t>
  </si>
  <si>
    <t>永安棧</t>
  </si>
  <si>
    <t>北門世民</t>
  </si>
  <si>
    <t>amba</t>
  </si>
  <si>
    <t>君悅飯店</t>
  </si>
  <si>
    <t>中山雅樂軒</t>
  </si>
  <si>
    <t>希爾頓逸林</t>
  </si>
  <si>
    <t>南港老爺</t>
  </si>
  <si>
    <t>小鹿文娛</t>
  </si>
  <si>
    <t>大安伊普索</t>
  </si>
  <si>
    <t>西門大飯店</t>
  </si>
  <si>
    <t>金普頓大安</t>
  </si>
  <si>
    <t>產業</t>
  </si>
  <si>
    <t>P: 白金、G: 黃金、
T: 鈦金、S: 銀級、B: 銅級</t>
  </si>
  <si>
    <t>醫材</t>
  </si>
  <si>
    <t>金融</t>
  </si>
  <si>
    <t>科技</t>
  </si>
  <si>
    <t>生活</t>
  </si>
  <si>
    <t>遊戲</t>
  </si>
  <si>
    <t>夜店</t>
  </si>
  <si>
    <t>FMCG</t>
  </si>
  <si>
    <t>酒商</t>
  </si>
  <si>
    <t>精品</t>
  </si>
  <si>
    <t>醫藥</t>
  </si>
  <si>
    <t>速食</t>
  </si>
  <si>
    <t>醫療</t>
  </si>
  <si>
    <t>政府</t>
  </si>
  <si>
    <t>NGO</t>
  </si>
  <si>
    <t>服飾</t>
  </si>
  <si>
    <t>成人</t>
  </si>
  <si>
    <t>運動</t>
  </si>
  <si>
    <t>基金會</t>
  </si>
  <si>
    <t>食品</t>
  </si>
  <si>
    <t>影視</t>
  </si>
  <si>
    <t>彩妝</t>
  </si>
  <si>
    <t>業務窗口</t>
  </si>
  <si>
    <t>群、Lisa</t>
  </si>
  <si>
    <t>群</t>
  </si>
  <si>
    <t>群、Alonso</t>
  </si>
  <si>
    <t>群、Timmy</t>
  </si>
  <si>
    <t>Jerry</t>
  </si>
  <si>
    <t>Alonso</t>
  </si>
  <si>
    <t>達達</t>
  </si>
  <si>
    <t>Joyce</t>
  </si>
  <si>
    <t>踢米</t>
  </si>
  <si>
    <t>小賴</t>
  </si>
  <si>
    <t>Scott</t>
  </si>
  <si>
    <t>級
別
專
屬
項
目</t>
  </si>
  <si>
    <t xml:space="preserve">有條件競業排他條款  </t>
  </si>
  <si>
    <t>--</t>
  </si>
  <si>
    <t>P、G</t>
  </si>
  <si>
    <t>行前記者會之友善企業發言權</t>
  </si>
  <si>
    <t>P</t>
  </si>
  <si>
    <t>行前記者會之會後媒體採訪權</t>
  </si>
  <si>
    <t>行前記者會之友善發言影片</t>
  </si>
  <si>
    <t>行前記者會之新聞稿置入</t>
  </si>
  <si>
    <t>行前記者會之新聞稿企業名置入</t>
  </si>
  <si>
    <t>P、G、T</t>
  </si>
  <si>
    <t>活動當日舞台致詞權</t>
  </si>
  <si>
    <t>活動當日媒體受訪權</t>
  </si>
  <si>
    <t>活動當日主持人唱名</t>
  </si>
  <si>
    <t>活動現場 LOGO 曝光</t>
  </si>
  <si>
    <t>P、G、T、S</t>
  </si>
  <si>
    <t>線上 LOGO 曝光</t>
  </si>
  <si>
    <t>P、G、T、S、B</t>
  </si>
  <si>
    <t>主視覺使用權</t>
  </si>
  <si>
    <t>S
區</t>
  </si>
  <si>
    <t>首位商業遊行花車路權</t>
  </si>
  <si>
    <t>企業品牌空間使用權 A 位</t>
  </si>
  <si>
    <t>舞台音響看板露出</t>
  </si>
  <si>
    <t>轉播螢幕看板露出</t>
  </si>
  <si>
    <t>活動打卡牆（大）</t>
  </si>
  <si>
    <t>活動打卡牆（中）</t>
  </si>
  <si>
    <t>A
區</t>
  </si>
  <si>
    <t>一般商業遊行花車路權</t>
  </si>
  <si>
    <t>企業品牌空間使用 B 位</t>
  </si>
  <si>
    <t>活動打卡牆（小）</t>
  </si>
  <si>
    <t>B
區</t>
  </si>
  <si>
    <t>官方網站企業版位露出 B 位，每廠商限選1</t>
  </si>
  <si>
    <t>10 月官方 FB 貼文置入合作</t>
  </si>
  <si>
    <t>10 月官方 IG 貼文置入合作</t>
  </si>
  <si>
    <t>10 月官方 IG Reels 置入合作</t>
  </si>
  <si>
    <t>C
區</t>
  </si>
  <si>
    <t>活動現場看板露出</t>
  </si>
  <si>
    <t>11 月官方 FB 貼文置入合作</t>
  </si>
  <si>
    <t>11 月官方 IG 貼文置入合作</t>
  </si>
  <si>
    <t>11 月官方 IG Reels 置入合作</t>
  </si>
  <si>
    <t>D
區</t>
  </si>
  <si>
    <t>轉播螢幕之輪播影片置入（限選 2）</t>
  </si>
  <si>
    <t>活動手冊 A6 版位露出（限選 1）</t>
  </si>
  <si>
    <t>彩虹市集 - 獨立棚（限選 2）</t>
  </si>
  <si>
    <t>FB+IG 社群限時動態置入合作（10/18-10/23）</t>
  </si>
  <si>
    <t>E
區</t>
  </si>
  <si>
    <t>官方網站企業版位露出 C 位</t>
  </si>
  <si>
    <t>9 月官方 FB 貼文置入合作</t>
  </si>
  <si>
    <t>9 月官方 IG 貼文置入合作</t>
  </si>
  <si>
    <t>9 月官方 IG Reels 置入合作</t>
  </si>
  <si>
    <t>FB+IG 社群限時動態置入合作
（9/29-10/17、10/27-10/31）</t>
  </si>
  <si>
    <t>飯店時段：官方 FB 貼文置入合作</t>
  </si>
  <si>
    <t>飯店時段：官方 IG 貼文置入合作</t>
  </si>
  <si>
    <t>協會Logo影像授權</t>
  </si>
  <si>
    <t>年度主題素材授權</t>
  </si>
  <si>
    <t>年度主題素材授權（級別廠商加購）</t>
  </si>
  <si>
    <t>級別品項確認完畢</t>
  </si>
  <si>
    <t>各級別數量確認-S區（白金：4、黃金：2）</t>
  </si>
  <si>
    <t>各級別數量確認-A區（鈦金：1、銀：1）</t>
  </si>
  <si>
    <t>各級別數量確認-B區（白金：4、黃金：4、鈦金：4、銀：2、銅：2）</t>
  </si>
  <si>
    <t>各級別數量確認-C區（白金：3、黃金：3、鈦金：3、銀：3、銅：1）</t>
  </si>
  <si>
    <t>各級別數量確認-D區（白金：5、黃金：5、鈦金：4、銀：3、銅：2）</t>
  </si>
  <si>
    <t>各級別數量確認-E區（白金：3、黃金：3、鈦金：3、銀：3、銅：2）</t>
  </si>
  <si>
    <t>發文日程已排定</t>
  </si>
  <si>
    <t>現金</t>
  </si>
  <si>
    <t>商品</t>
  </si>
  <si>
    <t>保證金</t>
  </si>
  <si>
    <t>合約</t>
  </si>
  <si>
    <t>群更新</t>
  </si>
  <si>
    <t>2. 確認中</t>
  </si>
  <si>
    <t>3. 已簽回</t>
  </si>
  <si>
    <t>付款</t>
  </si>
  <si>
    <t>1. 已付款</t>
  </si>
  <si>
    <t>0. 待付款</t>
  </si>
  <si>
    <t>1. 已交付</t>
  </si>
  <si>
    <t>花車、市集、品牌空間</t>
  </si>
  <si>
    <t>0. 無</t>
  </si>
  <si>
    <t>2. 已付</t>
  </si>
  <si>
    <t>3. 已退</t>
  </si>
  <si>
    <t>廠商預計回覆日</t>
  </si>
  <si>
    <t>合約或帳款的更新日</t>
  </si>
  <si>
    <t>先給錢了</t>
  </si>
  <si>
    <t>小組長</t>
  </si>
  <si>
    <t>廠商</t>
  </si>
  <si>
    <t>廠商聯絡人</t>
  </si>
  <si>
    <t>廠商 email</t>
  </si>
  <si>
    <t>Vanessa</t>
  </si>
  <si>
    <t>Vanessa.Kuo@bsci.com</t>
  </si>
  <si>
    <t>款</t>
  </si>
  <si>
    <t>項</t>
  </si>
  <si>
    <t>實際資訊</t>
  </si>
  <si>
    <t>預估資訊</t>
  </si>
  <si>
    <t>對照資訊</t>
  </si>
  <si>
    <t>廠商名稱</t>
  </si>
  <si>
    <t>實際數量</t>
  </si>
  <si>
    <t>早鳥價</t>
  </si>
  <si>
    <t>原價</t>
  </si>
  <si>
    <t>商業組窗口</t>
  </si>
  <si>
    <t>方案一
數量</t>
  </si>
  <si>
    <t>方案二
數量</t>
  </si>
  <si>
    <t>方案三
數量</t>
  </si>
  <si>
    <t>方案三
廠商</t>
  </si>
  <si>
    <t>方案一
金額</t>
  </si>
  <si>
    <t>方案二
金額</t>
  </si>
  <si>
    <t>方案三
金額</t>
  </si>
  <si>
    <t>數量</t>
  </si>
  <si>
    <t>GILEAD</t>
  </si>
  <si>
    <t>DIKE</t>
  </si>
  <si>
    <t>ASML</t>
  </si>
  <si>
    <t>白銀級</t>
  </si>
  <si>
    <t>APPLE</t>
  </si>
  <si>
    <t>商業車</t>
  </si>
  <si>
    <t>遊行花車權利-商業車首位</t>
  </si>
  <si>
    <t>遊行花車權利-商業車</t>
  </si>
  <si>
    <t>廣告</t>
  </si>
  <si>
    <t>實體廣告</t>
  </si>
  <si>
    <t>線上廣告</t>
  </si>
  <si>
    <t>企業品牌空間使用權</t>
  </si>
  <si>
    <t>20週年專案</t>
  </si>
  <si>
    <t>獨立棚</t>
  </si>
  <si>
    <t>合併棚</t>
  </si>
  <si>
    <t>NGO棚</t>
  </si>
  <si>
    <t>類型</t>
  </si>
  <si>
    <t>贊助商名稱</t>
  </si>
  <si>
    <t>預期收款日</t>
  </si>
  <si>
    <t>實際收款日</t>
  </si>
  <si>
    <t>贊助商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</si>
</sst>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[$NT$-404]#,##0"/>
    <numFmt numFmtId="165" formatCode="yyyy&quot;/&quot;mm&quot;/&quot;dd"/>
    <numFmt numFmtId="166" formatCode="[$$]#,##0"/>
    <numFmt numFmtId="167" formatCode="yyyy&quot;/&quot;m&quot;/&quot;d"/>
    <numFmt numFmtId="168" formatCode="mm/dd"/>
    <numFmt numFmtId="169" formatCode="yyyy/mm/dd"/>
    <numFmt numFmtId="170" formatCode="&quot;NT$&quot;#,##0"/>
    <numFmt numFmtId="171" formatCode="yyyy/m/d"/>
    <numFmt numFmtId="172" formatCode="m/d"/>
    <numFmt numFmtId="173" formatCode="[$NT$-404]#,##0.00"/>
    <numFmt numFmtId="174" formatCode="&quot;$&quot;#,##0"/>
    <numFmt numFmtId="175" formatCode="#,##0;(#,##0)"/>
    <numFmt numFmtId="176" formatCode="[$$]#,##0.00"/>
  </numFmts>
  <fonts count="60">
    <font>
      <sz val="10.0"/>
      <color rgb="FF000000"/>
      <name val="Arial"/>
      <scheme val="minor"/>
    </font>
    <font>
      <color rgb="FFFFFFFF"/>
      <name val="Noto Sans TC"/>
    </font>
    <font>
      <sz val="9.0"/>
      <color theme="1"/>
      <name val="Noto Sans TC"/>
    </font>
    <font>
      <sz val="9.0"/>
      <color rgb="FFCC0000"/>
      <name val="Noto Sans TC"/>
    </font>
    <font>
      <sz val="9.0"/>
      <color rgb="FFFFFFFF"/>
      <name val="Noto Sans TC"/>
    </font>
    <font>
      <color theme="1"/>
      <name val="Arial"/>
      <scheme val="minor"/>
    </font>
    <font>
      <sz val="9.0"/>
      <color rgb="FFFFFFFF"/>
      <name val="Nunito"/>
    </font>
    <font>
      <sz val="9.0"/>
      <color theme="1"/>
      <name val="Nunito"/>
    </font>
    <font>
      <color rgb="FFFFFFFF"/>
      <name val="Arial"/>
      <scheme val="minor"/>
    </font>
    <font>
      <sz val="9.0"/>
      <color rgb="FF000000"/>
      <name val="Nunito"/>
    </font>
    <font>
      <b/>
      <sz val="11.0"/>
      <color theme="1"/>
      <name val="Nunito"/>
    </font>
    <font>
      <sz val="9.0"/>
      <color rgb="FFFF0000"/>
      <name val="Nunito"/>
    </font>
    <font>
      <sz val="9.0"/>
      <color theme="5"/>
      <name val="Nunito"/>
    </font>
    <font>
      <u/>
      <sz val="9.0"/>
      <color rgb="FF1155CC"/>
      <name val="Nunito"/>
    </font>
    <font>
      <color rgb="FF222222"/>
      <name val="Nunito"/>
    </font>
    <font>
      <color theme="1"/>
      <name val="Nunito"/>
    </font>
    <font>
      <b/>
      <sz val="9.0"/>
      <color rgb="FFFF0000"/>
      <name val="Nunito"/>
    </font>
    <font>
      <color rgb="FF444444"/>
      <name val="Nunito"/>
    </font>
    <font>
      <sz val="12.0"/>
      <color rgb="FF351C75"/>
      <name val="Nunito"/>
    </font>
    <font>
      <color rgb="FF000000"/>
      <name val="Nunito"/>
    </font>
    <font>
      <sz val="11.0"/>
      <color rgb="FF5E5E5E"/>
      <name val="Nunito"/>
    </font>
    <font>
      <sz val="11.0"/>
      <color rgb="FF4D5156"/>
      <name val="Nunito"/>
    </font>
    <font>
      <sz val="9.0"/>
      <color rgb="FF444444"/>
      <name val="Nunito"/>
    </font>
    <font>
      <sz val="9.0"/>
      <color rgb="FF222222"/>
      <name val="Nunito"/>
    </font>
    <font>
      <sz val="9.0"/>
      <color rgb="FF215A6C"/>
      <name val="Nunito"/>
    </font>
    <font>
      <color theme="1"/>
      <name val="Arial"/>
    </font>
    <font>
      <sz val="10.0"/>
      <color rgb="FF000000"/>
      <name val="Source Sans Pro"/>
    </font>
    <font>
      <sz val="10.0"/>
      <color rgb="FFF3F3F3"/>
      <name val="Nunito"/>
    </font>
    <font>
      <sz val="10.0"/>
      <color theme="1"/>
      <name val="Nunito"/>
    </font>
    <font>
      <u/>
      <sz val="9.0"/>
      <color theme="1"/>
      <name val="Nunito"/>
    </font>
    <font/>
    <font>
      <b/>
      <sz val="9.0"/>
      <color theme="1"/>
      <name val="Nunito"/>
    </font>
    <font>
      <sz val="8.0"/>
      <color theme="1"/>
      <name val="Nunito"/>
    </font>
    <font>
      <b/>
      <sz val="8.0"/>
      <color theme="1"/>
      <name val="Nunito"/>
    </font>
    <font>
      <b/>
      <sz val="8.0"/>
      <color rgb="FF000000"/>
      <name val="Nunito"/>
    </font>
    <font>
      <b/>
      <u/>
      <sz val="8.0"/>
      <color rgb="FF0000FF"/>
      <name val="Nunito"/>
    </font>
    <font>
      <b/>
      <sz val="9.0"/>
      <color rgb="FFFFFFFF"/>
      <name val="Nunito"/>
    </font>
    <font>
      <b/>
      <sz val="9.0"/>
      <color rgb="FFCC4125"/>
      <name val="Nunito"/>
    </font>
    <font>
      <b/>
      <strike/>
      <sz val="9.0"/>
      <color theme="1"/>
      <name val="Nunito"/>
    </font>
    <font>
      <b/>
      <sz val="9.0"/>
      <color rgb="FF000000"/>
      <name val="Nunito"/>
    </font>
    <font>
      <b/>
      <sz val="8.0"/>
      <color rgb="FFFF0000"/>
      <name val="Nunito"/>
    </font>
    <font>
      <b/>
      <sz val="9.0"/>
      <color rgb="FFA61C00"/>
      <name val="Nunito"/>
    </font>
    <font>
      <sz val="11.0"/>
      <color theme="1"/>
      <name val="Source Sans Pro"/>
    </font>
    <font>
      <color rgb="FFFFFFFF"/>
      <name val="Nunito"/>
    </font>
    <font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&quot;Microsoft JhengHei&quot;"/>
    </font>
    <font>
      <sz val="10.0"/>
      <color theme="0"/>
      <name val="Arial"/>
    </font>
    <font>
      <sz val="10.0"/>
      <color theme="0"/>
      <name val="&quot;Microsoft JhengHei&quot;"/>
    </font>
    <font>
      <sz val="10.0"/>
      <color rgb="FF000000"/>
      <name val="Arial"/>
    </font>
    <font>
      <sz val="10.0"/>
      <color rgb="FF000000"/>
      <name val="&quot;Microsoft JhengHei&quot;"/>
    </font>
    <font>
      <color rgb="FF000000"/>
      <name val="Roboto"/>
    </font>
    <font>
      <sz val="10.0"/>
      <color rgb="FFFFFFFF"/>
      <name val="&quot;Microsoft JhengHei&quot;"/>
    </font>
    <font>
      <sz val="11.0"/>
      <color rgb="FFFFFFFF"/>
      <name val="&quot;Microsoft JhengHei&quot;"/>
    </font>
    <font>
      <sz val="10.0"/>
      <color rgb="FFFFFFFF"/>
      <name val="Arial"/>
    </font>
    <font>
      <color rgb="FF000000"/>
      <name val="&quot;Microsoft JhengHei&quot;"/>
    </font>
    <font>
      <b/>
      <sz val="10.0"/>
      <color theme="1"/>
      <name val="&quot;Microsoft JhengHei&quot;"/>
    </font>
    <font>
      <sz val="10.0"/>
      <color rgb="FF9900FF"/>
      <name val="&quot;Microsoft JhengHei&quot;"/>
    </font>
    <font>
      <sz val="10.0"/>
      <color rgb="FFFF0000"/>
      <name val="&quot;Microsoft JhengHei&quot;"/>
    </font>
    <font>
      <b/>
      <sz val="10.0"/>
      <color rgb="FFFF0000"/>
      <name val="&quot;Microsoft JhengHei&quot;"/>
    </font>
  </fonts>
  <fills count="43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E69138"/>
        <bgColor rgb="FFE69138"/>
      </patternFill>
    </fill>
    <fill>
      <patternFill patternType="solid">
        <fgColor rgb="FF38761D"/>
        <bgColor rgb="FF38761D"/>
      </patternFill>
    </fill>
    <fill>
      <patternFill patternType="solid">
        <fgColor rgb="FF45818E"/>
        <bgColor rgb="FF45818E"/>
      </patternFill>
    </fill>
    <fill>
      <patternFill patternType="solid">
        <fgColor rgb="FFB45F06"/>
        <bgColor rgb="FFB45F06"/>
      </patternFill>
    </fill>
    <fill>
      <patternFill patternType="solid">
        <fgColor rgb="FFCCA677"/>
        <bgColor rgb="FFCCA677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  <fill>
      <patternFill patternType="solid">
        <fgColor rgb="FF9FC5E8"/>
        <bgColor rgb="FF9FC5E8"/>
      </patternFill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  <fill>
      <patternFill patternType="solid">
        <fgColor rgb="FFE6D3BA"/>
        <bgColor rgb="FFE6D3BA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BF9000"/>
        <bgColor rgb="FFBF9000"/>
      </patternFill>
    </fill>
    <fill>
      <patternFill patternType="solid">
        <fgColor rgb="FF674EA7"/>
        <bgColor rgb="FF674EA7"/>
      </patternFill>
    </fill>
    <fill>
      <patternFill patternType="solid">
        <fgColor rgb="FFEFEFEF"/>
        <bgColor rgb="FFEFEFEF"/>
      </patternFill>
    </fill>
    <fill>
      <patternFill patternType="solid">
        <fgColor rgb="FFFFE6DD"/>
        <bgColor rgb="FFFFE6DD"/>
      </patternFill>
    </fill>
    <fill>
      <patternFill patternType="solid">
        <fgColor rgb="FF9FD5B5"/>
        <bgColor rgb="FF9FD5B5"/>
      </patternFill>
    </fill>
    <fill>
      <patternFill patternType="solid">
        <fgColor rgb="FF8ED2F5"/>
        <bgColor rgb="FF8ED2F5"/>
      </patternFill>
    </fill>
    <fill>
      <patternFill patternType="solid">
        <fgColor rgb="FFD5A6BD"/>
        <bgColor rgb="FFD5A6BD"/>
      </patternFill>
    </fill>
    <fill>
      <patternFill patternType="solid">
        <fgColor rgb="FFC2B8DD"/>
        <bgColor rgb="FFC2B8DD"/>
      </patternFill>
    </fill>
    <fill>
      <patternFill patternType="solid">
        <fgColor rgb="FFA64D79"/>
        <bgColor rgb="FFA64D79"/>
      </patternFill>
    </fill>
    <fill>
      <patternFill patternType="solid">
        <fgColor rgb="FFC9DAF8"/>
        <bgColor rgb="FFC9DAF8"/>
      </patternFill>
    </fill>
    <fill>
      <patternFill patternType="solid">
        <fgColor rgb="FFFFCCBC"/>
        <bgColor rgb="FFFFCCBC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274E13"/>
        <bgColor rgb="FF274E13"/>
      </patternFill>
    </fill>
    <fill>
      <patternFill patternType="solid">
        <fgColor rgb="FF0B5394"/>
        <bgColor rgb="FF0B5394"/>
      </patternFill>
    </fill>
    <fill>
      <patternFill patternType="solid">
        <fgColor rgb="FFCCCCCC"/>
        <bgColor rgb="FFCCCCCC"/>
      </patternFill>
    </fill>
  </fills>
  <borders count="97">
    <border/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medium">
        <color rgb="FF000000"/>
      </right>
      <top style="thin">
        <color rgb="FF666666"/>
      </top>
      <bottom style="thin">
        <color rgb="FF666666"/>
      </bottom>
    </border>
    <border>
      <left style="medium">
        <color rgb="FF000000"/>
      </left>
      <right style="medium">
        <color rgb="FF000000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top style="thin">
        <color rgb="FF666666"/>
      </top>
      <bottom style="thick">
        <color rgb="FF434343"/>
      </bottom>
    </border>
    <border>
      <right style="thin">
        <color rgb="FF666666"/>
      </right>
      <top style="thin">
        <color rgb="FF666666"/>
      </top>
      <bottom style="thick">
        <color rgb="FF434343"/>
      </bottom>
    </border>
    <border>
      <left style="thin">
        <color rgb="FF666666"/>
      </lef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666666"/>
      </left>
      <right style="medium">
        <color rgb="FF000000"/>
      </right>
      <top style="thin">
        <color rgb="FF666666"/>
      </top>
      <bottom style="thick">
        <color rgb="FF434343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ck">
        <color rgb="FF434343"/>
      </bottom>
    </border>
    <border>
      <left style="medium">
        <color rgb="FF000000"/>
      </left>
      <right style="medium">
        <color rgb="FF000000"/>
      </right>
      <top style="thin">
        <color rgb="FF666666"/>
      </top>
      <bottom style="thick">
        <color rgb="FF434343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666666"/>
      </bottom>
    </border>
    <border>
      <left style="thin">
        <color rgb="FF666666"/>
      </left>
      <right style="medium">
        <color rgb="FF000000"/>
      </right>
      <bottom style="thin">
        <color rgb="FF666666"/>
      </bottom>
    </border>
    <border>
      <left style="medium">
        <color rgb="FF000000"/>
      </left>
      <right style="medium">
        <color rgb="FF000000"/>
      </right>
      <bottom style="thin">
        <color rgb="FF666666"/>
      </bottom>
    </border>
    <border>
      <right style="medium">
        <color rgb="FF000000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medium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rgb="FF666666"/>
      </bottom>
    </border>
    <border>
      <left style="thin">
        <color rgb="FF666666"/>
      </left>
      <top style="thin">
        <color rgb="FF666666"/>
      </top>
      <bottom style="medium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666666"/>
      </right>
      <top style="thin">
        <color rgb="FF666666"/>
      </top>
      <bottom style="medium">
        <color rgb="FF666666"/>
      </bottom>
    </border>
    <border>
      <right style="medium">
        <color rgb="FF000000"/>
      </right>
      <top style="thin">
        <color rgb="FF666666"/>
      </top>
      <bottom style="medium">
        <color rgb="FF666666"/>
      </bottom>
    </border>
    <border>
      <left style="thin">
        <color rgb="FF666666"/>
      </left>
      <right style="medium">
        <color rgb="FF000000"/>
      </right>
      <top style="thin">
        <color rgb="FF666666"/>
      </top>
      <bottom style="medium">
        <color rgb="FF666666"/>
      </bottom>
    </border>
    <border>
      <left style="medium">
        <color rgb="FF000000"/>
      </left>
      <right style="medium">
        <color rgb="FF000000"/>
      </right>
      <top style="thin">
        <color rgb="FF666666"/>
      </top>
      <bottom style="medium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000000"/>
      </bottom>
    </border>
    <border>
      <left style="thin">
        <color rgb="FF666666"/>
      </left>
      <top style="thin">
        <color rgb="FF666666"/>
      </top>
      <bottom style="thin">
        <color rgb="FF000000"/>
      </bottom>
    </border>
    <border>
      <right style="thin">
        <color rgb="FF666666"/>
      </right>
      <top style="thin">
        <color rgb="FF666666"/>
      </top>
      <bottom style="thin">
        <color rgb="FF000000"/>
      </bottom>
    </border>
    <border>
      <right style="medium">
        <color rgb="FF000000"/>
      </right>
      <top style="thin">
        <color rgb="FF666666"/>
      </top>
      <bottom style="thin">
        <color rgb="FF000000"/>
      </bottom>
    </border>
    <border>
      <left style="thin">
        <color rgb="FF666666"/>
      </left>
      <right style="medium">
        <color rgb="FF000000"/>
      </right>
      <top style="thin">
        <color rgb="FF666666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666666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rgb="FF000000"/>
      </bottom>
    </border>
    <border>
      <left style="thin">
        <color rgb="FF666666"/>
      </left>
      <top style="thin">
        <color rgb="FF666666"/>
      </top>
      <bottom style="medium">
        <color rgb="FF000000"/>
      </bottom>
    </border>
    <border>
      <right style="thin">
        <color rgb="FF666666"/>
      </right>
      <top style="thin">
        <color rgb="FF666666"/>
      </top>
      <bottom style="medium">
        <color rgb="FF000000"/>
      </bottom>
    </border>
    <border>
      <right style="medium">
        <color rgb="FF000000"/>
      </right>
      <top style="thin">
        <color rgb="FF666666"/>
      </top>
      <bottom style="medium">
        <color rgb="FF000000"/>
      </bottom>
    </border>
    <border>
      <left style="thin">
        <color rgb="FF666666"/>
      </left>
      <right style="medium">
        <color rgb="FF000000"/>
      </right>
      <top style="thin">
        <color rgb="FF666666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666666"/>
      </top>
      <bottom style="medium">
        <color rgb="FF000000"/>
      </bottom>
    </border>
    <border>
      <left style="thin">
        <color rgb="FF666666"/>
      </left>
    </border>
    <border>
      <right style="thin">
        <color rgb="FF666666"/>
      </right>
    </border>
    <border>
      <right style="medium">
        <color rgb="FF000000"/>
      </right>
    </border>
    <border>
      <left style="thin">
        <color rgb="FF666666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thin">
        <color rgb="FF666666"/>
      </left>
      <right style="thin">
        <color rgb="FF666666"/>
      </right>
      <bottom style="thin">
        <color rgb="FF000000"/>
      </bottom>
    </border>
    <border>
      <left style="thin">
        <color rgb="FF666666"/>
      </left>
      <right style="medium">
        <color rgb="FF000000"/>
      </right>
      <bottom style="medium">
        <color rgb="FF000000"/>
      </bottom>
    </border>
    <border>
      <right style="thin">
        <color rgb="FF666666"/>
      </right>
      <bottom style="medium">
        <color rgb="FF000000"/>
      </bottom>
    </border>
    <border>
      <left style="thin">
        <color rgb="FF666666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666666"/>
      </left>
      <right style="thin">
        <color rgb="FF666666"/>
      </right>
      <top style="medium">
        <color rgb="FF000000"/>
      </top>
      <bottom style="thin">
        <color rgb="FF000000"/>
      </bottom>
    </border>
    <border>
      <left style="thin">
        <color rgb="FF666666"/>
      </left>
      <right style="medium">
        <color rgb="FF000000"/>
      </right>
      <top style="thin">
        <color rgb="FF666666"/>
      </top>
    </border>
    <border>
      <left style="medium">
        <color rgb="FF000000"/>
      </left>
      <right style="medium">
        <color rgb="FF000000"/>
      </right>
      <top style="thin">
        <color rgb="FF666666"/>
      </top>
    </border>
    <border>
      <left style="thin">
        <color rgb="FF000000"/>
      </left>
      <right style="thin">
        <color rgb="FF666666"/>
      </right>
      <top style="medium">
        <color rgb="FF000000"/>
      </top>
    </border>
    <border>
      <left style="thin">
        <color rgb="FF666666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666666"/>
      </right>
      <top style="medium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medium">
        <color rgb="FF000000"/>
      </top>
      <bottom style="thin">
        <color rgb="FF666666"/>
      </bottom>
    </border>
    <border>
      <left style="thin">
        <color rgb="FF666666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666666"/>
      </right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666666"/>
      </right>
      <bottom style="medium">
        <color rgb="FF000000"/>
      </bottom>
    </border>
    <border>
      <left style="thick">
        <color rgb="FF000000"/>
      </left>
      <right style="thin">
        <color rgb="FF666666"/>
      </right>
      <top style="thick">
        <color rgb="FF000000"/>
      </top>
    </border>
    <border>
      <left style="thin">
        <color rgb="FF666666"/>
      </left>
      <right style="thin">
        <color rgb="FF666666"/>
      </right>
      <top style="thick">
        <color rgb="FF000000"/>
      </top>
      <bottom style="thick">
        <color rgb="FF000000"/>
      </bottom>
    </border>
    <border>
      <left style="thin">
        <color rgb="FF666666"/>
      </left>
      <right style="medium">
        <color rgb="FF000000"/>
      </right>
      <top style="thick">
        <color rgb="FF000000"/>
      </top>
      <bottom style="thick">
        <color rgb="FF000000"/>
      </bottom>
    </border>
    <border>
      <right style="thin">
        <color rgb="FF666666"/>
      </right>
      <top style="thick">
        <color rgb="FF000000"/>
      </top>
      <bottom style="thick">
        <color rgb="FF000000"/>
      </bottom>
    </border>
    <border>
      <left style="thin">
        <color rgb="FF666666"/>
      </lef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n">
        <color rgb="FF666666"/>
      </left>
      <right style="medium">
        <color rgb="FF000000"/>
      </right>
      <bottom style="thin">
        <color rgb="FF000000"/>
      </bottom>
    </border>
    <border>
      <left style="thin">
        <color rgb="FF666666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666666"/>
      </right>
    </border>
    <border>
      <right style="thin">
        <color rgb="FF666666"/>
      </right>
      <bottom style="thin">
        <color rgb="FF000000"/>
      </bottom>
    </border>
    <border>
      <left style="thin">
        <color rgb="FF666666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666666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666666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bottom style="medium">
        <color rgb="FF666666"/>
      </bottom>
    </border>
    <border>
      <left style="thin">
        <color rgb="FF666666"/>
      </left>
      <right style="medium">
        <color rgb="FF000000"/>
      </right>
      <bottom style="medium">
        <color rgb="FF666666"/>
      </bottom>
    </border>
    <border>
      <right style="thin">
        <color rgb="FF666666"/>
      </right>
      <bottom style="medium">
        <color rgb="FF666666"/>
      </bottom>
    </border>
    <border>
      <left style="thin">
        <color rgb="FF666666"/>
      </left>
      <top style="thin">
        <color rgb="FF000000"/>
      </top>
      <bottom style="medium">
        <color rgb="FF000000"/>
      </bottom>
    </border>
    <border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top style="thin">
        <color rgb="FF666666"/>
      </top>
      <bottom style="medium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3" fontId="6" numFmtId="0" xfId="0" applyAlignment="1" applyFill="1" applyFont="1">
      <alignment horizontal="center" readingOrder="0" vertical="center"/>
    </xf>
    <xf borderId="0" fillId="4" fontId="6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5" fontId="6" numFmtId="0" xfId="0" applyAlignment="1" applyFill="1" applyFont="1">
      <alignment horizontal="center" readingOrder="0" vertical="center"/>
    </xf>
    <xf borderId="0" fillId="6" fontId="6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7" fontId="6" numFmtId="0" xfId="0" applyAlignment="1" applyFill="1" applyFont="1">
      <alignment horizontal="center" vertical="center"/>
    </xf>
    <xf borderId="0" fillId="7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right" vertical="center"/>
    </xf>
    <xf borderId="0" fillId="0" fontId="7" numFmtId="3" xfId="0" applyAlignment="1" applyFont="1" applyNumberFormat="1">
      <alignment horizontal="right" vertical="center"/>
    </xf>
    <xf borderId="0" fillId="0" fontId="7" numFmtId="0" xfId="0" applyAlignment="1" applyFont="1">
      <alignment horizontal="center" vertical="center"/>
    </xf>
    <xf borderId="0" fillId="8" fontId="7" numFmtId="0" xfId="0" applyAlignment="1" applyFill="1" applyFont="1">
      <alignment horizontal="center" vertical="center"/>
    </xf>
    <xf borderId="0" fillId="8" fontId="7" numFmtId="1" xfId="0" applyAlignment="1" applyFont="1" applyNumberFormat="1">
      <alignment horizontal="center" vertical="center"/>
    </xf>
    <xf borderId="0" fillId="8" fontId="7" numFmtId="164" xfId="0" applyAlignment="1" applyFont="1" applyNumberFormat="1">
      <alignment horizontal="center" vertical="center"/>
    </xf>
    <xf borderId="0" fillId="9" fontId="7" numFmtId="0" xfId="0" applyAlignment="1" applyFill="1" applyFont="1">
      <alignment horizontal="center" vertical="center"/>
    </xf>
    <xf borderId="0" fillId="9" fontId="7" numFmtId="1" xfId="0" applyAlignment="1" applyFont="1" applyNumberFormat="1">
      <alignment horizontal="center" vertical="center"/>
    </xf>
    <xf borderId="0" fillId="9" fontId="7" numFmtId="164" xfId="0" applyAlignment="1" applyFont="1" applyNumberFormat="1">
      <alignment horizontal="center" vertical="center"/>
    </xf>
    <xf borderId="0" fillId="9" fontId="7" numFmtId="1" xfId="0" applyAlignment="1" applyFont="1" applyNumberFormat="1">
      <alignment horizontal="center" readingOrder="0" vertical="center"/>
    </xf>
    <xf borderId="0" fillId="9" fontId="7" numFmtId="164" xfId="0" applyAlignment="1" applyFont="1" applyNumberFormat="1">
      <alignment horizontal="center" readingOrder="0" vertical="center"/>
    </xf>
    <xf borderId="0" fillId="10" fontId="7" numFmtId="0" xfId="0" applyAlignment="1" applyFill="1" applyFont="1">
      <alignment horizontal="center" readingOrder="0" vertical="center"/>
    </xf>
    <xf borderId="0" fillId="11" fontId="7" numFmtId="3" xfId="0" applyAlignment="1" applyFill="1" applyFont="1" applyNumberFormat="1">
      <alignment horizontal="right" vertical="center"/>
    </xf>
    <xf borderId="0" fillId="0" fontId="7" numFmtId="3" xfId="0" applyAlignment="1" applyFont="1" applyNumberFormat="1">
      <alignment horizontal="right" vertical="center"/>
    </xf>
    <xf borderId="0" fillId="11" fontId="7" numFmtId="3" xfId="0" applyAlignment="1" applyFont="1" applyNumberFormat="1">
      <alignment horizontal="right" readingOrder="0" vertical="center"/>
    </xf>
    <xf borderId="0" fillId="8" fontId="9" numFmtId="1" xfId="0" applyAlignment="1" applyFont="1" applyNumberFormat="1">
      <alignment horizontal="center" vertical="center"/>
    </xf>
    <xf borderId="0" fillId="8" fontId="9" numFmtId="164" xfId="0" applyAlignment="1" applyFont="1" applyNumberFormat="1">
      <alignment horizontal="center" vertical="center"/>
    </xf>
    <xf borderId="0" fillId="9" fontId="9" numFmtId="1" xfId="0" applyAlignment="1" applyFont="1" applyNumberFormat="1">
      <alignment horizontal="center" vertical="center"/>
    </xf>
    <xf borderId="0" fillId="9" fontId="9" numFmtId="164" xfId="0" applyAlignment="1" applyFont="1" applyNumberFormat="1">
      <alignment horizontal="center" vertical="center"/>
    </xf>
    <xf borderId="0" fillId="0" fontId="7" numFmtId="3" xfId="0" applyAlignment="1" applyFont="1" applyNumberFormat="1">
      <alignment horizontal="right" readingOrder="0" vertical="center"/>
    </xf>
    <xf borderId="0" fillId="12" fontId="7" numFmtId="0" xfId="0" applyAlignment="1" applyFill="1" applyFont="1">
      <alignment horizontal="center" vertical="center"/>
    </xf>
    <xf borderId="0" fillId="12" fontId="9" numFmtId="1" xfId="0" applyAlignment="1" applyFont="1" applyNumberFormat="1">
      <alignment horizontal="center" vertical="center"/>
    </xf>
    <xf borderId="0" fillId="12" fontId="9" numFmtId="3" xfId="0" applyAlignment="1" applyFont="1" applyNumberFormat="1">
      <alignment horizontal="center" readingOrder="0" vertical="center"/>
    </xf>
    <xf borderId="0" fillId="0" fontId="7" numFmtId="0" xfId="0" applyAlignment="1" applyFont="1">
      <alignment horizontal="right" vertical="center"/>
    </xf>
    <xf borderId="0" fillId="9" fontId="9" numFmtId="0" xfId="0" applyAlignment="1" applyFont="1">
      <alignment horizontal="center" vertical="center"/>
    </xf>
    <xf borderId="0" fillId="9" fontId="9" numFmtId="164" xfId="0" applyAlignment="1" applyFont="1" applyNumberFormat="1">
      <alignment horizontal="center" readingOrder="0" vertical="center"/>
    </xf>
    <xf borderId="0" fillId="13" fontId="7" numFmtId="0" xfId="0" applyAlignment="1" applyFill="1" applyFont="1">
      <alignment horizontal="center" vertical="center"/>
    </xf>
    <xf borderId="0" fillId="13" fontId="9" numFmtId="0" xfId="0" applyAlignment="1" applyFont="1">
      <alignment horizontal="center" vertical="center"/>
    </xf>
    <xf borderId="0" fillId="13" fontId="9" numFmtId="164" xfId="0" applyAlignment="1" applyFont="1" applyNumberFormat="1">
      <alignment horizontal="center" readingOrder="0" vertical="center"/>
    </xf>
    <xf borderId="0" fillId="14" fontId="10" numFmtId="0" xfId="0" applyAlignment="1" applyFill="1" applyFont="1">
      <alignment horizontal="center" readingOrder="0" vertical="center"/>
    </xf>
    <xf borderId="0" fillId="15" fontId="10" numFmtId="165" xfId="0" applyAlignment="1" applyFill="1" applyFont="1" applyNumberFormat="1">
      <alignment horizontal="center" readingOrder="0" vertical="center"/>
    </xf>
    <xf borderId="0" fillId="16" fontId="10" numFmtId="165" xfId="0" applyAlignment="1" applyFill="1" applyFont="1" applyNumberFormat="1">
      <alignment horizontal="center" readingOrder="0" vertical="center"/>
    </xf>
    <xf borderId="0" fillId="17" fontId="10" numFmtId="0" xfId="0" applyAlignment="1" applyFill="1" applyFont="1">
      <alignment horizontal="center" readingOrder="0" vertical="center"/>
    </xf>
    <xf borderId="0" fillId="18" fontId="10" numFmtId="0" xfId="0" applyAlignment="1" applyFill="1" applyFont="1">
      <alignment horizontal="center" readingOrder="0" vertical="center"/>
    </xf>
    <xf borderId="0" fillId="19" fontId="10" numFmtId="0" xfId="0" applyAlignment="1" applyFill="1" applyFont="1">
      <alignment horizontal="center" readingOrder="0" vertical="center"/>
    </xf>
    <xf borderId="0" fillId="14" fontId="7" numFmtId="0" xfId="0" applyAlignment="1" applyFont="1">
      <alignment horizontal="center" readingOrder="0" vertical="center"/>
    </xf>
    <xf borderId="0" fillId="15" fontId="11" numFmtId="0" xfId="0" applyAlignment="1" applyFont="1">
      <alignment horizontal="center" readingOrder="0" vertical="center"/>
    </xf>
    <xf borderId="0" fillId="15" fontId="11" numFmtId="166" xfId="0" applyAlignment="1" applyFont="1" applyNumberFormat="1">
      <alignment horizontal="center" readingOrder="0" vertical="center"/>
    </xf>
    <xf borderId="0" fillId="16" fontId="7" numFmtId="165" xfId="0" applyAlignment="1" applyFont="1" applyNumberFormat="1">
      <alignment horizontal="center" readingOrder="0" vertical="center"/>
    </xf>
    <xf borderId="0" fillId="16" fontId="7" numFmtId="0" xfId="0" applyAlignment="1" applyFont="1">
      <alignment horizontal="center" readingOrder="0" vertical="center"/>
    </xf>
    <xf borderId="0" fillId="16" fontId="7" numFmtId="49" xfId="0" applyAlignment="1" applyFont="1" applyNumberFormat="1">
      <alignment horizontal="right" readingOrder="0" vertical="center"/>
    </xf>
    <xf borderId="0" fillId="17" fontId="7" numFmtId="0" xfId="0" applyAlignment="1" applyFont="1">
      <alignment horizontal="center" readingOrder="0" vertical="center"/>
    </xf>
    <xf borderId="0" fillId="17" fontId="11" numFmtId="0" xfId="0" applyAlignment="1" applyFont="1">
      <alignment horizontal="center" readingOrder="0" vertical="center"/>
    </xf>
    <xf borderId="0" fillId="17" fontId="12" numFmtId="167" xfId="0" applyAlignment="1" applyFont="1" applyNumberFormat="1">
      <alignment horizontal="center" readingOrder="0" vertical="center"/>
    </xf>
    <xf borderId="0" fillId="17" fontId="9" numFmtId="166" xfId="0" applyAlignment="1" applyFont="1" applyNumberFormat="1">
      <alignment horizontal="center" readingOrder="0" vertical="center"/>
    </xf>
    <xf borderId="0" fillId="17" fontId="7" numFmtId="49" xfId="0" applyAlignment="1" applyFont="1" applyNumberFormat="1">
      <alignment horizontal="center" readingOrder="0" vertical="center"/>
    </xf>
    <xf borderId="0" fillId="18" fontId="7" numFmtId="0" xfId="0" applyAlignment="1" applyFont="1">
      <alignment horizontal="center" readingOrder="0" vertical="center"/>
    </xf>
    <xf borderId="0" fillId="18" fontId="11" numFmtId="0" xfId="0" applyAlignment="1" applyFont="1">
      <alignment horizontal="center" readingOrder="0" vertical="center"/>
    </xf>
    <xf borderId="0" fillId="19" fontId="7" numFmtId="0" xfId="0" applyAlignment="1" applyFont="1">
      <alignment horizontal="center" readingOrder="0" vertical="center"/>
    </xf>
    <xf borderId="0" fillId="19" fontId="7" numFmtId="166" xfId="0" applyAlignment="1" applyFont="1" applyNumberFormat="1">
      <alignment horizontal="center" readingOrder="0" vertical="center"/>
    </xf>
    <xf borderId="0" fillId="19" fontId="7" numFmtId="49" xfId="0" applyAlignment="1" applyFont="1" applyNumberFormat="1">
      <alignment horizontal="center" readingOrder="0" vertical="center"/>
    </xf>
    <xf borderId="0" fillId="0" fontId="7" numFmtId="0" xfId="0" applyAlignment="1" applyFont="1">
      <alignment readingOrder="0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7" numFmtId="166" xfId="0" applyAlignment="1" applyFont="1" applyNumberFormat="1">
      <alignment horizontal="right" readingOrder="0" shrinkToFit="0" vertical="center" wrapText="1"/>
    </xf>
    <xf borderId="0" fillId="0" fontId="7" numFmtId="49" xfId="0" applyAlignment="1" applyFont="1" applyNumberFormat="1">
      <alignment horizontal="righ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67" xfId="0" applyAlignment="1" applyFont="1" applyNumberFormat="1">
      <alignment readingOrder="0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7" numFmtId="166" xfId="0" applyAlignment="1" applyFont="1" applyNumberFormat="1">
      <alignment horizontal="center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20" fontId="7" numFmtId="0" xfId="0" applyAlignment="1" applyFill="1" applyFont="1">
      <alignment readingOrder="0" shrinkToFit="0" vertical="center" wrapText="1"/>
    </xf>
    <xf borderId="0" fillId="20" fontId="7" numFmtId="0" xfId="0" applyAlignment="1" applyFont="1">
      <alignment horizontal="center" readingOrder="0" vertical="center"/>
    </xf>
    <xf borderId="0" fillId="20" fontId="7" numFmtId="165" xfId="0" applyAlignment="1" applyFont="1" applyNumberFormat="1">
      <alignment horizontal="center" readingOrder="0" vertical="center"/>
    </xf>
    <xf borderId="0" fillId="20" fontId="7" numFmtId="166" xfId="0" applyAlignment="1" applyFont="1" applyNumberFormat="1">
      <alignment horizontal="right" readingOrder="0" vertical="center"/>
    </xf>
    <xf borderId="0" fillId="20" fontId="7" numFmtId="165" xfId="0" applyAlignment="1" applyFont="1" applyNumberFormat="1">
      <alignment horizontal="center" readingOrder="0" shrinkToFit="0" vertical="center" wrapText="1"/>
    </xf>
    <xf borderId="0" fillId="20" fontId="7" numFmtId="164" xfId="0" applyAlignment="1" applyFont="1" applyNumberFormat="1">
      <alignment readingOrder="0" shrinkToFit="0" vertical="center" wrapText="1"/>
    </xf>
    <xf borderId="0" fillId="20" fontId="7" numFmtId="49" xfId="0" applyAlignment="1" applyFont="1" applyNumberFormat="1">
      <alignment horizontal="right" readingOrder="0" shrinkToFit="0" vertical="center" wrapText="1"/>
    </xf>
    <xf borderId="0" fillId="20" fontId="7" numFmtId="0" xfId="0" applyAlignment="1" applyFont="1">
      <alignment horizontal="center" readingOrder="0" shrinkToFit="0" vertical="center" wrapText="1"/>
    </xf>
    <xf borderId="0" fillId="20" fontId="7" numFmtId="167" xfId="0" applyAlignment="1" applyFont="1" applyNumberFormat="1">
      <alignment readingOrder="0" shrinkToFit="0" vertical="center" wrapText="1"/>
    </xf>
    <xf borderId="0" fillId="20" fontId="7" numFmtId="166" xfId="0" applyAlignment="1" applyFont="1" applyNumberFormat="1">
      <alignment readingOrder="0" shrinkToFit="0" vertical="center" wrapText="1"/>
    </xf>
    <xf borderId="0" fillId="20" fontId="7" numFmtId="49" xfId="0" applyAlignment="1" applyFont="1" applyNumberFormat="1">
      <alignment horizontal="center" readingOrder="0" shrinkToFit="0" vertical="center" wrapText="1"/>
    </xf>
    <xf borderId="0" fillId="20" fontId="7" numFmtId="0" xfId="0" applyAlignment="1" applyFont="1">
      <alignment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8" fontId="7" numFmtId="166" xfId="0" applyAlignment="1" applyFont="1" applyNumberFormat="1">
      <alignment horizontal="center" shrinkToFit="0" vertical="center" wrapText="1"/>
    </xf>
    <xf borderId="0" fillId="8" fontId="7" numFmtId="49" xfId="0" applyAlignment="1" applyFont="1" applyNumberFormat="1">
      <alignment horizontal="center" shrinkToFit="0" vertical="center" wrapText="1"/>
    </xf>
    <xf borderId="0" fillId="8" fontId="7" numFmtId="0" xfId="0" applyAlignment="1" applyFont="1">
      <alignment readingOrder="0" vertical="center"/>
    </xf>
    <xf borderId="0" fillId="8" fontId="7" numFmtId="0" xfId="0" applyAlignment="1" applyFont="1">
      <alignment horizontal="center" readingOrder="0" vertical="center"/>
    </xf>
    <xf borderId="0" fillId="8" fontId="7" numFmtId="165" xfId="0" applyAlignment="1" applyFont="1" applyNumberFormat="1">
      <alignment horizontal="center" readingOrder="0" vertical="center"/>
    </xf>
    <xf borderId="0" fillId="8" fontId="7" numFmtId="166" xfId="0" applyAlignment="1" applyFont="1" applyNumberFormat="1">
      <alignment horizontal="right" readingOrder="0" vertical="center"/>
    </xf>
    <xf borderId="0" fillId="8" fontId="7" numFmtId="164" xfId="0" applyAlignment="1" applyFont="1" applyNumberFormat="1">
      <alignment readingOrder="0" shrinkToFit="0" vertical="center" wrapText="1"/>
    </xf>
    <xf borderId="0" fillId="8" fontId="7" numFmtId="49" xfId="0" applyAlignment="1" applyFont="1" applyNumberFormat="1">
      <alignment horizontal="right" readingOrder="0" vertical="center"/>
    </xf>
    <xf borderId="0" fillId="8" fontId="7" numFmtId="167" xfId="0" applyAlignment="1" applyFont="1" applyNumberFormat="1">
      <alignment readingOrder="0" shrinkToFit="0" vertical="center" wrapText="1"/>
    </xf>
    <xf borderId="0" fillId="8" fontId="7" numFmtId="166" xfId="0" applyAlignment="1" applyFont="1" applyNumberFormat="1">
      <alignment readingOrder="0" shrinkToFit="0" vertical="center" wrapText="1"/>
    </xf>
    <xf borderId="0" fillId="8" fontId="7" numFmtId="49" xfId="0" applyAlignment="1" applyFont="1" applyNumberFormat="1">
      <alignment horizontal="center" readingOrder="0" vertical="center"/>
    </xf>
    <xf borderId="0" fillId="8" fontId="7" numFmtId="0" xfId="0" applyAlignment="1" applyFont="1">
      <alignment readingOrder="0" shrinkToFit="0" vertical="center" wrapText="1"/>
    </xf>
    <xf borderId="0" fillId="8" fontId="7" numFmtId="0" xfId="0" applyAlignment="1" applyFont="1">
      <alignment vertical="center"/>
    </xf>
    <xf borderId="0" fillId="8" fontId="7" numFmtId="166" xfId="0" applyAlignment="1" applyFont="1" applyNumberFormat="1">
      <alignment horizontal="center" vertical="center"/>
    </xf>
    <xf borderId="0" fillId="8" fontId="7" numFmtId="49" xfId="0" applyAlignment="1" applyFont="1" applyNumberFormat="1">
      <alignment horizontal="center" vertical="center"/>
    </xf>
    <xf borderId="0" fillId="21" fontId="7" numFmtId="0" xfId="0" applyAlignment="1" applyFill="1" applyFont="1">
      <alignment readingOrder="0" vertical="center"/>
    </xf>
    <xf borderId="0" fillId="21" fontId="7" numFmtId="0" xfId="0" applyAlignment="1" applyFont="1">
      <alignment horizontal="center" readingOrder="0" vertical="center"/>
    </xf>
    <xf borderId="0" fillId="21" fontId="7" numFmtId="165" xfId="0" applyAlignment="1" applyFont="1" applyNumberFormat="1">
      <alignment horizontal="center" readingOrder="0" vertical="center"/>
    </xf>
    <xf borderId="0" fillId="21" fontId="7" numFmtId="166" xfId="0" applyAlignment="1" applyFont="1" applyNumberFormat="1">
      <alignment horizontal="right" readingOrder="0" vertical="center"/>
    </xf>
    <xf borderId="0" fillId="21" fontId="7" numFmtId="164" xfId="0" applyAlignment="1" applyFont="1" applyNumberFormat="1">
      <alignment readingOrder="0" shrinkToFit="0" vertical="center" wrapText="1"/>
    </xf>
    <xf borderId="0" fillId="21" fontId="7" numFmtId="49" xfId="0" applyAlignment="1" applyFont="1" applyNumberFormat="1">
      <alignment horizontal="right" readingOrder="0" vertical="center"/>
    </xf>
    <xf borderId="0" fillId="21" fontId="7" numFmtId="167" xfId="0" applyAlignment="1" applyFont="1" applyNumberFormat="1">
      <alignment readingOrder="0" shrinkToFit="0" vertical="center" wrapText="1"/>
    </xf>
    <xf borderId="0" fillId="21" fontId="7" numFmtId="166" xfId="0" applyAlignment="1" applyFont="1" applyNumberFormat="1">
      <alignment readingOrder="0" vertical="center"/>
    </xf>
    <xf borderId="0" fillId="21" fontId="7" numFmtId="49" xfId="0" applyAlignment="1" applyFont="1" applyNumberFormat="1">
      <alignment horizontal="center" readingOrder="0" vertical="center"/>
    </xf>
    <xf borderId="0" fillId="21" fontId="7" numFmtId="0" xfId="0" applyAlignment="1" applyFont="1">
      <alignment readingOrder="0" shrinkToFit="0" vertical="center" wrapText="1"/>
    </xf>
    <xf borderId="0" fillId="21" fontId="7" numFmtId="0" xfId="0" applyAlignment="1" applyFont="1">
      <alignment vertical="center"/>
    </xf>
    <xf borderId="0" fillId="21" fontId="7" numFmtId="0" xfId="0" applyAlignment="1" applyFont="1">
      <alignment horizontal="center" vertical="center"/>
    </xf>
    <xf borderId="0" fillId="21" fontId="7" numFmtId="166" xfId="0" applyAlignment="1" applyFont="1" applyNumberFormat="1">
      <alignment horizontal="center" vertical="center"/>
    </xf>
    <xf borderId="0" fillId="21" fontId="7" numFmtId="49" xfId="0" applyAlignment="1" applyFont="1" applyNumberFormat="1">
      <alignment horizontal="center" vertical="center"/>
    </xf>
    <xf borderId="0" fillId="8" fontId="7" numFmtId="166" xfId="0" applyAlignment="1" applyFont="1" applyNumberFormat="1">
      <alignment readingOrder="0" vertical="center"/>
    </xf>
    <xf borderId="0" fillId="8" fontId="7" numFmtId="0" xfId="0" applyAlignment="1" applyFont="1">
      <alignment readingOrder="0" shrinkToFit="0" vertical="center" wrapText="0"/>
    </xf>
    <xf borderId="0" fillId="21" fontId="9" numFmtId="0" xfId="0" applyAlignment="1" applyFont="1">
      <alignment readingOrder="0" vertical="center"/>
    </xf>
    <xf borderId="0" fillId="21" fontId="7" numFmtId="166" xfId="0" applyAlignment="1" applyFont="1" applyNumberFormat="1">
      <alignment horizontal="center" readingOrder="0" vertical="center"/>
    </xf>
    <xf borderId="0" fillId="21" fontId="7" numFmtId="0" xfId="0" applyAlignment="1" applyFont="1">
      <alignment horizontal="left" readingOrder="0" vertical="center"/>
    </xf>
    <xf borderId="0" fillId="8" fontId="7" numFmtId="0" xfId="0" applyAlignment="1" applyFont="1">
      <alignment horizontal="left" readingOrder="0" vertical="center"/>
    </xf>
    <xf borderId="0" fillId="21" fontId="7" numFmtId="168" xfId="0" applyAlignment="1" applyFont="1" applyNumberFormat="1">
      <alignment horizontal="center" readingOrder="0" vertical="center"/>
    </xf>
    <xf borderId="0" fillId="8" fontId="7" numFmtId="169" xfId="0" applyAlignment="1" applyFont="1" applyNumberFormat="1">
      <alignment horizontal="center" readingOrder="0" vertical="center"/>
    </xf>
    <xf borderId="0" fillId="8" fontId="7" numFmtId="167" xfId="0" applyAlignment="1" applyFont="1" applyNumberFormat="1">
      <alignment readingOrder="0" vertical="center"/>
    </xf>
    <xf borderId="0" fillId="21" fontId="7" numFmtId="167" xfId="0" applyAlignment="1" applyFont="1" applyNumberFormat="1">
      <alignment readingOrder="0" vertical="center"/>
    </xf>
    <xf borderId="0" fillId="8" fontId="7" numFmtId="168" xfId="0" applyAlignment="1" applyFont="1" applyNumberFormat="1">
      <alignment horizontal="center" readingOrder="0" vertical="center"/>
    </xf>
    <xf borderId="0" fillId="8" fontId="7" numFmtId="166" xfId="0" applyAlignment="1" applyFont="1" applyNumberFormat="1">
      <alignment horizontal="center" readingOrder="0" vertical="center"/>
    </xf>
    <xf borderId="0" fillId="8" fontId="9" numFmtId="165" xfId="0" applyAlignment="1" applyFont="1" applyNumberFormat="1">
      <alignment horizontal="center" readingOrder="0" vertical="center"/>
    </xf>
    <xf borderId="0" fillId="21" fontId="14" numFmtId="0" xfId="0" applyAlignment="1" applyFont="1">
      <alignment readingOrder="0" vertical="center"/>
    </xf>
    <xf borderId="0" fillId="8" fontId="14" numFmtId="0" xfId="0" applyAlignment="1" applyFont="1">
      <alignment readingOrder="0" vertical="center"/>
    </xf>
    <xf borderId="0" fillId="8" fontId="9" numFmtId="49" xfId="0" applyAlignment="1" applyFont="1" applyNumberFormat="1">
      <alignment horizontal="center" readingOrder="0" vertical="center"/>
    </xf>
    <xf borderId="0" fillId="21" fontId="9" numFmtId="169" xfId="0" applyAlignment="1" applyFont="1" applyNumberFormat="1">
      <alignment horizontal="center" readingOrder="0" vertical="center"/>
    </xf>
    <xf borderId="0" fillId="21" fontId="9" numFmtId="170" xfId="0" applyAlignment="1" applyFont="1" applyNumberFormat="1">
      <alignment readingOrder="0" vertical="center"/>
    </xf>
    <xf borderId="0" fillId="21" fontId="9" numFmtId="0" xfId="0" applyAlignment="1" applyFont="1">
      <alignment horizontal="right" readingOrder="0" vertical="center"/>
    </xf>
    <xf borderId="0" fillId="8" fontId="9" numFmtId="169" xfId="0" applyAlignment="1" applyFont="1" applyNumberFormat="1">
      <alignment horizontal="center" readingOrder="0" vertical="center"/>
    </xf>
    <xf borderId="0" fillId="8" fontId="7" numFmtId="170" xfId="0" applyAlignment="1" applyFont="1" applyNumberFormat="1">
      <alignment readingOrder="0" vertical="center"/>
    </xf>
    <xf borderId="0" fillId="8" fontId="9" numFmtId="0" xfId="0" applyAlignment="1" applyFont="1">
      <alignment horizontal="right" readingOrder="0" vertical="center"/>
    </xf>
    <xf borderId="0" fillId="8" fontId="7" numFmtId="0" xfId="0" applyAlignment="1" applyFont="1">
      <alignment readingOrder="0" shrinkToFit="0" vertical="center" wrapText="1"/>
    </xf>
    <xf borderId="0" fillId="21" fontId="7" numFmtId="171" xfId="0" applyAlignment="1" applyFont="1" applyNumberFormat="1">
      <alignment horizontal="center" readingOrder="0" vertical="center"/>
    </xf>
    <xf borderId="0" fillId="21" fontId="7" numFmtId="164" xfId="0" applyAlignment="1" applyFont="1" applyNumberFormat="1">
      <alignment readingOrder="0" vertical="center"/>
    </xf>
    <xf borderId="0" fillId="21" fontId="7" numFmtId="0" xfId="0" applyAlignment="1" applyFont="1">
      <alignment readingOrder="0" shrinkToFit="0" vertical="center" wrapText="1"/>
    </xf>
    <xf borderId="0" fillId="21" fontId="9" numFmtId="49" xfId="0" applyAlignment="1" applyFont="1" applyNumberFormat="1">
      <alignment horizontal="center" readingOrder="0" vertical="center"/>
    </xf>
    <xf borderId="0" fillId="8" fontId="15" numFmtId="0" xfId="0" applyAlignment="1" applyFont="1">
      <alignment readingOrder="0" vertical="center"/>
    </xf>
    <xf borderId="0" fillId="21" fontId="7" numFmtId="170" xfId="0" applyAlignment="1" applyFont="1" applyNumberFormat="1">
      <alignment readingOrder="0" vertical="center"/>
    </xf>
    <xf borderId="0" fillId="8" fontId="9" numFmtId="166" xfId="0" applyAlignment="1" applyFont="1" applyNumberFormat="1">
      <alignment horizontal="right" readingOrder="0" vertical="center"/>
    </xf>
    <xf borderId="0" fillId="8" fontId="9" numFmtId="170" xfId="0" applyAlignment="1" applyFont="1" applyNumberFormat="1">
      <alignment readingOrder="0" vertical="center"/>
    </xf>
    <xf borderId="0" fillId="8" fontId="16" numFmtId="49" xfId="0" applyAlignment="1" applyFont="1" applyNumberFormat="1">
      <alignment horizontal="left" readingOrder="0" vertical="center"/>
    </xf>
    <xf borderId="0" fillId="21" fontId="7" numFmtId="169" xfId="0" applyAlignment="1" applyFont="1" applyNumberFormat="1">
      <alignment horizontal="center" readingOrder="0" vertical="center"/>
    </xf>
    <xf borderId="0" fillId="21" fontId="9" numFmtId="166" xfId="0" applyAlignment="1" applyFont="1" applyNumberFormat="1">
      <alignment horizontal="right" readingOrder="0" vertical="center"/>
    </xf>
    <xf borderId="0" fillId="21" fontId="17" numFmtId="0" xfId="0" applyAlignment="1" applyFont="1">
      <alignment readingOrder="0" vertical="center"/>
    </xf>
    <xf borderId="0" fillId="8" fontId="17" numFmtId="0" xfId="0" applyAlignment="1" applyFont="1">
      <alignment readingOrder="0" vertical="center"/>
    </xf>
    <xf borderId="0" fillId="21" fontId="9" numFmtId="171" xfId="0" applyAlignment="1" applyFont="1" applyNumberFormat="1">
      <alignment horizontal="center" readingOrder="0" vertical="center"/>
    </xf>
    <xf borderId="0" fillId="21" fontId="7" numFmtId="164" xfId="0" applyAlignment="1" applyFont="1" applyNumberFormat="1">
      <alignment readingOrder="0" vertical="center"/>
    </xf>
    <xf borderId="0" fillId="8" fontId="9" numFmtId="0" xfId="0" applyAlignment="1" applyFont="1">
      <alignment readingOrder="0" vertical="center"/>
    </xf>
    <xf borderId="0" fillId="8" fontId="9" numFmtId="0" xfId="0" applyAlignment="1" applyFont="1">
      <alignment horizontal="center" readingOrder="0" vertical="center"/>
    </xf>
    <xf borderId="0" fillId="8" fontId="9" numFmtId="167" xfId="0" applyAlignment="1" applyFont="1" applyNumberFormat="1">
      <alignment readingOrder="0" vertical="center"/>
    </xf>
    <xf borderId="0" fillId="8" fontId="9" numFmtId="166" xfId="0" applyAlignment="1" applyFont="1" applyNumberFormat="1">
      <alignment readingOrder="0" vertical="center"/>
    </xf>
    <xf borderId="0" fillId="8" fontId="9" numFmtId="49" xfId="0" applyAlignment="1" applyFont="1" applyNumberFormat="1">
      <alignment readingOrder="0" vertical="center"/>
    </xf>
    <xf borderId="0" fillId="8" fontId="9" numFmtId="0" xfId="0" applyAlignment="1" applyFont="1">
      <alignment vertical="center"/>
    </xf>
    <xf borderId="0" fillId="8" fontId="9" numFmtId="0" xfId="0" applyAlignment="1" applyFont="1">
      <alignment readingOrder="0" shrinkToFit="0" vertical="center" wrapText="1"/>
    </xf>
    <xf borderId="0" fillId="8" fontId="9" numFmtId="0" xfId="0" applyAlignment="1" applyFont="1">
      <alignment readingOrder="0" shrinkToFit="0" vertical="center" wrapText="1"/>
    </xf>
    <xf borderId="0" fillId="8" fontId="9" numFmtId="0" xfId="0" applyAlignment="1" applyFont="1">
      <alignment horizontal="center" vertical="center"/>
    </xf>
    <xf borderId="0" fillId="8" fontId="9" numFmtId="166" xfId="0" applyAlignment="1" applyFont="1" applyNumberFormat="1">
      <alignment horizontal="center" vertical="center"/>
    </xf>
    <xf borderId="0" fillId="8" fontId="9" numFmtId="49" xfId="0" applyAlignment="1" applyFont="1" applyNumberFormat="1">
      <alignment horizontal="center" vertical="center"/>
    </xf>
    <xf borderId="0" fillId="8" fontId="7" numFmtId="164" xfId="0" applyAlignment="1" applyFont="1" applyNumberFormat="1">
      <alignment readingOrder="0" vertical="center"/>
    </xf>
    <xf borderId="0" fillId="8" fontId="18" numFmtId="0" xfId="0" applyAlignment="1" applyFont="1">
      <alignment horizontal="left" readingOrder="0" vertical="center"/>
    </xf>
    <xf borderId="0" fillId="21" fontId="7" numFmtId="164" xfId="0" applyAlignment="1" applyFont="1" applyNumberFormat="1">
      <alignment horizontal="right" readingOrder="0" vertical="center"/>
    </xf>
    <xf borderId="0" fillId="8" fontId="9" numFmtId="171" xfId="0" applyAlignment="1" applyFont="1" applyNumberFormat="1">
      <alignment horizontal="center" readingOrder="0" vertical="center"/>
    </xf>
    <xf borderId="0" fillId="21" fontId="19" numFmtId="0" xfId="0" applyAlignment="1" applyFont="1">
      <alignment horizontal="left" readingOrder="0" vertical="center"/>
    </xf>
    <xf borderId="0" fillId="21" fontId="7" numFmtId="164" xfId="0" applyAlignment="1" applyFont="1" applyNumberFormat="1">
      <alignment horizontal="right" readingOrder="0" shrinkToFit="0" vertical="center" wrapText="1"/>
    </xf>
    <xf borderId="0" fillId="21" fontId="9" numFmtId="0" xfId="0" applyAlignment="1" applyFont="1">
      <alignment horizontal="center" readingOrder="0" vertical="center"/>
    </xf>
    <xf borderId="0" fillId="8" fontId="16" numFmtId="0" xfId="0" applyAlignment="1" applyFont="1">
      <alignment horizontal="center" readingOrder="0" vertical="center"/>
    </xf>
    <xf borderId="0" fillId="21" fontId="16" numFmtId="0" xfId="0" applyAlignment="1" applyFont="1">
      <alignment horizontal="center" readingOrder="0" vertical="center"/>
    </xf>
    <xf borderId="0" fillId="21" fontId="20" numFmtId="0" xfId="0" applyAlignment="1" applyFont="1">
      <alignment readingOrder="0" vertical="center"/>
    </xf>
    <xf borderId="0" fillId="8" fontId="7" numFmtId="171" xfId="0" applyAlignment="1" applyFont="1" applyNumberFormat="1">
      <alignment horizontal="center" readingOrder="0" vertical="center"/>
    </xf>
    <xf borderId="0" fillId="21" fontId="9" numFmtId="164" xfId="0" applyAlignment="1" applyFont="1" applyNumberFormat="1">
      <alignment readingOrder="0" vertical="center"/>
    </xf>
    <xf borderId="0" fillId="21" fontId="21" numFmtId="49" xfId="0" applyAlignment="1" applyFont="1" applyNumberFormat="1">
      <alignment readingOrder="0" vertical="center"/>
    </xf>
    <xf borderId="0" fillId="21" fontId="9" numFmtId="171" xfId="0" applyAlignment="1" applyFont="1" applyNumberFormat="1">
      <alignment horizontal="center" readingOrder="0" vertical="center"/>
    </xf>
    <xf borderId="0" fillId="21" fontId="22" numFmtId="0" xfId="0" applyAlignment="1" applyFont="1">
      <alignment readingOrder="0" vertical="center"/>
    </xf>
    <xf borderId="0" fillId="21" fontId="7" numFmtId="166" xfId="0" applyAlignment="1" applyFont="1" applyNumberFormat="1">
      <alignment horizontal="right" vertical="center"/>
    </xf>
    <xf borderId="0" fillId="21" fontId="9" numFmtId="49" xfId="0" applyAlignment="1" applyFont="1" applyNumberFormat="1">
      <alignment readingOrder="0" vertical="center"/>
    </xf>
    <xf borderId="0" fillId="21" fontId="7" numFmtId="172" xfId="0" applyAlignment="1" applyFont="1" applyNumberFormat="1">
      <alignment horizontal="center" readingOrder="0" vertical="center"/>
    </xf>
    <xf borderId="0" fillId="8" fontId="7" numFmtId="164" xfId="0" applyAlignment="1" applyFont="1" applyNumberFormat="1">
      <alignment horizontal="right" readingOrder="0" shrinkToFit="0" vertical="center" wrapText="1"/>
    </xf>
    <xf borderId="0" fillId="21" fontId="16" numFmtId="49" xfId="0" applyAlignment="1" applyFont="1" applyNumberFormat="1">
      <alignment horizontal="center" readingOrder="0" shrinkToFit="0" vertical="center" wrapText="1"/>
    </xf>
    <xf borderId="0" fillId="8" fontId="23" numFmtId="0" xfId="0" applyAlignment="1" applyFont="1">
      <alignment readingOrder="0" vertical="center"/>
    </xf>
    <xf borderId="0" fillId="8" fontId="22" numFmtId="0" xfId="0" applyAlignment="1" applyFont="1">
      <alignment readingOrder="0" vertical="center"/>
    </xf>
    <xf borderId="0" fillId="8" fontId="23" numFmtId="49" xfId="0" applyAlignment="1" applyFont="1" applyNumberFormat="1">
      <alignment readingOrder="0" vertical="center"/>
    </xf>
    <xf borderId="0" fillId="21" fontId="7" numFmtId="49" xfId="0" applyAlignment="1" applyFont="1" applyNumberFormat="1">
      <alignment horizontal="right" vertical="center"/>
    </xf>
    <xf borderId="0" fillId="8" fontId="7" numFmtId="166" xfId="0" applyAlignment="1" applyFont="1" applyNumberFormat="1">
      <alignment horizontal="right" vertical="center"/>
    </xf>
    <xf borderId="0" fillId="8" fontId="7" numFmtId="164" xfId="0" applyAlignment="1" applyFont="1" applyNumberFormat="1">
      <alignment readingOrder="0" vertical="center"/>
    </xf>
    <xf borderId="0" fillId="8" fontId="7" numFmtId="49" xfId="0" applyAlignment="1" applyFont="1" applyNumberFormat="1">
      <alignment horizontal="right" vertical="center"/>
    </xf>
    <xf borderId="0" fillId="21" fontId="7" numFmtId="171" xfId="0" applyAlignment="1" applyFont="1" applyNumberFormat="1">
      <alignment readingOrder="0" vertical="center"/>
    </xf>
    <xf borderId="0" fillId="8" fontId="7" numFmtId="49" xfId="0" applyAlignment="1" applyFont="1" applyNumberFormat="1">
      <alignment readingOrder="0" vertical="center"/>
    </xf>
    <xf borderId="0" fillId="8" fontId="7" numFmtId="0" xfId="0" applyAlignment="1" applyFont="1">
      <alignment vertical="center"/>
    </xf>
    <xf borderId="0" fillId="8" fontId="7" numFmtId="165" xfId="0" applyAlignment="1" applyFont="1" applyNumberFormat="1">
      <alignment horizontal="center" vertical="center"/>
    </xf>
    <xf borderId="0" fillId="8" fontId="15" numFmtId="165" xfId="0" applyAlignment="1" applyFont="1" applyNumberFormat="1">
      <alignment vertical="center"/>
    </xf>
    <xf borderId="0" fillId="8" fontId="15" numFmtId="0" xfId="0" applyAlignment="1" applyFont="1">
      <alignment vertical="center"/>
    </xf>
    <xf borderId="0" fillId="8" fontId="15" numFmtId="0" xfId="0" applyAlignment="1" applyFont="1">
      <alignment horizontal="center" vertical="center"/>
    </xf>
    <xf borderId="0" fillId="8" fontId="15" numFmtId="166" xfId="0" applyAlignment="1" applyFont="1" applyNumberFormat="1">
      <alignment horizontal="center" vertical="center"/>
    </xf>
    <xf borderId="0" fillId="8" fontId="15" numFmtId="49" xfId="0" applyAlignment="1" applyFont="1" applyNumberFormat="1">
      <alignment horizontal="center" vertical="center"/>
    </xf>
    <xf borderId="0" fillId="21" fontId="7" numFmtId="0" xfId="0" applyAlignment="1" applyFont="1">
      <alignment vertical="center"/>
    </xf>
    <xf borderId="0" fillId="21" fontId="15" numFmtId="0" xfId="0" applyAlignment="1" applyFont="1">
      <alignment readingOrder="0" vertical="center"/>
    </xf>
    <xf borderId="0" fillId="21" fontId="7" numFmtId="165" xfId="0" applyAlignment="1" applyFont="1" applyNumberFormat="1">
      <alignment horizontal="center" vertical="center"/>
    </xf>
    <xf borderId="0" fillId="21" fontId="15" numFmtId="165" xfId="0" applyAlignment="1" applyFont="1" applyNumberFormat="1">
      <alignment vertical="center"/>
    </xf>
    <xf borderId="0" fillId="21" fontId="15" numFmtId="0" xfId="0" applyAlignment="1" applyFont="1">
      <alignment vertical="center"/>
    </xf>
    <xf borderId="0" fillId="21" fontId="15" numFmtId="0" xfId="0" applyAlignment="1" applyFont="1">
      <alignment horizontal="center" vertical="center"/>
    </xf>
    <xf borderId="0" fillId="21" fontId="15" numFmtId="166" xfId="0" applyAlignment="1" applyFont="1" applyNumberFormat="1">
      <alignment horizontal="center" vertical="center"/>
    </xf>
    <xf borderId="0" fillId="21" fontId="15" numFmtId="49" xfId="0" applyAlignment="1" applyFont="1" applyNumberFormat="1">
      <alignment horizontal="center" vertical="center"/>
    </xf>
    <xf borderId="0" fillId="21" fontId="7" numFmtId="0" xfId="0" applyFont="1"/>
    <xf borderId="0" fillId="21" fontId="24" numFmtId="0" xfId="0" applyFont="1"/>
    <xf borderId="0" fillId="21" fontId="7" numFmtId="165" xfId="0" applyAlignment="1" applyFont="1" applyNumberFormat="1">
      <alignment horizontal="center"/>
    </xf>
    <xf borderId="0" fillId="21" fontId="25" numFmtId="166" xfId="0" applyFont="1" applyNumberFormat="1"/>
    <xf borderId="0" fillId="21" fontId="7" numFmtId="164" xfId="0" applyAlignment="1" applyFont="1" applyNumberFormat="1">
      <alignment horizontal="right"/>
    </xf>
    <xf borderId="0" fillId="21" fontId="25" numFmtId="49" xfId="0" applyFont="1" applyNumberFormat="1"/>
    <xf borderId="0" fillId="21" fontId="25" numFmtId="0" xfId="0" applyAlignment="1" applyFont="1">
      <alignment readingOrder="0"/>
    </xf>
    <xf borderId="0" fillId="21" fontId="25" numFmtId="167" xfId="0" applyAlignment="1" applyFont="1" applyNumberFormat="1">
      <alignment readingOrder="0"/>
    </xf>
    <xf borderId="0" fillId="21" fontId="7" numFmtId="49" xfId="0" applyAlignment="1" applyFont="1" applyNumberFormat="1">
      <alignment horizontal="center"/>
    </xf>
    <xf borderId="0" fillId="21" fontId="25" numFmtId="0" xfId="0" applyFont="1"/>
    <xf borderId="0" fillId="21" fontId="25" numFmtId="0" xfId="0" applyAlignment="1" applyFont="1">
      <alignment horizontal="center"/>
    </xf>
    <xf borderId="0" fillId="21" fontId="25" numFmtId="166" xfId="0" applyAlignment="1" applyFont="1" applyNumberFormat="1">
      <alignment horizontal="center"/>
    </xf>
    <xf borderId="0" fillId="21" fontId="25" numFmtId="49" xfId="0" applyAlignment="1" applyFont="1" applyNumberFormat="1">
      <alignment horizontal="center"/>
    </xf>
    <xf borderId="0" fillId="21" fontId="7" numFmtId="173" xfId="0" applyAlignment="1" applyFont="1" applyNumberFormat="1">
      <alignment horizontal="right" readingOrder="0" vertical="center"/>
    </xf>
    <xf borderId="0" fillId="8" fontId="16" numFmtId="49" xfId="0" applyAlignment="1" applyFont="1" applyNumberFormat="1">
      <alignment horizontal="center" readingOrder="0" vertical="center"/>
    </xf>
    <xf borderId="0" fillId="21" fontId="5" numFmtId="49" xfId="0" applyAlignment="1" applyFont="1" applyNumberFormat="1">
      <alignment horizontal="right" readingOrder="0"/>
    </xf>
    <xf borderId="0" fillId="21" fontId="5" numFmtId="0" xfId="0" applyAlignment="1" applyFont="1">
      <alignment readingOrder="0"/>
    </xf>
    <xf borderId="0" fillId="21" fontId="5" numFmtId="49" xfId="0" applyAlignment="1" applyFont="1" applyNumberFormat="1">
      <alignment readingOrder="0"/>
    </xf>
    <xf borderId="0" fillId="8" fontId="15" numFmtId="171" xfId="0" applyAlignment="1" applyFont="1" applyNumberFormat="1">
      <alignment readingOrder="0" vertical="center"/>
    </xf>
    <xf borderId="0" fillId="8" fontId="15" numFmtId="3" xfId="0" applyAlignment="1" applyFont="1" applyNumberFormat="1">
      <alignment readingOrder="0" vertical="center"/>
    </xf>
    <xf borderId="0" fillId="21" fontId="7" numFmtId="3" xfId="0" applyAlignment="1" applyFont="1" applyNumberFormat="1">
      <alignment readingOrder="0" vertical="center"/>
    </xf>
    <xf borderId="0" fillId="8" fontId="5" numFmtId="0" xfId="0" applyAlignment="1" applyFont="1">
      <alignment readingOrder="0"/>
    </xf>
    <xf borderId="0" fillId="21" fontId="9" numFmtId="49" xfId="0" applyAlignment="1" applyFont="1" applyNumberFormat="1">
      <alignment horizontal="right" readingOrder="0" vertical="center"/>
    </xf>
    <xf borderId="0" fillId="21" fontId="9" numFmtId="166" xfId="0" applyAlignment="1" applyFont="1" applyNumberFormat="1">
      <alignment readingOrder="0" vertical="center"/>
    </xf>
    <xf borderId="0" fillId="21" fontId="9" numFmtId="0" xfId="0" applyAlignment="1" applyFont="1">
      <alignment vertical="center"/>
    </xf>
    <xf borderId="0" fillId="21" fontId="9" numFmtId="0" xfId="0" applyAlignment="1" applyFont="1">
      <alignment horizontal="center" vertical="center"/>
    </xf>
    <xf borderId="0" fillId="21" fontId="9" numFmtId="166" xfId="0" applyAlignment="1" applyFont="1" applyNumberFormat="1">
      <alignment horizontal="center" vertical="center"/>
    </xf>
    <xf borderId="0" fillId="21" fontId="9" numFmtId="49" xfId="0" applyAlignment="1" applyFont="1" applyNumberFormat="1">
      <alignment horizontal="center" vertical="center"/>
    </xf>
    <xf borderId="0" fillId="8" fontId="9" numFmtId="164" xfId="0" applyAlignment="1" applyFont="1" applyNumberFormat="1">
      <alignment readingOrder="0" vertical="center"/>
    </xf>
    <xf borderId="0" fillId="8" fontId="9" numFmtId="49" xfId="0" applyAlignment="1" applyFont="1" applyNumberFormat="1">
      <alignment horizontal="right" readingOrder="0" vertical="center"/>
    </xf>
    <xf borderId="0" fillId="8" fontId="26" numFmtId="0" xfId="0" applyAlignment="1" applyFont="1">
      <alignment readingOrder="0" shrinkToFit="0" vertical="center" wrapText="0"/>
    </xf>
    <xf borderId="0" fillId="8" fontId="7" numFmtId="167" xfId="0" applyAlignment="1" applyFont="1" applyNumberFormat="1">
      <alignment vertical="center"/>
    </xf>
    <xf borderId="0" fillId="21" fontId="15" numFmtId="171" xfId="0" applyAlignment="1" applyFont="1" applyNumberFormat="1">
      <alignment readingOrder="0" vertical="center"/>
    </xf>
    <xf borderId="0" fillId="21" fontId="15" numFmtId="166" xfId="0" applyAlignment="1" applyFont="1" applyNumberFormat="1">
      <alignment readingOrder="0" vertical="center"/>
    </xf>
    <xf borderId="0" fillId="21" fontId="7" numFmtId="167" xfId="0" applyAlignment="1" applyFont="1" applyNumberFormat="1">
      <alignment vertical="center"/>
    </xf>
    <xf borderId="0" fillId="21" fontId="7" numFmtId="166" xfId="0" applyAlignment="1" applyFont="1" applyNumberFormat="1">
      <alignment vertical="center"/>
    </xf>
    <xf borderId="0" fillId="8" fontId="7" numFmtId="166" xfId="0" applyAlignment="1" applyFont="1" applyNumberFormat="1">
      <alignment vertical="center"/>
    </xf>
    <xf borderId="0" fillId="22" fontId="27" numFmtId="0" xfId="0" applyAlignment="1" applyFill="1" applyFont="1">
      <alignment horizontal="center" readingOrder="0" vertical="center"/>
    </xf>
    <xf borderId="0" fillId="23" fontId="27" numFmtId="0" xfId="0" applyAlignment="1" applyFill="1" applyFont="1">
      <alignment horizontal="center" readingOrder="0" vertical="center"/>
    </xf>
    <xf borderId="0" fillId="0" fontId="28" numFmtId="0" xfId="0" applyAlignment="1" applyFont="1">
      <alignment vertical="center"/>
    </xf>
    <xf borderId="0" fillId="0" fontId="28" numFmtId="0" xfId="0" applyAlignment="1" applyFont="1">
      <alignment readingOrder="0" vertical="center"/>
    </xf>
    <xf borderId="0" fillId="6" fontId="27" numFmtId="0" xfId="0" applyAlignment="1" applyFont="1">
      <alignment horizontal="center" readingOrder="0" vertical="center"/>
    </xf>
    <xf borderId="0" fillId="24" fontId="27" numFmtId="0" xfId="0" applyAlignment="1" applyFill="1" applyFont="1">
      <alignment horizontal="center" readingOrder="0" vertical="center"/>
    </xf>
    <xf borderId="0" fillId="25" fontId="27" numFmtId="0" xfId="0" applyAlignment="1" applyFill="1" applyFont="1">
      <alignment horizontal="center" readingOrder="0" vertical="center"/>
    </xf>
    <xf borderId="1" fillId="0" fontId="29" numFmtId="0" xfId="0" applyAlignment="1" applyBorder="1" applyFont="1">
      <alignment horizontal="center" readingOrder="0" shrinkToFit="0" vertical="center" wrapText="1"/>
    </xf>
    <xf borderId="2" fillId="0" fontId="30" numFmtId="0" xfId="0" applyBorder="1" applyFont="1"/>
    <xf borderId="3" fillId="26" fontId="31" numFmtId="0" xfId="0" applyAlignment="1" applyBorder="1" applyFill="1" applyFont="1">
      <alignment horizontal="center" readingOrder="0" shrinkToFit="0" vertical="center" wrapText="1"/>
    </xf>
    <xf borderId="3" fillId="19" fontId="31" numFmtId="0" xfId="0" applyAlignment="1" applyBorder="1" applyFont="1">
      <alignment horizontal="center" shrinkToFit="0" vertical="center" wrapText="1"/>
    </xf>
    <xf borderId="3" fillId="15" fontId="31" numFmtId="0" xfId="0" applyAlignment="1" applyBorder="1" applyFont="1">
      <alignment horizontal="center" readingOrder="0" shrinkToFit="0" vertical="center" wrapText="1"/>
    </xf>
    <xf borderId="3" fillId="16" fontId="31" numFmtId="0" xfId="0" applyAlignment="1" applyBorder="1" applyFont="1">
      <alignment horizontal="center" readingOrder="0" shrinkToFit="0" vertical="center" wrapText="1"/>
    </xf>
    <xf borderId="4" fillId="27" fontId="31" numFmtId="0" xfId="0" applyAlignment="1" applyBorder="1" applyFill="1" applyFont="1">
      <alignment horizontal="center" readingOrder="0" shrinkToFit="0" vertical="center" wrapText="1"/>
    </xf>
    <xf borderId="4" fillId="16" fontId="31" numFmtId="0" xfId="0" applyAlignment="1" applyBorder="1" applyFont="1">
      <alignment horizontal="center" readingOrder="0" shrinkToFit="0" vertical="center" wrapText="1"/>
    </xf>
    <xf borderId="4" fillId="28" fontId="31" numFmtId="0" xfId="0" applyAlignment="1" applyBorder="1" applyFill="1" applyFont="1">
      <alignment horizontal="center" readingOrder="0" shrinkToFit="0" vertical="center" wrapText="1"/>
    </xf>
    <xf borderId="5" fillId="28" fontId="31" numFmtId="0" xfId="0" applyAlignment="1" applyBorder="1" applyFont="1">
      <alignment horizontal="center" readingOrder="0" shrinkToFit="0" vertical="center" wrapText="1"/>
    </xf>
    <xf borderId="2" fillId="29" fontId="31" numFmtId="0" xfId="0" applyAlignment="1" applyBorder="1" applyFill="1" applyFont="1">
      <alignment horizontal="center" readingOrder="0" shrinkToFit="0" vertical="center" wrapText="1"/>
    </xf>
    <xf borderId="4" fillId="29" fontId="31" numFmtId="0" xfId="0" applyAlignment="1" applyBorder="1" applyFont="1">
      <alignment horizontal="center" readingOrder="0" shrinkToFit="0" vertical="center" wrapText="1"/>
    </xf>
    <xf borderId="5" fillId="29" fontId="31" numFmtId="0" xfId="0" applyAlignment="1" applyBorder="1" applyFont="1">
      <alignment horizontal="center" readingOrder="0" shrinkToFit="0" vertical="center" wrapText="1"/>
    </xf>
    <xf borderId="2" fillId="30" fontId="31" numFmtId="0" xfId="0" applyAlignment="1" applyBorder="1" applyFill="1" applyFont="1">
      <alignment horizontal="center" readingOrder="0" shrinkToFit="0" vertical="center" wrapText="1"/>
    </xf>
    <xf borderId="4" fillId="30" fontId="31" numFmtId="0" xfId="0" applyAlignment="1" applyBorder="1" applyFont="1">
      <alignment horizontal="center" readingOrder="0" shrinkToFit="0" vertical="center" wrapText="1"/>
    </xf>
    <xf borderId="5" fillId="30" fontId="31" numFmtId="0" xfId="0" applyAlignment="1" applyBorder="1" applyFont="1">
      <alignment horizontal="center" readingOrder="0" shrinkToFit="0" vertical="center" wrapText="1"/>
    </xf>
    <xf borderId="2" fillId="18" fontId="31" numFmtId="0" xfId="0" applyAlignment="1" applyBorder="1" applyFont="1">
      <alignment horizontal="center" readingOrder="0" shrinkToFit="0" vertical="center" wrapText="1"/>
    </xf>
    <xf borderId="4" fillId="18" fontId="31" numFmtId="0" xfId="0" applyAlignment="1" applyBorder="1" applyFont="1">
      <alignment horizontal="center" readingOrder="0" shrinkToFit="0" vertical="center" wrapText="1"/>
    </xf>
    <xf borderId="5" fillId="18" fontId="31" numFmtId="0" xfId="0" applyAlignment="1" applyBorder="1" applyFont="1">
      <alignment horizontal="center" readingOrder="0" shrinkToFit="0" vertical="center" wrapText="1"/>
    </xf>
    <xf borderId="1" fillId="18" fontId="31" numFmtId="0" xfId="0" applyAlignment="1" applyBorder="1" applyFont="1">
      <alignment horizontal="center" readingOrder="0" shrinkToFit="0" vertical="center" wrapText="1"/>
    </xf>
    <xf borderId="6" fillId="18" fontId="31" numFmtId="0" xfId="0" applyAlignment="1" applyBorder="1" applyFont="1">
      <alignment horizontal="center" readingOrder="0" shrinkToFit="0" vertical="center" wrapText="1"/>
    </xf>
    <xf borderId="1" fillId="18" fontId="31" numFmtId="0" xfId="0" applyAlignment="1" applyBorder="1" applyFont="1">
      <alignment readingOrder="0" shrinkToFit="0" wrapText="1"/>
    </xf>
    <xf borderId="7" fillId="0" fontId="30" numFmtId="0" xfId="0" applyBorder="1" applyFont="1"/>
    <xf borderId="4" fillId="0" fontId="32" numFmtId="0" xfId="0" applyAlignment="1" applyBorder="1" applyFont="1">
      <alignment horizontal="center" readingOrder="0" shrinkToFit="0" vertical="center" wrapText="1"/>
    </xf>
    <xf borderId="3" fillId="0" fontId="32" numFmtId="0" xfId="0" applyAlignment="1" applyBorder="1" applyFont="1">
      <alignment horizontal="center" readingOrder="0" shrinkToFit="0" vertical="center" wrapText="1"/>
    </xf>
    <xf borderId="5" fillId="0" fontId="32" numFmtId="0" xfId="0" applyAlignment="1" applyBorder="1" applyFont="1">
      <alignment horizontal="center" readingOrder="0" shrinkToFit="0" vertical="center" wrapText="1"/>
    </xf>
    <xf borderId="2" fillId="8" fontId="32" numFmtId="0" xfId="0" applyAlignment="1" applyBorder="1" applyFont="1">
      <alignment horizontal="center" readingOrder="0" shrinkToFit="0" vertical="center" wrapText="1"/>
    </xf>
    <xf borderId="4" fillId="8" fontId="32" numFmtId="0" xfId="0" applyAlignment="1" applyBorder="1" applyFont="1">
      <alignment horizontal="center" readingOrder="0" shrinkToFit="0" vertical="center" wrapText="1"/>
    </xf>
    <xf borderId="5" fillId="8" fontId="32" numFmtId="0" xfId="0" applyAlignment="1" applyBorder="1" applyFont="1">
      <alignment horizontal="center" readingOrder="0" shrinkToFit="0" vertical="center" wrapText="1"/>
    </xf>
    <xf borderId="5" fillId="31" fontId="32" numFmtId="0" xfId="0" applyAlignment="1" applyBorder="1" applyFill="1" applyFont="1">
      <alignment horizontal="center" readingOrder="0" shrinkToFit="0" vertical="center" wrapText="1"/>
    </xf>
    <xf borderId="4" fillId="31" fontId="32" numFmtId="0" xfId="0" applyAlignment="1" applyBorder="1" applyFont="1">
      <alignment horizontal="center" readingOrder="0" shrinkToFit="0" vertical="center" wrapText="1"/>
    </xf>
    <xf borderId="2" fillId="31" fontId="32" numFmtId="0" xfId="0" applyAlignment="1" applyBorder="1" applyFont="1">
      <alignment horizontal="center" readingOrder="0" shrinkToFit="0" vertical="center" wrapText="1"/>
    </xf>
    <xf borderId="1" fillId="8" fontId="32" numFmtId="0" xfId="0" applyAlignment="1" applyBorder="1" applyFont="1">
      <alignment horizontal="center" readingOrder="0" shrinkToFit="0" vertical="center" wrapText="1"/>
    </xf>
    <xf borderId="6" fillId="31" fontId="32" numFmtId="0" xfId="0" applyAlignment="1" applyBorder="1" applyFont="1">
      <alignment horizontal="center" readingOrder="0" shrinkToFit="0" vertical="center" wrapText="1"/>
    </xf>
    <xf borderId="1" fillId="0" fontId="31" numFmtId="0" xfId="0" applyAlignment="1" applyBorder="1" applyFont="1">
      <alignment readingOrder="0" shrinkToFit="0" vertical="center" wrapText="1"/>
    </xf>
    <xf borderId="8" fillId="0" fontId="30" numFmtId="0" xfId="0" applyBorder="1" applyFont="1"/>
    <xf borderId="1" fillId="8" fontId="33" numFmtId="0" xfId="0" applyAlignment="1" applyBorder="1" applyFont="1">
      <alignment horizontal="center" readingOrder="0" shrinkToFit="0" vertical="center" wrapText="1"/>
    </xf>
    <xf borderId="9" fillId="0" fontId="5" numFmtId="0" xfId="0" applyBorder="1" applyFont="1"/>
    <xf borderId="2" fillId="8" fontId="33" numFmtId="0" xfId="0" applyAlignment="1" applyBorder="1" applyFont="1">
      <alignment horizontal="center" readingOrder="0" shrinkToFit="0" vertical="center" wrapText="1"/>
    </xf>
    <xf borderId="4" fillId="0" fontId="33" numFmtId="0" xfId="0" applyAlignment="1" applyBorder="1" applyFont="1">
      <alignment horizontal="center" shrinkToFit="0" vertical="center" wrapText="1"/>
    </xf>
    <xf borderId="4" fillId="0" fontId="33" numFmtId="0" xfId="0" applyAlignment="1" applyBorder="1" applyFont="1">
      <alignment horizontal="center" readingOrder="0" shrinkToFit="0" vertical="center" wrapText="1"/>
    </xf>
    <xf borderId="5" fillId="0" fontId="33" numFmtId="0" xfId="0" applyAlignment="1" applyBorder="1" applyFont="1">
      <alignment horizontal="center" readingOrder="0" shrinkToFit="0" vertical="center" wrapText="1"/>
    </xf>
    <xf borderId="2" fillId="0" fontId="33" numFmtId="0" xfId="0" applyAlignment="1" applyBorder="1" applyFont="1">
      <alignment horizontal="center" readingOrder="0" shrinkToFit="0" vertical="center" wrapText="1"/>
    </xf>
    <xf borderId="4" fillId="0" fontId="34" numFmtId="0" xfId="0" applyAlignment="1" applyBorder="1" applyFont="1">
      <alignment horizontal="center" readingOrder="0" shrinkToFit="0" vertical="center" wrapText="1"/>
    </xf>
    <xf borderId="1" fillId="0" fontId="33" numFmtId="0" xfId="0" applyAlignment="1" applyBorder="1" applyFont="1">
      <alignment horizontal="center" readingOrder="0" shrinkToFit="0" vertical="center" wrapText="1"/>
    </xf>
    <xf borderId="6" fillId="0" fontId="35" numFmtId="0" xfId="0" applyAlignment="1" applyBorder="1" applyFont="1">
      <alignment horizontal="center" readingOrder="0" shrinkToFit="0" vertical="center" wrapText="1"/>
    </xf>
    <xf borderId="4" fillId="8" fontId="33" numFmtId="0" xfId="0" applyAlignment="1" applyBorder="1" applyFont="1">
      <alignment horizontal="center" readingOrder="0" shrinkToFit="0" vertical="center" wrapText="1"/>
    </xf>
    <xf borderId="1" fillId="32" fontId="36" numFmtId="0" xfId="0" applyAlignment="1" applyBorder="1" applyFill="1" applyFont="1">
      <alignment readingOrder="0" shrinkToFit="0" wrapText="1"/>
    </xf>
    <xf borderId="10" fillId="26" fontId="31" numFmtId="0" xfId="0" applyAlignment="1" applyBorder="1" applyFont="1">
      <alignment horizontal="center" readingOrder="0" shrinkToFit="0" vertical="center" wrapText="1"/>
    </xf>
    <xf borderId="11" fillId="0" fontId="30" numFmtId="0" xfId="0" applyBorder="1" applyFont="1"/>
    <xf borderId="4" fillId="0" fontId="33" numFmtId="0" xfId="0" applyAlignment="1" applyBorder="1" applyFont="1">
      <alignment horizontal="center" shrinkToFit="0" wrapText="1"/>
    </xf>
    <xf borderId="4" fillId="0" fontId="33" numFmtId="0" xfId="0" applyAlignment="1" applyBorder="1" applyFont="1">
      <alignment horizontal="center" readingOrder="0" shrinkToFit="0" wrapText="1"/>
    </xf>
    <xf borderId="5" fillId="0" fontId="33" numFmtId="0" xfId="0" applyAlignment="1" applyBorder="1" applyFont="1">
      <alignment horizontal="center" readingOrder="0" shrinkToFit="0" wrapText="1"/>
    </xf>
    <xf borderId="5" fillId="8" fontId="33" numFmtId="0" xfId="0" applyAlignment="1" applyBorder="1" applyFont="1">
      <alignment horizontal="center" readingOrder="0" shrinkToFit="0" vertical="center" wrapText="1"/>
    </xf>
    <xf borderId="6" fillId="8" fontId="33" numFmtId="0" xfId="0" applyAlignment="1" applyBorder="1" applyFont="1">
      <alignment horizontal="center" readingOrder="0" shrinkToFit="0" vertical="center" wrapText="1"/>
    </xf>
    <xf borderId="4" fillId="8" fontId="31" numFmtId="0" xfId="0" applyAlignment="1" applyBorder="1" applyFont="1">
      <alignment horizontal="center" readingOrder="0" shrinkToFit="0" vertical="center" wrapText="1"/>
    </xf>
    <xf borderId="12" fillId="0" fontId="31" numFmtId="0" xfId="0" applyAlignment="1" applyBorder="1" applyFont="1">
      <alignment readingOrder="0" shrinkToFit="0" vertical="center" wrapText="1"/>
    </xf>
    <xf borderId="13" fillId="0" fontId="30" numFmtId="0" xfId="0" applyBorder="1" applyFont="1"/>
    <xf borderId="14" fillId="0" fontId="30" numFmtId="0" xfId="0" applyBorder="1" applyFont="1"/>
    <xf borderId="15" fillId="0" fontId="30" numFmtId="0" xfId="0" applyBorder="1" applyFont="1"/>
    <xf borderId="12" fillId="0" fontId="33" numFmtId="0" xfId="0" applyAlignment="1" applyBorder="1" applyFont="1">
      <alignment horizontal="center" readingOrder="0" shrinkToFit="0" vertical="center" wrapText="1"/>
    </xf>
    <xf borderId="16" fillId="0" fontId="5" numFmtId="0" xfId="0" applyBorder="1" applyFont="1"/>
    <xf borderId="13" fillId="0" fontId="33" numFmtId="0" xfId="0" applyAlignment="1" applyBorder="1" applyFont="1">
      <alignment horizontal="center" readingOrder="0" shrinkToFit="0" vertical="center" wrapText="1"/>
    </xf>
    <xf borderId="17" fillId="16" fontId="33" numFmtId="0" xfId="0" applyAlignment="1" applyBorder="1" applyFont="1">
      <alignment horizontal="center" readingOrder="0" shrinkToFit="0" vertical="center" wrapText="1"/>
    </xf>
    <xf borderId="18" fillId="0" fontId="33" numFmtId="0" xfId="0" applyAlignment="1" applyBorder="1" applyFont="1">
      <alignment horizontal="center" readingOrder="0" shrinkToFit="0" vertical="center" wrapText="1"/>
    </xf>
    <xf borderId="18" fillId="16" fontId="33" numFmtId="0" xfId="0" applyAlignment="1" applyBorder="1" applyFont="1">
      <alignment horizontal="center" readingOrder="0" shrinkToFit="0" vertical="center" wrapText="1"/>
    </xf>
    <xf borderId="17" fillId="0" fontId="33" numFmtId="0" xfId="0" applyAlignment="1" applyBorder="1" applyFont="1">
      <alignment horizontal="center" readingOrder="0" shrinkToFit="0" vertical="center" wrapText="1"/>
    </xf>
    <xf borderId="18" fillId="0" fontId="34" numFmtId="0" xfId="0" applyAlignment="1" applyBorder="1" applyFont="1">
      <alignment horizontal="center" readingOrder="0" shrinkToFit="0" vertical="center" wrapText="1"/>
    </xf>
    <xf borderId="19" fillId="0" fontId="33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shrinkToFit="0" vertical="center" wrapText="1"/>
    </xf>
    <xf borderId="8" fillId="26" fontId="31" numFmtId="0" xfId="0" applyAlignment="1" applyBorder="1" applyFont="1">
      <alignment readingOrder="0" shrinkToFit="0" vertical="center" wrapText="1"/>
    </xf>
    <xf borderId="8" fillId="19" fontId="7" numFmtId="0" xfId="0" applyAlignment="1" applyBorder="1" applyFont="1">
      <alignment horizontal="right" shrinkToFit="0" vertical="bottom" wrapText="1"/>
    </xf>
    <xf borderId="8" fillId="15" fontId="7" numFmtId="0" xfId="0" applyAlignment="1" applyBorder="1" applyFont="1">
      <alignment readingOrder="0" shrinkToFit="0" wrapText="1"/>
    </xf>
    <xf borderId="8" fillId="16" fontId="7" numFmtId="0" xfId="0" applyAlignment="1" applyBorder="1" applyFont="1">
      <alignment shrinkToFit="0" wrapText="1"/>
    </xf>
    <xf borderId="14" fillId="8" fontId="31" numFmtId="0" xfId="0" applyAlignment="1" applyBorder="1" applyFont="1">
      <alignment horizontal="center" shrinkToFit="0" wrapText="1"/>
    </xf>
    <xf borderId="20" fillId="0" fontId="5" numFmtId="0" xfId="0" applyBorder="1" applyFont="1"/>
    <xf borderId="15" fillId="8" fontId="31" numFmtId="0" xfId="0" applyAlignment="1" applyBorder="1" applyFont="1">
      <alignment horizontal="center" shrinkToFit="0" wrapText="1"/>
    </xf>
    <xf borderId="21" fillId="8" fontId="31" numFmtId="0" xfId="0" applyAlignment="1" applyBorder="1" applyFont="1">
      <alignment horizontal="center" shrinkToFit="0" wrapText="1"/>
    </xf>
    <xf borderId="15" fillId="0" fontId="31" numFmtId="0" xfId="0" applyAlignment="1" applyBorder="1" applyFont="1">
      <alignment horizontal="center" readingOrder="0" shrinkToFit="0" wrapText="1"/>
    </xf>
    <xf borderId="8" fillId="0" fontId="31" numFmtId="0" xfId="0" applyAlignment="1" applyBorder="1" applyFont="1">
      <alignment horizontal="center" readingOrder="0" shrinkToFit="0" wrapText="1"/>
    </xf>
    <xf borderId="22" fillId="0" fontId="31" numFmtId="0" xfId="0" applyAlignment="1" applyBorder="1" applyFont="1">
      <alignment horizontal="center" readingOrder="0" shrinkToFit="0" wrapText="1"/>
    </xf>
    <xf borderId="15" fillId="0" fontId="31" numFmtId="0" xfId="0" applyAlignment="1" applyBorder="1" applyFont="1">
      <alignment horizontal="center" shrinkToFit="0" wrapText="1"/>
    </xf>
    <xf borderId="8" fillId="0" fontId="31" numFmtId="0" xfId="0" applyAlignment="1" applyBorder="1" applyFont="1">
      <alignment horizontal="center" shrinkToFit="0" wrapText="1"/>
    </xf>
    <xf borderId="22" fillId="8" fontId="31" numFmtId="0" xfId="0" applyAlignment="1" applyBorder="1" applyFont="1">
      <alignment horizontal="center" shrinkToFit="0" wrapText="1"/>
    </xf>
    <xf borderId="8" fillId="8" fontId="31" numFmtId="0" xfId="0" applyAlignment="1" applyBorder="1" applyFont="1">
      <alignment horizontal="center" shrinkToFit="0" wrapText="1"/>
    </xf>
    <xf borderId="14" fillId="0" fontId="31" numFmtId="0" xfId="0" applyAlignment="1" applyBorder="1" applyFont="1">
      <alignment horizontal="center" shrinkToFit="0" wrapText="1"/>
    </xf>
    <xf borderId="23" fillId="8" fontId="31" numFmtId="0" xfId="0" applyAlignment="1" applyBorder="1" applyFont="1">
      <alignment horizontal="center" shrinkToFit="0" wrapText="1"/>
    </xf>
    <xf borderId="22" fillId="0" fontId="31" numFmtId="0" xfId="0" applyAlignment="1" applyBorder="1" applyFont="1">
      <alignment horizontal="center" shrinkToFit="0" wrapText="1"/>
    </xf>
    <xf borderId="8" fillId="8" fontId="33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shrinkToFit="0" vertical="center" wrapText="1"/>
    </xf>
    <xf borderId="4" fillId="26" fontId="31" numFmtId="0" xfId="0" applyAlignment="1" applyBorder="1" applyFont="1">
      <alignment readingOrder="0" shrinkToFit="0" vertical="center" wrapText="1"/>
    </xf>
    <xf borderId="4" fillId="19" fontId="7" numFmtId="0" xfId="0" applyAlignment="1" applyBorder="1" applyFont="1">
      <alignment horizontal="right" readingOrder="0" shrinkToFit="0" vertical="bottom" wrapText="1"/>
    </xf>
    <xf borderId="4" fillId="15" fontId="7" numFmtId="0" xfId="0" applyAlignment="1" applyBorder="1" applyFont="1">
      <alignment horizontal="right" readingOrder="0" shrinkToFit="0" wrapText="1"/>
    </xf>
    <xf borderId="4" fillId="16" fontId="7" numFmtId="0" xfId="0" applyAlignment="1" applyBorder="1" applyFont="1">
      <alignment shrinkToFit="0" wrapText="1"/>
    </xf>
    <xf borderId="1" fillId="8" fontId="31" numFmtId="0" xfId="0" applyAlignment="1" applyBorder="1" applyFont="1">
      <alignment horizontal="center" readingOrder="0" shrinkToFit="0" wrapText="1"/>
    </xf>
    <xf borderId="2" fillId="8" fontId="31" numFmtId="0" xfId="0" applyAlignment="1" applyBorder="1" applyFont="1">
      <alignment horizontal="center" readingOrder="0" shrinkToFit="0" wrapText="1"/>
    </xf>
    <xf borderId="24" fillId="8" fontId="31" numFmtId="0" xfId="0" applyAlignment="1" applyBorder="1" applyFont="1">
      <alignment horizontal="center" readingOrder="0" shrinkToFit="0" wrapText="1"/>
    </xf>
    <xf borderId="2" fillId="0" fontId="31" numFmtId="0" xfId="0" applyAlignment="1" applyBorder="1" applyFont="1">
      <alignment horizontal="center" readingOrder="0" shrinkToFit="0" wrapText="1"/>
    </xf>
    <xf borderId="4" fillId="0" fontId="31" numFmtId="0" xfId="0" applyAlignment="1" applyBorder="1" applyFont="1">
      <alignment horizontal="center" readingOrder="0" shrinkToFit="0" wrapText="1"/>
    </xf>
    <xf borderId="5" fillId="0" fontId="31" numFmtId="0" xfId="0" applyAlignment="1" applyBorder="1" applyFont="1">
      <alignment horizontal="center" readingOrder="0" shrinkToFit="0" wrapText="1"/>
    </xf>
    <xf borderId="2" fillId="0" fontId="31" numFmtId="0" xfId="0" applyAlignment="1" applyBorder="1" applyFont="1">
      <alignment horizontal="center" shrinkToFit="0" wrapText="1"/>
    </xf>
    <xf borderId="4" fillId="0" fontId="31" numFmtId="0" xfId="0" applyAlignment="1" applyBorder="1" applyFont="1">
      <alignment horizontal="center" shrinkToFit="0" wrapText="1"/>
    </xf>
    <xf borderId="5" fillId="8" fontId="31" numFmtId="0" xfId="0" applyAlignment="1" applyBorder="1" applyFont="1">
      <alignment horizontal="center" shrinkToFit="0" wrapText="1"/>
    </xf>
    <xf borderId="2" fillId="8" fontId="31" numFmtId="0" xfId="0" applyAlignment="1" applyBorder="1" applyFont="1">
      <alignment horizontal="center" shrinkToFit="0" wrapText="1"/>
    </xf>
    <xf borderId="4" fillId="8" fontId="31" numFmtId="0" xfId="0" applyAlignment="1" applyBorder="1" applyFont="1">
      <alignment horizontal="center" shrinkToFit="0" wrapText="1"/>
    </xf>
    <xf borderId="1" fillId="0" fontId="31" numFmtId="0" xfId="0" applyAlignment="1" applyBorder="1" applyFont="1">
      <alignment horizontal="center" shrinkToFit="0" wrapText="1"/>
    </xf>
    <xf borderId="6" fillId="8" fontId="31" numFmtId="0" xfId="0" applyAlignment="1" applyBorder="1" applyFont="1">
      <alignment horizontal="center" shrinkToFit="0" wrapText="1"/>
    </xf>
    <xf borderId="5" fillId="0" fontId="31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readingOrder="0" shrinkToFit="0" vertical="center" wrapText="1"/>
    </xf>
    <xf borderId="1" fillId="0" fontId="31" numFmtId="0" xfId="0" applyAlignment="1" applyBorder="1" applyFont="1">
      <alignment horizontal="center" readingOrder="0" shrinkToFit="0" wrapText="1"/>
    </xf>
    <xf borderId="4" fillId="8" fontId="31" numFmtId="0" xfId="0" applyAlignment="1" applyBorder="1" applyFont="1">
      <alignment horizontal="center" readingOrder="0" shrinkToFit="0" wrapText="1"/>
    </xf>
    <xf borderId="4" fillId="19" fontId="7" numFmtId="0" xfId="0" applyAlignment="1" applyBorder="1" applyFont="1">
      <alignment horizontal="right" shrinkToFit="0" vertical="bottom" wrapText="1"/>
    </xf>
    <xf borderId="24" fillId="0" fontId="31" numFmtId="0" xfId="0" applyAlignment="1" applyBorder="1" applyFont="1">
      <alignment horizontal="center" readingOrder="0" shrinkToFit="0" wrapText="1"/>
    </xf>
    <xf borderId="5" fillId="8" fontId="37" numFmtId="0" xfId="0" applyAlignment="1" applyBorder="1" applyFont="1">
      <alignment horizontal="center" readingOrder="0" shrinkToFit="0" wrapText="1"/>
    </xf>
    <xf borderId="2" fillId="8" fontId="37" numFmtId="0" xfId="0" applyAlignment="1" applyBorder="1" applyFont="1">
      <alignment horizontal="center" readingOrder="0" shrinkToFit="0" wrapText="1"/>
    </xf>
    <xf borderId="4" fillId="8" fontId="37" numFmtId="0" xfId="0" applyAlignment="1" applyBorder="1" applyFont="1">
      <alignment horizontal="center" readingOrder="0" shrinkToFit="0" wrapText="1"/>
    </xf>
    <xf borderId="6" fillId="8" fontId="37" numFmtId="0" xfId="0" applyAlignment="1" applyBorder="1" applyFont="1">
      <alignment horizontal="center" readingOrder="0" shrinkToFit="0" wrapText="1"/>
    </xf>
    <xf borderId="4" fillId="0" fontId="37" numFmtId="0" xfId="0" applyAlignment="1" applyBorder="1" applyFont="1">
      <alignment horizontal="center" readingOrder="0" shrinkToFit="0" wrapText="1"/>
    </xf>
    <xf borderId="25" fillId="0" fontId="30" numFmtId="0" xfId="0" applyBorder="1" applyFont="1"/>
    <xf borderId="26" fillId="0" fontId="7" numFmtId="0" xfId="0" applyAlignment="1" applyBorder="1" applyFont="1">
      <alignment readingOrder="0" shrinkToFit="0" vertical="center" wrapText="1"/>
    </xf>
    <xf borderId="26" fillId="26" fontId="31" numFmtId="0" xfId="0" applyAlignment="1" applyBorder="1" applyFont="1">
      <alignment readingOrder="0" shrinkToFit="0" vertical="center" wrapText="1"/>
    </xf>
    <xf borderId="26" fillId="19" fontId="7" numFmtId="0" xfId="0" applyAlignment="1" applyBorder="1" applyFont="1">
      <alignment horizontal="right" readingOrder="0" shrinkToFit="0" vertical="bottom" wrapText="1"/>
    </xf>
    <xf borderId="26" fillId="15" fontId="7" numFmtId="0" xfId="0" applyAlignment="1" applyBorder="1" applyFont="1">
      <alignment horizontal="right" readingOrder="0" shrinkToFit="0" wrapText="1"/>
    </xf>
    <xf borderId="26" fillId="16" fontId="7" numFmtId="0" xfId="0" applyAlignment="1" applyBorder="1" applyFont="1">
      <alignment shrinkToFit="0" wrapText="1"/>
    </xf>
    <xf borderId="27" fillId="8" fontId="31" numFmtId="0" xfId="0" applyAlignment="1" applyBorder="1" applyFont="1">
      <alignment horizontal="center" readingOrder="0" shrinkToFit="0" wrapText="1"/>
    </xf>
    <xf borderId="28" fillId="0" fontId="5" numFmtId="0" xfId="0" applyBorder="1" applyFont="1"/>
    <xf borderId="29" fillId="8" fontId="31" numFmtId="0" xfId="0" applyAlignment="1" applyBorder="1" applyFont="1">
      <alignment horizontal="center" readingOrder="0" shrinkToFit="0" wrapText="1"/>
    </xf>
    <xf borderId="30" fillId="8" fontId="31" numFmtId="0" xfId="0" applyAlignment="1" applyBorder="1" applyFont="1">
      <alignment horizontal="center" readingOrder="0" shrinkToFit="0" wrapText="1"/>
    </xf>
    <xf borderId="29" fillId="0" fontId="31" numFmtId="0" xfId="0" applyAlignment="1" applyBorder="1" applyFont="1">
      <alignment horizontal="center" readingOrder="0" shrinkToFit="0" wrapText="1"/>
    </xf>
    <xf borderId="26" fillId="0" fontId="31" numFmtId="0" xfId="0" applyAlignment="1" applyBorder="1" applyFont="1">
      <alignment horizontal="center" readingOrder="0" shrinkToFit="0" wrapText="1"/>
    </xf>
    <xf borderId="31" fillId="0" fontId="31" numFmtId="0" xfId="0" applyAlignment="1" applyBorder="1" applyFont="1">
      <alignment horizontal="center" readingOrder="0" shrinkToFit="0" wrapText="1"/>
    </xf>
    <xf borderId="29" fillId="0" fontId="31" numFmtId="0" xfId="0" applyAlignment="1" applyBorder="1" applyFont="1">
      <alignment horizontal="center" shrinkToFit="0" wrapText="1"/>
    </xf>
    <xf borderId="26" fillId="0" fontId="31" numFmtId="0" xfId="0" applyAlignment="1" applyBorder="1" applyFont="1">
      <alignment horizontal="center" shrinkToFit="0" wrapText="1"/>
    </xf>
    <xf borderId="31" fillId="8" fontId="31" numFmtId="0" xfId="0" applyAlignment="1" applyBorder="1" applyFont="1">
      <alignment horizontal="center" shrinkToFit="0" wrapText="1"/>
    </xf>
    <xf borderId="29" fillId="8" fontId="31" numFmtId="0" xfId="0" applyAlignment="1" applyBorder="1" applyFont="1">
      <alignment horizontal="center" shrinkToFit="0" wrapText="1"/>
    </xf>
    <xf borderId="26" fillId="8" fontId="31" numFmtId="0" xfId="0" applyAlignment="1" applyBorder="1" applyFont="1">
      <alignment horizontal="center" shrinkToFit="0" wrapText="1"/>
    </xf>
    <xf borderId="27" fillId="0" fontId="31" numFmtId="0" xfId="0" applyAlignment="1" applyBorder="1" applyFont="1">
      <alignment horizontal="center" shrinkToFit="0" wrapText="1"/>
    </xf>
    <xf borderId="32" fillId="8" fontId="31" numFmtId="0" xfId="0" applyAlignment="1" applyBorder="1" applyFont="1">
      <alignment horizontal="center" shrinkToFit="0" wrapText="1"/>
    </xf>
    <xf borderId="31" fillId="0" fontId="31" numFmtId="0" xfId="0" applyAlignment="1" applyBorder="1" applyFont="1">
      <alignment horizontal="center" shrinkToFit="0" wrapText="1"/>
    </xf>
    <xf borderId="26" fillId="8" fontId="33" numFmtId="0" xfId="0" applyAlignment="1" applyBorder="1" applyFont="1">
      <alignment horizontal="center" readingOrder="0" shrinkToFit="0" vertical="center" wrapText="1"/>
    </xf>
    <xf borderId="8" fillId="0" fontId="7" numFmtId="174" xfId="0" applyAlignment="1" applyBorder="1" applyFont="1" applyNumberFormat="1">
      <alignment readingOrder="0" shrinkToFit="0" vertical="center" wrapText="1"/>
    </xf>
    <xf borderId="8" fillId="26" fontId="31" numFmtId="164" xfId="0" applyAlignment="1" applyBorder="1" applyFont="1" applyNumberFormat="1">
      <alignment readingOrder="0" shrinkToFit="0" vertical="center" wrapText="1"/>
    </xf>
    <xf borderId="8" fillId="15" fontId="7" numFmtId="0" xfId="0" applyAlignment="1" applyBorder="1" applyFont="1">
      <alignment horizontal="right" readingOrder="0" shrinkToFit="0" wrapText="1"/>
    </xf>
    <xf borderId="3" fillId="16" fontId="7" numFmtId="0" xfId="0" applyAlignment="1" applyBorder="1" applyFont="1">
      <alignment shrinkToFit="0" wrapText="1"/>
    </xf>
    <xf borderId="14" fillId="8" fontId="31" numFmtId="0" xfId="0" applyAlignment="1" applyBorder="1" applyFont="1">
      <alignment horizontal="center" readingOrder="0" shrinkToFit="0" wrapText="1"/>
    </xf>
    <xf borderId="15" fillId="8" fontId="31" numFmtId="0" xfId="0" applyAlignment="1" applyBorder="1" applyFont="1">
      <alignment horizontal="center" readingOrder="0" shrinkToFit="0" wrapText="1"/>
    </xf>
    <xf borderId="21" fillId="8" fontId="31" numFmtId="0" xfId="0" applyAlignment="1" applyBorder="1" applyFont="1">
      <alignment horizontal="center" readingOrder="0" shrinkToFit="0" wrapText="1"/>
    </xf>
    <xf borderId="22" fillId="8" fontId="31" numFmtId="0" xfId="0" applyAlignment="1" applyBorder="1" applyFont="1">
      <alignment horizontal="center" readingOrder="0" shrinkToFit="0" wrapText="1"/>
    </xf>
    <xf borderId="8" fillId="8" fontId="31" numFmtId="0" xfId="0" applyAlignment="1" applyBorder="1" applyFont="1">
      <alignment horizontal="center" readingOrder="0" shrinkToFit="0" wrapText="1"/>
    </xf>
    <xf borderId="23" fillId="8" fontId="31" numFmtId="0" xfId="0" applyAlignment="1" applyBorder="1" applyFont="1">
      <alignment horizontal="center" readingOrder="0" shrinkToFit="0" wrapText="1"/>
    </xf>
    <xf borderId="33" fillId="0" fontId="7" numFmtId="174" xfId="0" applyAlignment="1" applyBorder="1" applyFont="1" applyNumberFormat="1">
      <alignment readingOrder="0" shrinkToFit="0" vertical="center" wrapText="1"/>
    </xf>
    <xf borderId="33" fillId="26" fontId="31" numFmtId="164" xfId="0" applyAlignment="1" applyBorder="1" applyFont="1" applyNumberFormat="1">
      <alignment readingOrder="0" shrinkToFit="0" vertical="center" wrapText="1"/>
    </xf>
    <xf borderId="33" fillId="26" fontId="31" numFmtId="0" xfId="0" applyAlignment="1" applyBorder="1" applyFont="1">
      <alignment readingOrder="0" shrinkToFit="0" vertical="center" wrapText="1"/>
    </xf>
    <xf borderId="33" fillId="19" fontId="7" numFmtId="0" xfId="0" applyAlignment="1" applyBorder="1" applyFont="1">
      <alignment horizontal="right" readingOrder="0" shrinkToFit="0" vertical="bottom" wrapText="1"/>
    </xf>
    <xf borderId="33" fillId="15" fontId="7" numFmtId="0" xfId="0" applyAlignment="1" applyBorder="1" applyFont="1">
      <alignment horizontal="right" readingOrder="0" shrinkToFit="0" wrapText="1"/>
    </xf>
    <xf borderId="33" fillId="16" fontId="7" numFmtId="0" xfId="0" applyAlignment="1" applyBorder="1" applyFont="1">
      <alignment shrinkToFit="0" wrapText="1"/>
    </xf>
    <xf borderId="34" fillId="8" fontId="31" numFmtId="0" xfId="0" applyAlignment="1" applyBorder="1" applyFont="1">
      <alignment horizontal="center" readingOrder="0" shrinkToFit="0" wrapText="1"/>
    </xf>
    <xf borderId="35" fillId="8" fontId="31" numFmtId="0" xfId="0" applyAlignment="1" applyBorder="1" applyFont="1">
      <alignment horizontal="center" readingOrder="0" shrinkToFit="0" wrapText="1"/>
    </xf>
    <xf borderId="36" fillId="8" fontId="31" numFmtId="0" xfId="0" applyAlignment="1" applyBorder="1" applyFont="1">
      <alignment horizontal="center" readingOrder="0" shrinkToFit="0" wrapText="1"/>
    </xf>
    <xf borderId="35" fillId="0" fontId="31" numFmtId="0" xfId="0" applyAlignment="1" applyBorder="1" applyFont="1">
      <alignment horizontal="center" shrinkToFit="0" wrapText="1"/>
    </xf>
    <xf borderId="33" fillId="0" fontId="31" numFmtId="0" xfId="0" applyAlignment="1" applyBorder="1" applyFont="1">
      <alignment horizontal="center" shrinkToFit="0" wrapText="1"/>
    </xf>
    <xf borderId="33" fillId="0" fontId="31" numFmtId="0" xfId="0" applyAlignment="1" applyBorder="1" applyFont="1">
      <alignment horizontal="center" readingOrder="0" shrinkToFit="0" wrapText="1"/>
    </xf>
    <xf borderId="37" fillId="0" fontId="31" numFmtId="0" xfId="0" applyAlignment="1" applyBorder="1" applyFont="1">
      <alignment horizontal="center" readingOrder="0" shrinkToFit="0" wrapText="1"/>
    </xf>
    <xf borderId="37" fillId="8" fontId="31" numFmtId="0" xfId="0" applyAlignment="1" applyBorder="1" applyFont="1">
      <alignment horizontal="center" readingOrder="0" shrinkToFit="0" wrapText="1"/>
    </xf>
    <xf borderId="35" fillId="8" fontId="31" numFmtId="0" xfId="0" applyAlignment="1" applyBorder="1" applyFont="1">
      <alignment horizontal="center" shrinkToFit="0" wrapText="1"/>
    </xf>
    <xf borderId="33" fillId="8" fontId="31" numFmtId="0" xfId="0" applyAlignment="1" applyBorder="1" applyFont="1">
      <alignment horizontal="center" readingOrder="0" shrinkToFit="0" wrapText="1"/>
    </xf>
    <xf borderId="33" fillId="8" fontId="31" numFmtId="0" xfId="0" applyAlignment="1" applyBorder="1" applyFont="1">
      <alignment horizontal="center" shrinkToFit="0" wrapText="1"/>
    </xf>
    <xf borderId="34" fillId="0" fontId="31" numFmtId="0" xfId="0" applyAlignment="1" applyBorder="1" applyFont="1">
      <alignment horizontal="center" shrinkToFit="0" wrapText="1"/>
    </xf>
    <xf borderId="38" fillId="8" fontId="31" numFmtId="0" xfId="0" applyAlignment="1" applyBorder="1" applyFont="1">
      <alignment horizontal="center" readingOrder="0" shrinkToFit="0" wrapText="1"/>
    </xf>
    <xf borderId="37" fillId="0" fontId="31" numFmtId="0" xfId="0" applyAlignment="1" applyBorder="1" applyFont="1">
      <alignment horizontal="center" shrinkToFit="0" wrapText="1"/>
    </xf>
    <xf borderId="33" fillId="8" fontId="33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readingOrder="0" shrinkToFit="0" vertical="center" wrapText="1"/>
    </xf>
    <xf borderId="7" fillId="16" fontId="7" numFmtId="0" xfId="0" applyAlignment="1" applyBorder="1" applyFont="1">
      <alignment shrinkToFit="0" wrapText="1"/>
    </xf>
    <xf borderId="4" fillId="0" fontId="7" numFmtId="174" xfId="0" applyAlignment="1" applyBorder="1" applyFont="1" applyNumberFormat="1">
      <alignment readingOrder="0" shrinkToFit="0" vertical="center" wrapText="1"/>
    </xf>
    <xf borderId="4" fillId="26" fontId="31" numFmtId="164" xfId="0" applyAlignment="1" applyBorder="1" applyFont="1" applyNumberFormat="1">
      <alignment readingOrder="0" shrinkToFit="0" vertical="center" wrapText="1"/>
    </xf>
    <xf borderId="5" fillId="8" fontId="31" numFmtId="0" xfId="0" applyAlignment="1" applyBorder="1" applyFont="1">
      <alignment horizontal="center" readingOrder="0" shrinkToFit="0" wrapText="1"/>
    </xf>
    <xf borderId="6" fillId="8" fontId="31" numFmtId="0" xfId="0" applyAlignment="1" applyBorder="1" applyFont="1">
      <alignment horizontal="center" readingOrder="0" shrinkToFit="0" wrapText="1"/>
    </xf>
    <xf borderId="39" fillId="0" fontId="7" numFmtId="174" xfId="0" applyAlignment="1" applyBorder="1" applyFont="1" applyNumberFormat="1">
      <alignment readingOrder="0" shrinkToFit="0" vertical="center" wrapText="1"/>
    </xf>
    <xf borderId="39" fillId="26" fontId="31" numFmtId="164" xfId="0" applyAlignment="1" applyBorder="1" applyFont="1" applyNumberFormat="1">
      <alignment readingOrder="0" shrinkToFit="0" vertical="center" wrapText="1"/>
    </xf>
    <xf borderId="39" fillId="26" fontId="31" numFmtId="0" xfId="0" applyAlignment="1" applyBorder="1" applyFont="1">
      <alignment readingOrder="0" shrinkToFit="0" vertical="center" wrapText="1"/>
    </xf>
    <xf borderId="39" fillId="19" fontId="7" numFmtId="0" xfId="0" applyAlignment="1" applyBorder="1" applyFont="1">
      <alignment horizontal="right" readingOrder="0" shrinkToFit="0" vertical="bottom" wrapText="1"/>
    </xf>
    <xf borderId="39" fillId="15" fontId="7" numFmtId="0" xfId="0" applyAlignment="1" applyBorder="1" applyFont="1">
      <alignment horizontal="right" readingOrder="0" shrinkToFit="0" wrapText="1"/>
    </xf>
    <xf borderId="39" fillId="16" fontId="7" numFmtId="0" xfId="0" applyAlignment="1" applyBorder="1" applyFont="1">
      <alignment shrinkToFit="0" wrapText="1"/>
    </xf>
    <xf borderId="40" fillId="8" fontId="31" numFmtId="0" xfId="0" applyAlignment="1" applyBorder="1" applyFont="1">
      <alignment horizontal="center" readingOrder="0" shrinkToFit="0" wrapText="1"/>
    </xf>
    <xf borderId="41" fillId="8" fontId="31" numFmtId="0" xfId="0" applyAlignment="1" applyBorder="1" applyFont="1">
      <alignment horizontal="center" readingOrder="0" shrinkToFit="0" wrapText="1"/>
    </xf>
    <xf borderId="42" fillId="8" fontId="31" numFmtId="0" xfId="0" applyAlignment="1" applyBorder="1" applyFont="1">
      <alignment horizontal="center" readingOrder="0" shrinkToFit="0" wrapText="1"/>
    </xf>
    <xf borderId="41" fillId="0" fontId="31" numFmtId="0" xfId="0" applyAlignment="1" applyBorder="1" applyFont="1">
      <alignment horizontal="center" shrinkToFit="0" wrapText="1"/>
    </xf>
    <xf borderId="39" fillId="0" fontId="31" numFmtId="0" xfId="0" applyAlignment="1" applyBorder="1" applyFont="1">
      <alignment horizontal="center" shrinkToFit="0" wrapText="1"/>
    </xf>
    <xf borderId="43" fillId="0" fontId="31" numFmtId="0" xfId="0" applyAlignment="1" applyBorder="1" applyFont="1">
      <alignment horizontal="center" shrinkToFit="0" wrapText="1"/>
    </xf>
    <xf borderId="41" fillId="0" fontId="31" numFmtId="0" xfId="0" applyAlignment="1" applyBorder="1" applyFont="1">
      <alignment horizontal="center" readingOrder="0" shrinkToFit="0" wrapText="1"/>
    </xf>
    <xf borderId="39" fillId="0" fontId="31" numFmtId="0" xfId="0" applyAlignment="1" applyBorder="1" applyFont="1">
      <alignment horizontal="center" readingOrder="0" shrinkToFit="0" wrapText="1"/>
    </xf>
    <xf borderId="43" fillId="8" fontId="31" numFmtId="0" xfId="0" applyAlignment="1" applyBorder="1" applyFont="1">
      <alignment horizontal="center" readingOrder="0" shrinkToFit="0" wrapText="1"/>
    </xf>
    <xf borderId="41" fillId="8" fontId="31" numFmtId="0" xfId="0" applyAlignment="1" applyBorder="1" applyFont="1">
      <alignment horizontal="center" shrinkToFit="0" wrapText="1"/>
    </xf>
    <xf borderId="39" fillId="8" fontId="31" numFmtId="0" xfId="0" applyAlignment="1" applyBorder="1" applyFont="1">
      <alignment horizontal="center" readingOrder="0" shrinkToFit="0" wrapText="1"/>
    </xf>
    <xf borderId="39" fillId="8" fontId="31" numFmtId="0" xfId="0" applyAlignment="1" applyBorder="1" applyFont="1">
      <alignment horizontal="center" shrinkToFit="0" wrapText="1"/>
    </xf>
    <xf borderId="40" fillId="0" fontId="31" numFmtId="0" xfId="0" applyAlignment="1" applyBorder="1" applyFont="1">
      <alignment horizontal="center" readingOrder="0" shrinkToFit="0" wrapText="1"/>
    </xf>
    <xf borderId="44" fillId="8" fontId="31" numFmtId="0" xfId="0" applyAlignment="1" applyBorder="1" applyFont="1">
      <alignment horizontal="center" readingOrder="0" shrinkToFit="0" wrapText="1"/>
    </xf>
    <xf borderId="43" fillId="0" fontId="31" numFmtId="0" xfId="0" applyAlignment="1" applyBorder="1" applyFont="1">
      <alignment horizontal="center" readingOrder="0" shrinkToFit="0" wrapText="1"/>
    </xf>
    <xf borderId="39" fillId="8" fontId="33" numFmtId="0" xfId="0" applyAlignment="1" applyBorder="1" applyFont="1">
      <alignment horizontal="center" readingOrder="0" shrinkToFit="0" vertical="center" wrapText="1"/>
    </xf>
    <xf borderId="7" fillId="0" fontId="7" numFmtId="174" xfId="0" applyAlignment="1" applyBorder="1" applyFont="1" applyNumberFormat="1">
      <alignment readingOrder="0" shrinkToFit="0" vertical="center" wrapText="1"/>
    </xf>
    <xf borderId="7" fillId="26" fontId="31" numFmtId="164" xfId="0" applyAlignment="1" applyBorder="1" applyFont="1" applyNumberFormat="1">
      <alignment readingOrder="0" shrinkToFit="0" vertical="center" wrapText="1"/>
    </xf>
    <xf borderId="7" fillId="26" fontId="31" numFmtId="0" xfId="0" applyAlignment="1" applyBorder="1" applyFont="1">
      <alignment readingOrder="0" shrinkToFit="0" vertical="center" wrapText="1"/>
    </xf>
    <xf borderId="7" fillId="19" fontId="7" numFmtId="0" xfId="0" applyAlignment="1" applyBorder="1" applyFont="1">
      <alignment horizontal="right" shrinkToFit="0" vertical="bottom" wrapText="1"/>
    </xf>
    <xf borderId="7" fillId="15" fontId="7" numFmtId="0" xfId="0" applyAlignment="1" applyBorder="1" applyFont="1">
      <alignment horizontal="right" readingOrder="0" shrinkToFit="0" wrapText="1"/>
    </xf>
    <xf borderId="45" fillId="0" fontId="31" numFmtId="0" xfId="0" applyAlignment="1" applyBorder="1" applyFont="1">
      <alignment horizontal="center" readingOrder="0" shrinkToFit="0" wrapText="1"/>
    </xf>
    <xf borderId="46" fillId="0" fontId="31" numFmtId="0" xfId="0" applyAlignment="1" applyBorder="1" applyFont="1">
      <alignment horizontal="center" readingOrder="0" shrinkToFit="0" wrapText="1"/>
    </xf>
    <xf borderId="7" fillId="0" fontId="31" numFmtId="0" xfId="0" applyAlignment="1" applyBorder="1" applyFont="1">
      <alignment horizontal="center" readingOrder="0" shrinkToFit="0" wrapText="1"/>
    </xf>
    <xf borderId="47" fillId="0" fontId="31" numFmtId="0" xfId="0" applyAlignment="1" applyBorder="1" applyFont="1">
      <alignment horizontal="center" readingOrder="0" shrinkToFit="0" wrapText="1"/>
    </xf>
    <xf borderId="48" fillId="0" fontId="31" numFmtId="0" xfId="0" applyAlignment="1" applyBorder="1" applyFont="1">
      <alignment horizontal="center" readingOrder="0" shrinkToFit="0" wrapText="1"/>
    </xf>
    <xf borderId="48" fillId="8" fontId="31" numFmtId="0" xfId="0" applyAlignment="1" applyBorder="1" applyFont="1">
      <alignment horizontal="center" readingOrder="0" shrinkToFit="0" wrapText="1"/>
    </xf>
    <xf borderId="46" fillId="8" fontId="31" numFmtId="0" xfId="0" applyAlignment="1" applyBorder="1" applyFont="1">
      <alignment horizontal="center" readingOrder="0" shrinkToFit="0" wrapText="1"/>
    </xf>
    <xf borderId="7" fillId="8" fontId="31" numFmtId="0" xfId="0" applyAlignment="1" applyBorder="1" applyFont="1">
      <alignment horizontal="center" readingOrder="0" shrinkToFit="0" wrapText="1"/>
    </xf>
    <xf borderId="49" fillId="8" fontId="31" numFmtId="0" xfId="0" applyAlignment="1" applyBorder="1" applyFont="1">
      <alignment horizontal="center" readingOrder="0" shrinkToFit="0" wrapText="1"/>
    </xf>
    <xf borderId="46" fillId="8" fontId="31" numFmtId="0" xfId="0" applyAlignment="1" applyBorder="1" applyFont="1">
      <alignment horizontal="center" shrinkToFit="0" wrapText="1"/>
    </xf>
    <xf borderId="7" fillId="8" fontId="31" numFmtId="0" xfId="0" applyAlignment="1" applyBorder="1" applyFont="1">
      <alignment horizontal="center" shrinkToFit="0" wrapText="1"/>
    </xf>
    <xf borderId="7" fillId="8" fontId="33" numFmtId="0" xfId="0" applyAlignment="1" applyBorder="1" applyFont="1">
      <alignment horizontal="center" readingOrder="0" shrinkToFit="0" vertical="center" wrapText="1"/>
    </xf>
    <xf borderId="50" fillId="8" fontId="31" numFmtId="0" xfId="0" applyAlignment="1" applyBorder="1" applyFont="1">
      <alignment horizontal="center" readingOrder="0" shrinkToFit="0" wrapText="1"/>
    </xf>
    <xf borderId="25" fillId="0" fontId="7" numFmtId="0" xfId="0" applyAlignment="1" applyBorder="1" applyFont="1">
      <alignment readingOrder="0" shrinkToFit="0" vertical="center" wrapText="1"/>
    </xf>
    <xf borderId="25" fillId="26" fontId="31" numFmtId="164" xfId="0" applyAlignment="1" applyBorder="1" applyFont="1" applyNumberFormat="1">
      <alignment readingOrder="0" shrinkToFit="0" vertical="center" wrapText="1"/>
    </xf>
    <xf borderId="25" fillId="26" fontId="31" numFmtId="0" xfId="0" applyAlignment="1" applyBorder="1" applyFont="1">
      <alignment readingOrder="0" shrinkToFit="0" vertical="center" wrapText="1"/>
    </xf>
    <xf borderId="25" fillId="19" fontId="7" numFmtId="0" xfId="0" applyAlignment="1" applyBorder="1" applyFont="1">
      <alignment horizontal="right" readingOrder="0" shrinkToFit="0" vertical="bottom" wrapText="1"/>
    </xf>
    <xf borderId="25" fillId="15" fontId="7" numFmtId="0" xfId="0" applyAlignment="1" applyBorder="1" applyFont="1">
      <alignment horizontal="right" readingOrder="0" shrinkToFit="0" wrapText="1"/>
    </xf>
    <xf borderId="25" fillId="16" fontId="7" numFmtId="0" xfId="0" applyAlignment="1" applyBorder="1" applyFont="1">
      <alignment shrinkToFit="0" wrapText="1"/>
    </xf>
    <xf borderId="25" fillId="8" fontId="31" numFmtId="0" xfId="0" applyAlignment="1" applyBorder="1" applyFont="1">
      <alignment horizontal="center" readingOrder="0" shrinkToFit="0" wrapText="1"/>
    </xf>
    <xf borderId="25" fillId="0" fontId="31" numFmtId="0" xfId="0" applyAlignment="1" applyBorder="1" applyFont="1">
      <alignment horizontal="center" readingOrder="0" shrinkToFit="0" wrapText="1"/>
    </xf>
    <xf borderId="51" fillId="8" fontId="31" numFmtId="0" xfId="0" applyAlignment="1" applyBorder="1" applyFont="1">
      <alignment horizontal="center" readingOrder="0" shrinkToFit="0" wrapText="1"/>
    </xf>
    <xf borderId="52" fillId="0" fontId="31" numFmtId="0" xfId="0" applyAlignment="1" applyBorder="1" applyFont="1">
      <alignment horizontal="center" shrinkToFit="0" wrapText="1"/>
    </xf>
    <xf borderId="25" fillId="0" fontId="31" numFmtId="0" xfId="0" applyAlignment="1" applyBorder="1" applyFont="1">
      <alignment horizontal="center" shrinkToFit="0" wrapText="1"/>
    </xf>
    <xf borderId="51" fillId="0" fontId="31" numFmtId="0" xfId="0" applyAlignment="1" applyBorder="1" applyFont="1">
      <alignment horizontal="center" shrinkToFit="0" wrapText="1"/>
    </xf>
    <xf borderId="52" fillId="8" fontId="31" numFmtId="0" xfId="0" applyAlignment="1" applyBorder="1" applyFont="1">
      <alignment horizontal="center" shrinkToFit="0" wrapText="1"/>
    </xf>
    <xf borderId="25" fillId="8" fontId="31" numFmtId="0" xfId="0" applyAlignment="1" applyBorder="1" applyFont="1">
      <alignment horizontal="center" shrinkToFit="0" wrapText="1"/>
    </xf>
    <xf borderId="51" fillId="0" fontId="31" numFmtId="0" xfId="0" applyAlignment="1" applyBorder="1" applyFont="1">
      <alignment horizontal="center" readingOrder="0" shrinkToFit="0" wrapText="1"/>
    </xf>
    <xf borderId="52" fillId="8" fontId="31" numFmtId="0" xfId="0" applyAlignment="1" applyBorder="1" applyFont="1">
      <alignment horizontal="center" readingOrder="0" shrinkToFit="0" wrapText="1"/>
    </xf>
    <xf borderId="53" fillId="0" fontId="31" numFmtId="0" xfId="0" applyAlignment="1" applyBorder="1" applyFont="1">
      <alignment horizontal="center" shrinkToFit="0" wrapText="1"/>
    </xf>
    <xf borderId="54" fillId="8" fontId="31" numFmtId="0" xfId="0" applyAlignment="1" applyBorder="1" applyFont="1">
      <alignment horizontal="center" readingOrder="0" shrinkToFit="0" wrapText="1"/>
    </xf>
    <xf borderId="25" fillId="8" fontId="33" numFmtId="0" xfId="0" applyAlignment="1" applyBorder="1" applyFont="1">
      <alignment horizontal="center" readingOrder="0" shrinkToFit="0" vertical="center" wrapText="1"/>
    </xf>
    <xf borderId="8" fillId="19" fontId="7" numFmtId="0" xfId="0" applyAlignment="1" applyBorder="1" applyFont="1">
      <alignment horizontal="right" readingOrder="0" shrinkToFit="0" vertical="center" wrapText="1"/>
    </xf>
    <xf borderId="8" fillId="15" fontId="7" numFmtId="0" xfId="0" applyAlignment="1" applyBorder="1" applyFont="1">
      <alignment horizontal="right" readingOrder="0" shrinkToFit="0" vertical="center" wrapText="1"/>
    </xf>
    <xf borderId="7" fillId="16" fontId="7" numFmtId="0" xfId="0" applyAlignment="1" applyBorder="1" applyFont="1">
      <alignment shrinkToFit="0" vertical="center" wrapText="1"/>
    </xf>
    <xf borderId="8" fillId="8" fontId="31" numFmtId="0" xfId="0" applyAlignment="1" applyBorder="1" applyFont="1">
      <alignment horizontal="center" readingOrder="0" shrinkToFit="0" vertical="center" wrapText="1"/>
    </xf>
    <xf borderId="8" fillId="33" fontId="31" numFmtId="0" xfId="0" applyAlignment="1" applyBorder="1" applyFill="1" applyFont="1">
      <alignment horizontal="center" readingOrder="0" shrinkToFit="0" vertical="center" wrapText="1"/>
    </xf>
    <xf borderId="22" fillId="33" fontId="31" numFmtId="0" xfId="0" applyAlignment="1" applyBorder="1" applyFont="1">
      <alignment horizontal="center" readingOrder="0" shrinkToFit="0" vertical="center" wrapText="1"/>
    </xf>
    <xf borderId="15" fillId="33" fontId="31" numFmtId="0" xfId="0" applyAlignment="1" applyBorder="1" applyFont="1">
      <alignment horizontal="center" readingOrder="0" shrinkToFit="0" vertical="center" wrapText="1"/>
    </xf>
    <xf borderId="8" fillId="0" fontId="31" numFmtId="0" xfId="0" applyAlignment="1" applyBorder="1" applyFont="1">
      <alignment horizontal="center" shrinkToFit="0" vertical="center" wrapText="1"/>
    </xf>
    <xf borderId="8" fillId="0" fontId="31" numFmtId="0" xfId="0" applyAlignment="1" applyBorder="1" applyFont="1">
      <alignment horizontal="center" readingOrder="0" shrinkToFit="0" vertical="center" wrapText="1"/>
    </xf>
    <xf borderId="22" fillId="0" fontId="31" numFmtId="0" xfId="0" applyAlignment="1" applyBorder="1" applyFont="1">
      <alignment horizontal="center" readingOrder="0" shrinkToFit="0" vertical="center" wrapText="1"/>
    </xf>
    <xf borderId="15" fillId="0" fontId="31" numFmtId="0" xfId="0" applyAlignment="1" applyBorder="1" applyFont="1">
      <alignment horizontal="center" shrinkToFit="0" vertical="center" wrapText="1"/>
    </xf>
    <xf borderId="55" fillId="33" fontId="31" numFmtId="0" xfId="0" applyAlignment="1" applyBorder="1" applyFont="1">
      <alignment horizontal="center" readingOrder="0" shrinkToFit="0" vertical="center" wrapText="1"/>
    </xf>
    <xf borderId="22" fillId="8" fontId="31" numFmtId="0" xfId="0" applyAlignment="1" applyBorder="1" applyFont="1">
      <alignment horizontal="center" readingOrder="0" shrinkToFit="0" vertical="center" wrapText="1"/>
    </xf>
    <xf borderId="15" fillId="8" fontId="31" numFmtId="0" xfId="0" applyAlignment="1" applyBorder="1" applyFont="1">
      <alignment horizontal="center" shrinkToFit="0" vertical="center" wrapText="1"/>
    </xf>
    <xf borderId="8" fillId="8" fontId="31" numFmtId="0" xfId="0" applyAlignment="1" applyBorder="1" applyFont="1">
      <alignment horizontal="center" shrinkToFit="0" vertical="center" wrapText="1"/>
    </xf>
    <xf borderId="14" fillId="0" fontId="31" numFmtId="0" xfId="0" applyAlignment="1" applyBorder="1" applyFont="1">
      <alignment horizontal="center" readingOrder="0" shrinkToFit="0" vertical="center" wrapText="1"/>
    </xf>
    <xf borderId="23" fillId="8" fontId="31" numFmtId="0" xfId="0" applyAlignment="1" applyBorder="1" applyFont="1">
      <alignment horizontal="center" readingOrder="0" shrinkToFit="0" vertical="center" wrapText="1"/>
    </xf>
    <xf borderId="15" fillId="8" fontId="31" numFmtId="0" xfId="0" applyAlignment="1" applyBorder="1" applyFont="1">
      <alignment horizontal="center" readingOrder="0" shrinkToFit="0" vertical="center" wrapText="1"/>
    </xf>
    <xf borderId="22" fillId="0" fontId="31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readingOrder="0" shrinkToFit="0" vertical="center" wrapText="1"/>
    </xf>
    <xf borderId="3" fillId="26" fontId="31" numFmtId="164" xfId="0" applyAlignment="1" applyBorder="1" applyFont="1" applyNumberFormat="1">
      <alignment readingOrder="0" shrinkToFit="0" vertical="center" wrapText="1"/>
    </xf>
    <xf borderId="3" fillId="26" fontId="31" numFmtId="0" xfId="0" applyAlignment="1" applyBorder="1" applyFont="1">
      <alignment readingOrder="0" shrinkToFit="0" vertical="center" wrapText="1"/>
    </xf>
    <xf borderId="3" fillId="19" fontId="7" numFmtId="0" xfId="0" applyAlignment="1" applyBorder="1" applyFont="1">
      <alignment horizontal="right" readingOrder="0" shrinkToFit="0" vertical="bottom" wrapText="1"/>
    </xf>
    <xf borderId="3" fillId="15" fontId="7" numFmtId="0" xfId="0" applyAlignment="1" applyBorder="1" applyFont="1">
      <alignment horizontal="right" readingOrder="0" shrinkToFit="0" wrapText="1"/>
    </xf>
    <xf borderId="3" fillId="0" fontId="31" numFmtId="0" xfId="0" applyAlignment="1" applyBorder="1" applyFont="1">
      <alignment horizontal="center" readingOrder="0" shrinkToFit="0" wrapText="1"/>
    </xf>
    <xf borderId="56" fillId="0" fontId="31" numFmtId="0" xfId="0" applyAlignment="1" applyBorder="1" applyFont="1">
      <alignment horizontal="center" readingOrder="0" shrinkToFit="0" wrapText="1"/>
    </xf>
    <xf borderId="11" fillId="0" fontId="31" numFmtId="0" xfId="0" applyAlignment="1" applyBorder="1" applyFont="1">
      <alignment horizontal="center" readingOrder="0" shrinkToFit="0" wrapText="1"/>
    </xf>
    <xf borderId="56" fillId="8" fontId="31" numFmtId="0" xfId="0" applyAlignment="1" applyBorder="1" applyFont="1">
      <alignment horizontal="center" shrinkToFit="0" wrapText="1"/>
    </xf>
    <xf borderId="11" fillId="8" fontId="31" numFmtId="0" xfId="0" applyAlignment="1" applyBorder="1" applyFont="1">
      <alignment horizontal="center" shrinkToFit="0" wrapText="1"/>
    </xf>
    <xf borderId="3" fillId="8" fontId="31" numFmtId="0" xfId="0" applyAlignment="1" applyBorder="1" applyFont="1">
      <alignment horizontal="center" shrinkToFit="0" wrapText="1"/>
    </xf>
    <xf borderId="3" fillId="8" fontId="31" numFmtId="0" xfId="0" applyAlignment="1" applyBorder="1" applyFont="1">
      <alignment horizontal="center" readingOrder="0" shrinkToFit="0" wrapText="1"/>
    </xf>
    <xf borderId="10" fillId="0" fontId="31" numFmtId="0" xfId="0" applyAlignment="1" applyBorder="1" applyFont="1">
      <alignment horizontal="center" readingOrder="0" shrinkToFit="0" wrapText="1"/>
    </xf>
    <xf borderId="57" fillId="8" fontId="31" numFmtId="0" xfId="0" applyAlignment="1" applyBorder="1" applyFont="1">
      <alignment horizontal="center" shrinkToFit="0" wrapText="1"/>
    </xf>
    <xf borderId="3" fillId="8" fontId="33" numFmtId="0" xfId="0" applyAlignment="1" applyBorder="1" applyFont="1">
      <alignment horizontal="center" readingOrder="0" shrinkToFit="0" vertical="center" wrapText="1"/>
    </xf>
    <xf borderId="58" fillId="0" fontId="7" numFmtId="0" xfId="0" applyAlignment="1" applyBorder="1" applyFont="1">
      <alignment horizontal="center" readingOrder="0" shrinkToFit="0" vertical="center" wrapText="1"/>
    </xf>
    <xf borderId="55" fillId="34" fontId="7" numFmtId="0" xfId="0" applyAlignment="1" applyBorder="1" applyFill="1" applyFont="1">
      <alignment readingOrder="0" shrinkToFit="0" vertical="center" wrapText="1"/>
    </xf>
    <xf borderId="55" fillId="26" fontId="31" numFmtId="164" xfId="0" applyAlignment="1" applyBorder="1" applyFont="1" applyNumberFormat="1">
      <alignment readingOrder="0" shrinkToFit="0" vertical="center" wrapText="1"/>
    </xf>
    <xf borderId="55" fillId="26" fontId="31" numFmtId="0" xfId="0" applyAlignment="1" applyBorder="1" applyFont="1">
      <alignment readingOrder="0" shrinkToFit="0" vertical="center" wrapText="1"/>
    </xf>
    <xf borderId="55" fillId="19" fontId="7" numFmtId="0" xfId="0" applyAlignment="1" applyBorder="1" applyFont="1">
      <alignment horizontal="right" readingOrder="0" shrinkToFit="0" vertical="bottom" wrapText="1"/>
    </xf>
    <xf borderId="55" fillId="15" fontId="7" numFmtId="0" xfId="0" applyAlignment="1" applyBorder="1" applyFont="1">
      <alignment horizontal="right" readingOrder="0" shrinkToFit="0" wrapText="1"/>
    </xf>
    <xf borderId="55" fillId="16" fontId="7" numFmtId="0" xfId="0" applyAlignment="1" applyBorder="1" applyFont="1">
      <alignment shrinkToFit="0" wrapText="1"/>
    </xf>
    <xf borderId="55" fillId="0" fontId="31" numFmtId="0" xfId="0" applyAlignment="1" applyBorder="1" applyFont="1">
      <alignment horizontal="center" readingOrder="0" shrinkToFit="0" wrapText="1"/>
    </xf>
    <xf borderId="59" fillId="33" fontId="31" numFmtId="0" xfId="0" applyAlignment="1" applyBorder="1" applyFont="1">
      <alignment horizontal="center" readingOrder="0" shrinkToFit="0" vertical="center" wrapText="1"/>
    </xf>
    <xf borderId="60" fillId="33" fontId="31" numFmtId="0" xfId="0" applyAlignment="1" applyBorder="1" applyFont="1">
      <alignment horizontal="center" readingOrder="0" shrinkToFit="0" vertical="center" wrapText="1"/>
    </xf>
    <xf borderId="61" fillId="33" fontId="31" numFmtId="0" xfId="0" applyAlignment="1" applyBorder="1" applyFont="1">
      <alignment horizontal="center" readingOrder="0" shrinkToFit="0" vertical="center" wrapText="1"/>
    </xf>
    <xf borderId="55" fillId="0" fontId="31" numFmtId="0" xfId="0" applyAlignment="1" applyBorder="1" applyFont="1">
      <alignment horizontal="center" shrinkToFit="0" wrapText="1"/>
    </xf>
    <xf borderId="59" fillId="0" fontId="31" numFmtId="0" xfId="0" applyAlignment="1" applyBorder="1" applyFont="1">
      <alignment horizontal="center" readingOrder="0" shrinkToFit="0" wrapText="1"/>
    </xf>
    <xf borderId="60" fillId="0" fontId="31" numFmtId="0" xfId="0" applyAlignment="1" applyBorder="1" applyFont="1">
      <alignment horizontal="center" shrinkToFit="0" wrapText="1"/>
    </xf>
    <xf borderId="62" fillId="0" fontId="31" numFmtId="0" xfId="0" applyAlignment="1" applyBorder="1" applyFont="1">
      <alignment horizontal="center" shrinkToFit="0" wrapText="1"/>
    </xf>
    <xf borderId="63" fillId="0" fontId="31" numFmtId="0" xfId="0" applyAlignment="1" applyBorder="1" applyFont="1">
      <alignment horizontal="center" shrinkToFit="0" wrapText="1"/>
    </xf>
    <xf borderId="55" fillId="33" fontId="31" numFmtId="0" xfId="0" applyAlignment="1" applyBorder="1" applyFont="1">
      <alignment horizontal="center" readingOrder="0" shrinkToFit="0" wrapText="1"/>
    </xf>
    <xf borderId="60" fillId="0" fontId="31" numFmtId="0" xfId="0" applyAlignment="1" applyBorder="1" applyFont="1">
      <alignment horizontal="center" readingOrder="0" shrinkToFit="0" wrapText="1"/>
    </xf>
    <xf borderId="55" fillId="0" fontId="33" numFmtId="0" xfId="0" applyAlignment="1" applyBorder="1" applyFont="1">
      <alignment horizontal="center" readingOrder="0" shrinkToFit="0" vertical="center" wrapText="1"/>
    </xf>
    <xf borderId="64" fillId="0" fontId="31" numFmtId="0" xfId="0" applyAlignment="1" applyBorder="1" applyFont="1">
      <alignment horizontal="center" readingOrder="0" shrinkToFit="0" wrapText="1"/>
    </xf>
    <xf borderId="65" fillId="0" fontId="30" numFmtId="0" xfId="0" applyBorder="1" applyFont="1"/>
    <xf borderId="8" fillId="19" fontId="7" numFmtId="0" xfId="0" applyAlignment="1" applyBorder="1" applyFont="1">
      <alignment horizontal="right" readingOrder="0" shrinkToFit="0" vertical="bottom" wrapText="1"/>
    </xf>
    <xf borderId="14" fillId="0" fontId="31" numFmtId="0" xfId="0" applyAlignment="1" applyBorder="1" applyFont="1">
      <alignment horizontal="center" readingOrder="0" shrinkToFit="0" wrapText="1"/>
    </xf>
    <xf borderId="23" fillId="0" fontId="31" numFmtId="0" xfId="0" applyAlignment="1" applyBorder="1" applyFont="1">
      <alignment horizontal="center" readingOrder="0" shrinkToFit="0" wrapText="1"/>
    </xf>
    <xf borderId="8" fillId="0" fontId="33" numFmtId="0" xfId="0" applyAlignment="1" applyBorder="1" applyFont="1">
      <alignment horizontal="center" readingOrder="0" shrinkToFit="0" vertical="center" wrapText="1"/>
    </xf>
    <xf borderId="11" fillId="0" fontId="31" numFmtId="0" xfId="0" applyAlignment="1" applyBorder="1" applyFont="1">
      <alignment horizontal="center" shrinkToFit="0" wrapText="1"/>
    </xf>
    <xf borderId="3" fillId="0" fontId="31" numFmtId="0" xfId="0" applyAlignment="1" applyBorder="1" applyFont="1">
      <alignment horizontal="center" shrinkToFit="0" wrapText="1"/>
    </xf>
    <xf borderId="57" fillId="0" fontId="31" numFmtId="0" xfId="0" applyAlignment="1" applyBorder="1" applyFont="1">
      <alignment horizontal="center" readingOrder="0" shrinkToFit="0" wrapText="1"/>
    </xf>
    <xf borderId="66" fillId="0" fontId="31" numFmtId="0" xfId="0" applyAlignment="1" applyBorder="1" applyFont="1">
      <alignment horizontal="center" readingOrder="0" shrinkToFit="0" wrapText="1"/>
    </xf>
    <xf borderId="3" fillId="0" fontId="33" numFmtId="0" xfId="0" applyAlignment="1" applyBorder="1" applyFont="1">
      <alignment horizontal="center" readingOrder="0" shrinkToFit="0" vertical="center" wrapText="1"/>
    </xf>
    <xf borderId="67" fillId="0" fontId="30" numFmtId="0" xfId="0" applyBorder="1" applyFont="1"/>
    <xf borderId="68" fillId="0" fontId="7" numFmtId="0" xfId="0" applyAlignment="1" applyBorder="1" applyFont="1">
      <alignment horizontal="center" readingOrder="0" shrinkToFit="0" vertical="center" wrapText="1"/>
    </xf>
    <xf borderId="69" fillId="34" fontId="7" numFmtId="0" xfId="0" applyAlignment="1" applyBorder="1" applyFont="1">
      <alignment readingOrder="0" shrinkToFit="0" vertical="center" wrapText="1"/>
    </xf>
    <xf borderId="69" fillId="26" fontId="31" numFmtId="164" xfId="0" applyAlignment="1" applyBorder="1" applyFont="1" applyNumberFormat="1">
      <alignment readingOrder="0" shrinkToFit="0" vertical="center" wrapText="1"/>
    </xf>
    <xf borderId="69" fillId="26" fontId="31" numFmtId="0" xfId="0" applyAlignment="1" applyBorder="1" applyFont="1">
      <alignment readingOrder="0" shrinkToFit="0" vertical="center" wrapText="1"/>
    </xf>
    <xf borderId="69" fillId="19" fontId="7" numFmtId="0" xfId="0" applyAlignment="1" applyBorder="1" applyFont="1">
      <alignment horizontal="right" readingOrder="0" shrinkToFit="0" vertical="bottom" wrapText="1"/>
    </xf>
    <xf borderId="69" fillId="15" fontId="7" numFmtId="0" xfId="0" applyAlignment="1" applyBorder="1" applyFont="1">
      <alignment horizontal="right" readingOrder="0" shrinkToFit="0" wrapText="1"/>
    </xf>
    <xf borderId="69" fillId="16" fontId="7" numFmtId="0" xfId="0" applyAlignment="1" applyBorder="1" applyFont="1">
      <alignment shrinkToFit="0" wrapText="1"/>
    </xf>
    <xf borderId="69" fillId="0" fontId="31" numFmtId="0" xfId="0" applyAlignment="1" applyBorder="1" applyFont="1">
      <alignment horizontal="center" readingOrder="0" shrinkToFit="0" wrapText="1"/>
    </xf>
    <xf borderId="69" fillId="33" fontId="31" numFmtId="0" xfId="0" applyAlignment="1" applyBorder="1" applyFont="1">
      <alignment horizontal="center" readingOrder="0" shrinkToFit="0" wrapText="1"/>
    </xf>
    <xf borderId="70" fillId="33" fontId="31" numFmtId="0" xfId="0" applyAlignment="1" applyBorder="1" applyFont="1">
      <alignment horizontal="center" readingOrder="0" shrinkToFit="0" wrapText="1"/>
    </xf>
    <xf borderId="71" fillId="33" fontId="31" numFmtId="0" xfId="0" applyAlignment="1" applyBorder="1" applyFont="1">
      <alignment horizontal="center" readingOrder="0" shrinkToFit="0" wrapText="1"/>
    </xf>
    <xf borderId="69" fillId="16" fontId="38" numFmtId="0" xfId="0" applyAlignment="1" applyBorder="1" applyFont="1">
      <alignment horizontal="center" readingOrder="0" shrinkToFit="0" wrapText="1"/>
    </xf>
    <xf borderId="71" fillId="0" fontId="31" numFmtId="0" xfId="0" applyAlignment="1" applyBorder="1" applyFont="1">
      <alignment horizontal="center" readingOrder="0" shrinkToFit="0" wrapText="1"/>
    </xf>
    <xf borderId="70" fillId="0" fontId="31" numFmtId="0" xfId="0" applyAlignment="1" applyBorder="1" applyFont="1">
      <alignment horizontal="center" readingOrder="0" shrinkToFit="0" wrapText="1"/>
    </xf>
    <xf borderId="71" fillId="0" fontId="31" numFmtId="0" xfId="0" applyAlignment="1" applyBorder="1" applyFont="1">
      <alignment horizontal="center" shrinkToFit="0" wrapText="1"/>
    </xf>
    <xf borderId="69" fillId="0" fontId="31" numFmtId="0" xfId="0" applyAlignment="1" applyBorder="1" applyFont="1">
      <alignment horizontal="center" shrinkToFit="0" wrapText="1"/>
    </xf>
    <xf borderId="72" fillId="0" fontId="31" numFmtId="0" xfId="0" applyAlignment="1" applyBorder="1" applyFont="1">
      <alignment horizontal="center" readingOrder="0" shrinkToFit="0" wrapText="1"/>
    </xf>
    <xf borderId="73" fillId="0" fontId="31" numFmtId="0" xfId="0" applyAlignment="1" applyBorder="1" applyFont="1">
      <alignment horizontal="center" shrinkToFit="0" wrapText="1"/>
    </xf>
    <xf borderId="74" fillId="33" fontId="31" numFmtId="0" xfId="0" applyAlignment="1" applyBorder="1" applyFont="1">
      <alignment horizontal="center" readingOrder="0" shrinkToFit="0" vertical="center" wrapText="1"/>
    </xf>
    <xf borderId="69" fillId="0" fontId="33" numFmtId="0" xfId="0" applyAlignment="1" applyBorder="1" applyFont="1">
      <alignment horizontal="center" readingOrder="0" shrinkToFit="0" vertical="center" wrapText="1"/>
    </xf>
    <xf borderId="75" fillId="0" fontId="31" numFmtId="0" xfId="0" applyAlignment="1" applyBorder="1" applyFont="1">
      <alignment horizontal="center" readingOrder="0" shrinkToFit="0" wrapText="1"/>
    </xf>
    <xf borderId="76" fillId="0" fontId="30" numFmtId="0" xfId="0" applyBorder="1" applyFont="1"/>
    <xf borderId="50" fillId="34" fontId="7" numFmtId="174" xfId="0" applyAlignment="1" applyBorder="1" applyFont="1" applyNumberFormat="1">
      <alignment readingOrder="0" shrinkToFit="0" vertical="center" wrapText="1"/>
    </xf>
    <xf borderId="50" fillId="26" fontId="31" numFmtId="164" xfId="0" applyAlignment="1" applyBorder="1" applyFont="1" applyNumberFormat="1">
      <alignment readingOrder="0" shrinkToFit="0" vertical="center" wrapText="1"/>
    </xf>
    <xf borderId="50" fillId="26" fontId="31" numFmtId="0" xfId="0" applyAlignment="1" applyBorder="1" applyFont="1">
      <alignment readingOrder="0" shrinkToFit="0" vertical="center" wrapText="1"/>
    </xf>
    <xf borderId="50" fillId="19" fontId="7" numFmtId="0" xfId="0" applyAlignment="1" applyBorder="1" applyFont="1">
      <alignment horizontal="right" readingOrder="0" shrinkToFit="0" vertical="bottom" wrapText="1"/>
    </xf>
    <xf borderId="50" fillId="15" fontId="7" numFmtId="0" xfId="0" applyAlignment="1" applyBorder="1" applyFont="1">
      <alignment horizontal="right" readingOrder="0" shrinkToFit="0" wrapText="1"/>
    </xf>
    <xf borderId="50" fillId="16" fontId="7" numFmtId="0" xfId="0" applyAlignment="1" applyBorder="1" applyFont="1">
      <alignment shrinkToFit="0" wrapText="1"/>
    </xf>
    <xf borderId="50" fillId="0" fontId="31" numFmtId="0" xfId="0" applyAlignment="1" applyBorder="1" applyFont="1">
      <alignment horizontal="center" readingOrder="0" shrinkToFit="0" wrapText="1"/>
    </xf>
    <xf borderId="50" fillId="33" fontId="31" numFmtId="0" xfId="0" applyAlignment="1" applyBorder="1" applyFont="1">
      <alignment horizontal="center" readingOrder="0" shrinkToFit="0" vertical="center" wrapText="1"/>
    </xf>
    <xf borderId="77" fillId="33" fontId="31" numFmtId="0" xfId="0" applyAlignment="1" applyBorder="1" applyFont="1">
      <alignment horizontal="center" readingOrder="0" shrinkToFit="0" vertical="center" wrapText="1"/>
    </xf>
    <xf borderId="74" fillId="0" fontId="31" numFmtId="0" xfId="0" applyAlignment="1" applyBorder="1" applyFont="1">
      <alignment horizontal="center" readingOrder="0" shrinkToFit="0" wrapText="1"/>
    </xf>
    <xf borderId="77" fillId="0" fontId="31" numFmtId="0" xfId="0" applyAlignment="1" applyBorder="1" applyFont="1">
      <alignment horizontal="center" shrinkToFit="0" wrapText="1"/>
    </xf>
    <xf borderId="50" fillId="0" fontId="31" numFmtId="0" xfId="0" applyAlignment="1" applyBorder="1" applyFont="1">
      <alignment horizontal="center" shrinkToFit="0" wrapText="1"/>
    </xf>
    <xf borderId="78" fillId="0" fontId="31" numFmtId="0" xfId="0" applyAlignment="1" applyBorder="1" applyFont="1">
      <alignment horizontal="center" readingOrder="0" shrinkToFit="0" wrapText="1"/>
    </xf>
    <xf borderId="79" fillId="0" fontId="31" numFmtId="0" xfId="0" applyAlignment="1" applyBorder="1" applyFont="1">
      <alignment horizontal="center" shrinkToFit="0" wrapText="1"/>
    </xf>
    <xf borderId="50" fillId="0" fontId="33" numFmtId="0" xfId="0" applyAlignment="1" applyBorder="1" applyFont="1">
      <alignment horizontal="center" readingOrder="0" shrinkToFit="0" vertical="center" wrapText="1"/>
    </xf>
    <xf borderId="80" fillId="0" fontId="31" numFmtId="0" xfId="0" applyAlignment="1" applyBorder="1" applyFont="1">
      <alignment horizontal="center" shrinkToFit="0" wrapText="1"/>
    </xf>
    <xf borderId="81" fillId="0" fontId="30" numFmtId="0" xfId="0" applyBorder="1" applyFont="1"/>
    <xf borderId="26" fillId="0" fontId="7" numFmtId="174" xfId="0" applyAlignment="1" applyBorder="1" applyFont="1" applyNumberFormat="1">
      <alignment readingOrder="0" shrinkToFit="0" vertical="center" wrapText="1"/>
    </xf>
    <xf borderId="26" fillId="26" fontId="31" numFmtId="164" xfId="0" applyAlignment="1" applyBorder="1" applyFont="1" applyNumberFormat="1">
      <alignment horizontal="right" readingOrder="0" shrinkToFit="0" vertical="center" wrapText="1"/>
    </xf>
    <xf borderId="26" fillId="0" fontId="16" numFmtId="0" xfId="0" applyAlignment="1" applyBorder="1" applyFont="1">
      <alignment horizontal="center" readingOrder="0" shrinkToFit="0" wrapText="1"/>
    </xf>
    <xf borderId="26" fillId="0" fontId="39" numFmtId="0" xfId="0" applyAlignment="1" applyBorder="1" applyFont="1">
      <alignment horizontal="center" readingOrder="0" shrinkToFit="0" wrapText="1"/>
    </xf>
    <xf borderId="31" fillId="8" fontId="16" numFmtId="0" xfId="0" applyAlignment="1" applyBorder="1" applyFont="1">
      <alignment horizontal="center" readingOrder="0" shrinkToFit="0" wrapText="1"/>
    </xf>
    <xf borderId="29" fillId="8" fontId="16" numFmtId="0" xfId="0" applyAlignment="1" applyBorder="1" applyFont="1">
      <alignment horizontal="center" shrinkToFit="0" wrapText="1"/>
    </xf>
    <xf borderId="26" fillId="8" fontId="16" numFmtId="0" xfId="0" applyAlignment="1" applyBorder="1" applyFont="1">
      <alignment horizontal="center" readingOrder="0" shrinkToFit="0" wrapText="1"/>
    </xf>
    <xf borderId="26" fillId="8" fontId="16" numFmtId="0" xfId="0" applyAlignment="1" applyBorder="1" applyFont="1">
      <alignment horizontal="center" shrinkToFit="0" wrapText="1"/>
    </xf>
    <xf borderId="29" fillId="8" fontId="16" numFmtId="0" xfId="0" applyAlignment="1" applyBorder="1" applyFont="1">
      <alignment horizontal="center" readingOrder="0" shrinkToFit="0" wrapText="1"/>
    </xf>
    <xf borderId="27" fillId="0" fontId="16" numFmtId="0" xfId="0" applyAlignment="1" applyBorder="1" applyFont="1">
      <alignment horizontal="center" readingOrder="0" shrinkToFit="0" wrapText="1"/>
    </xf>
    <xf borderId="32" fillId="8" fontId="16" numFmtId="0" xfId="0" applyAlignment="1" applyBorder="1" applyFont="1">
      <alignment horizontal="center" readingOrder="0" shrinkToFit="0" wrapText="1"/>
    </xf>
    <xf borderId="31" fillId="0" fontId="16" numFmtId="0" xfId="0" applyAlignment="1" applyBorder="1" applyFont="1">
      <alignment horizontal="center" readingOrder="0" shrinkToFit="0" wrapText="1"/>
    </xf>
    <xf borderId="26" fillId="8" fontId="40" numFmtId="0" xfId="0" applyAlignment="1" applyBorder="1" applyFont="1">
      <alignment horizontal="center" readingOrder="0" shrinkToFit="0" vertical="center" wrapText="1"/>
    </xf>
    <xf borderId="8" fillId="16" fontId="31" numFmtId="0" xfId="0" applyAlignment="1" applyBorder="1" applyFont="1">
      <alignment horizontal="center" readingOrder="0" shrinkToFit="0" wrapText="1"/>
    </xf>
    <xf borderId="14" fillId="16" fontId="31" numFmtId="0" xfId="0" applyAlignment="1" applyBorder="1" applyFont="1">
      <alignment horizontal="center" readingOrder="0" shrinkToFit="0" wrapText="1"/>
    </xf>
    <xf borderId="8" fillId="26" fontId="25" numFmtId="0" xfId="0" applyBorder="1" applyFont="1"/>
    <xf borderId="22" fillId="8" fontId="25" numFmtId="0" xfId="0" applyAlignment="1" applyBorder="1" applyFont="1">
      <alignment vertical="bottom"/>
    </xf>
    <xf borderId="15" fillId="8" fontId="25" numFmtId="0" xfId="0" applyAlignment="1" applyBorder="1" applyFont="1">
      <alignment vertical="bottom"/>
    </xf>
    <xf borderId="8" fillId="8" fontId="25" numFmtId="0" xfId="0" applyAlignment="1" applyBorder="1" applyFont="1">
      <alignment vertical="bottom"/>
    </xf>
    <xf borderId="8" fillId="8" fontId="25" numFmtId="0" xfId="0" applyAlignment="1" applyBorder="1" applyFont="1">
      <alignment vertical="bottom"/>
    </xf>
    <xf borderId="23" fillId="8" fontId="25" numFmtId="0" xfId="0" applyAlignment="1" applyBorder="1" applyFont="1">
      <alignment vertical="bottom"/>
    </xf>
    <xf borderId="15" fillId="8" fontId="25" numFmtId="0" xfId="0" applyAlignment="1" applyBorder="1" applyFont="1">
      <alignment readingOrder="0" vertical="bottom"/>
    </xf>
    <xf borderId="8" fillId="8" fontId="25" numFmtId="0" xfId="0" applyAlignment="1" applyBorder="1" applyFont="1">
      <alignment readingOrder="0" vertical="bottom"/>
    </xf>
    <xf borderId="8" fillId="8" fontId="25" numFmtId="0" xfId="0" applyAlignment="1" applyBorder="1" applyFont="1">
      <alignment readingOrder="0"/>
    </xf>
    <xf borderId="4" fillId="26" fontId="25" numFmtId="0" xfId="0" applyBorder="1" applyFont="1"/>
    <xf borderId="5" fillId="8" fontId="25" numFmtId="0" xfId="0" applyAlignment="1" applyBorder="1" applyFont="1">
      <alignment vertical="bottom"/>
    </xf>
    <xf borderId="11" fillId="8" fontId="25" numFmtId="0" xfId="0" applyAlignment="1" applyBorder="1" applyFont="1">
      <alignment vertical="bottom"/>
    </xf>
    <xf borderId="4" fillId="8" fontId="25" numFmtId="0" xfId="0" applyAlignment="1" applyBorder="1" applyFont="1">
      <alignment vertical="bottom"/>
    </xf>
    <xf borderId="4" fillId="8" fontId="25" numFmtId="0" xfId="0" applyAlignment="1" applyBorder="1" applyFont="1">
      <alignment vertical="bottom"/>
    </xf>
    <xf borderId="2" fillId="8" fontId="25" numFmtId="0" xfId="0" applyAlignment="1" applyBorder="1" applyFont="1">
      <alignment vertical="bottom"/>
    </xf>
    <xf borderId="1" fillId="8" fontId="25" numFmtId="0" xfId="0" applyAlignment="1" applyBorder="1" applyFont="1">
      <alignment vertical="bottom"/>
    </xf>
    <xf borderId="6" fillId="8" fontId="25" numFmtId="0" xfId="0" applyAlignment="1" applyBorder="1" applyFont="1">
      <alignment vertical="bottom"/>
    </xf>
    <xf borderId="2" fillId="8" fontId="25" numFmtId="0" xfId="0" applyAlignment="1" applyBorder="1" applyFont="1">
      <alignment readingOrder="0" vertical="bottom"/>
    </xf>
    <xf borderId="4" fillId="8" fontId="25" numFmtId="0" xfId="0" applyAlignment="1" applyBorder="1" applyFont="1">
      <alignment readingOrder="0" vertical="bottom"/>
    </xf>
    <xf borderId="4" fillId="8" fontId="25" numFmtId="0" xfId="0" applyAlignment="1" applyBorder="1" applyFont="1">
      <alignment readingOrder="0"/>
    </xf>
    <xf borderId="33" fillId="0" fontId="7" numFmtId="0" xfId="0" applyAlignment="1" applyBorder="1" applyFont="1">
      <alignment readingOrder="0" shrinkToFit="0" vertical="center" wrapText="1"/>
    </xf>
    <xf borderId="82" fillId="0" fontId="31" numFmtId="0" xfId="0" applyAlignment="1" applyBorder="1" applyFont="1">
      <alignment horizontal="center" readingOrder="0" shrinkToFit="0" wrapText="1"/>
    </xf>
    <xf borderId="9" fillId="0" fontId="31" numFmtId="0" xfId="0" applyAlignment="1" applyBorder="1" applyFont="1">
      <alignment horizontal="center" readingOrder="0" shrinkToFit="0" wrapText="1"/>
    </xf>
    <xf borderId="82" fillId="0" fontId="5" numFmtId="0" xfId="0" applyBorder="1" applyFont="1"/>
    <xf borderId="82" fillId="8" fontId="25" numFmtId="0" xfId="0" applyAlignment="1" applyBorder="1" applyFont="1">
      <alignment vertical="bottom"/>
    </xf>
    <xf borderId="2" fillId="8" fontId="25" numFmtId="0" xfId="0" applyAlignment="1" applyBorder="1" applyFont="1">
      <alignment vertical="bottom"/>
    </xf>
    <xf borderId="4" fillId="8" fontId="25" numFmtId="0" xfId="0" applyBorder="1" applyFont="1"/>
    <xf borderId="83" fillId="0" fontId="7" numFmtId="174" xfId="0" applyAlignment="1" applyBorder="1" applyFont="1" applyNumberFormat="1">
      <alignment readingOrder="0" shrinkToFit="0" vertical="center" wrapText="1"/>
    </xf>
    <xf borderId="26" fillId="26" fontId="25" numFmtId="0" xfId="0" applyAlignment="1" applyBorder="1" applyFont="1">
      <alignment vertical="center"/>
    </xf>
    <xf borderId="26" fillId="19" fontId="7" numFmtId="0" xfId="0" applyAlignment="1" applyBorder="1" applyFont="1">
      <alignment horizontal="right" readingOrder="0" shrinkToFit="0" vertical="center" wrapText="1"/>
    </xf>
    <xf borderId="83" fillId="15" fontId="7" numFmtId="0" xfId="0" applyAlignment="1" applyBorder="1" applyFont="1">
      <alignment horizontal="right" readingOrder="0" shrinkToFit="0" vertical="center" wrapText="1"/>
    </xf>
    <xf borderId="39" fillId="16" fontId="7" numFmtId="0" xfId="0" applyAlignment="1" applyBorder="1" applyFont="1">
      <alignment shrinkToFit="0" vertical="center" wrapText="1"/>
    </xf>
    <xf borderId="26" fillId="0" fontId="25" numFmtId="0" xfId="0" applyAlignment="1" applyBorder="1" applyFont="1">
      <alignment horizontal="center" vertical="center"/>
    </xf>
    <xf borderId="83" fillId="0" fontId="31" numFmtId="0" xfId="0" applyAlignment="1" applyBorder="1" applyFont="1">
      <alignment horizontal="center" readingOrder="0" shrinkToFit="0" vertical="center" wrapText="1"/>
    </xf>
    <xf borderId="84" fillId="0" fontId="31" numFmtId="0" xfId="0" applyAlignment="1" applyBorder="1" applyFont="1">
      <alignment horizontal="center" readingOrder="0" shrinkToFit="0" vertical="center" wrapText="1"/>
    </xf>
    <xf borderId="85" fillId="0" fontId="31" numFmtId="0" xfId="0" applyAlignment="1" applyBorder="1" applyFont="1">
      <alignment horizontal="center" readingOrder="0" shrinkToFit="0" vertical="center" wrapText="1"/>
    </xf>
    <xf borderId="31" fillId="8" fontId="25" numFmtId="0" xfId="0" applyAlignment="1" applyBorder="1" applyFont="1">
      <alignment horizontal="center" readingOrder="0" vertical="center"/>
    </xf>
    <xf borderId="85" fillId="8" fontId="25" numFmtId="0" xfId="0" applyAlignment="1" applyBorder="1" applyFont="1">
      <alignment horizontal="center" vertical="center"/>
    </xf>
    <xf borderId="26" fillId="8" fontId="25" numFmtId="0" xfId="0" applyAlignment="1" applyBorder="1" applyFont="1">
      <alignment horizontal="center" vertical="center"/>
    </xf>
    <xf borderId="26" fillId="8" fontId="25" numFmtId="0" xfId="0" applyAlignment="1" applyBorder="1" applyFont="1">
      <alignment horizontal="center" vertical="center"/>
    </xf>
    <xf borderId="26" fillId="0" fontId="31" numFmtId="0" xfId="0" applyAlignment="1" applyBorder="1" applyFont="1">
      <alignment horizontal="center" readingOrder="0" shrinkToFit="0" vertical="center" wrapText="1"/>
    </xf>
    <xf borderId="31" fillId="0" fontId="31" numFmtId="0" xfId="0" applyAlignment="1" applyBorder="1" applyFont="1">
      <alignment horizontal="center" readingOrder="0" shrinkToFit="0" vertical="center" wrapText="1"/>
    </xf>
    <xf borderId="29" fillId="8" fontId="25" numFmtId="0" xfId="0" applyAlignment="1" applyBorder="1" applyFont="1">
      <alignment horizontal="center" vertical="center"/>
    </xf>
    <xf borderId="26" fillId="8" fontId="25" numFmtId="0" xfId="0" applyAlignment="1" applyBorder="1" applyFont="1">
      <alignment horizontal="center" readingOrder="0" vertical="center"/>
    </xf>
    <xf borderId="27" fillId="8" fontId="25" numFmtId="0" xfId="0" applyAlignment="1" applyBorder="1" applyFont="1">
      <alignment horizontal="center" readingOrder="0" vertical="center"/>
    </xf>
    <xf borderId="32" fillId="8" fontId="25" numFmtId="0" xfId="0" applyAlignment="1" applyBorder="1" applyFont="1">
      <alignment horizontal="center" readingOrder="0" vertical="center"/>
    </xf>
    <xf borderId="29" fillId="8" fontId="25" numFmtId="0" xfId="0" applyAlignment="1" applyBorder="1" applyFont="1">
      <alignment horizontal="center" readingOrder="0" vertical="center"/>
    </xf>
    <xf borderId="29" fillId="8" fontId="25" numFmtId="0" xfId="0" applyAlignment="1" applyBorder="1" applyFont="1">
      <alignment horizontal="center" vertical="center"/>
    </xf>
    <xf borderId="7" fillId="0" fontId="7" numFmtId="0" xfId="0" applyAlignment="1" applyBorder="1" applyFont="1">
      <alignment readingOrder="0" shrinkToFit="0" vertical="center" wrapText="1"/>
    </xf>
    <xf borderId="78" fillId="0" fontId="7" numFmtId="0" xfId="0" applyAlignment="1" applyBorder="1" applyFont="1">
      <alignment readingOrder="0" shrinkToFit="0" vertical="center" wrapText="1"/>
    </xf>
    <xf borderId="20" fillId="26" fontId="31" numFmtId="164" xfId="0" applyAlignment="1" applyBorder="1" applyFont="1" applyNumberFormat="1">
      <alignment horizontal="right" readingOrder="0" shrinkToFit="0" vertical="center" wrapText="1"/>
    </xf>
    <xf borderId="11" fillId="26" fontId="31" numFmtId="0" xfId="0" applyAlignment="1" applyBorder="1" applyFont="1">
      <alignment readingOrder="0" shrinkToFit="0" vertical="center" wrapText="1"/>
    </xf>
    <xf borderId="10" fillId="0" fontId="31" numFmtId="0" xfId="0" applyAlignment="1" applyBorder="1" applyFont="1">
      <alignment horizontal="center" shrinkToFit="0" wrapText="1"/>
    </xf>
    <xf borderId="56" fillId="0" fontId="31" numFmtId="0" xfId="0" applyAlignment="1" applyBorder="1" applyFont="1">
      <alignment horizontal="center" shrinkToFit="0" wrapText="1"/>
    </xf>
    <xf borderId="11" fillId="8" fontId="31" numFmtId="0" xfId="0" applyAlignment="1" applyBorder="1" applyFont="1">
      <alignment horizontal="center" readingOrder="0" shrinkToFit="0" wrapText="1"/>
    </xf>
    <xf borderId="86" fillId="0" fontId="7" numFmtId="0" xfId="0" applyAlignment="1" applyBorder="1" applyFont="1">
      <alignment readingOrder="0" shrinkToFit="0" vertical="center" wrapText="1"/>
    </xf>
    <xf borderId="28" fillId="26" fontId="31" numFmtId="164" xfId="0" applyAlignment="1" applyBorder="1" applyFont="1" applyNumberFormat="1">
      <alignment horizontal="right" readingOrder="0" shrinkToFit="0" vertical="center" wrapText="1"/>
    </xf>
    <xf borderId="41" fillId="26" fontId="31" numFmtId="0" xfId="0" applyAlignment="1" applyBorder="1" applyFont="1">
      <alignment readingOrder="0" shrinkToFit="0" vertical="center" wrapText="1"/>
    </xf>
    <xf borderId="43" fillId="8" fontId="31" numFmtId="0" xfId="0" applyAlignment="1" applyBorder="1" applyFont="1">
      <alignment horizontal="center" shrinkToFit="0" wrapText="1"/>
    </xf>
    <xf borderId="40" fillId="0" fontId="31" numFmtId="0" xfId="0" applyAlignment="1" applyBorder="1" applyFont="1">
      <alignment horizontal="center" shrinkToFit="0" wrapText="1"/>
    </xf>
    <xf borderId="44" fillId="8" fontId="31" numFmtId="0" xfId="0" applyAlignment="1" applyBorder="1" applyFont="1">
      <alignment horizontal="center" shrinkToFit="0" wrapText="1"/>
    </xf>
    <xf borderId="8" fillId="0" fontId="7" numFmtId="0" xfId="0" applyAlignment="1" applyBorder="1" applyFont="1">
      <alignment shrinkToFit="0" wrapText="1"/>
    </xf>
    <xf borderId="4" fillId="0" fontId="7" numFmtId="0" xfId="0" applyAlignment="1" applyBorder="1" applyFont="1">
      <alignment shrinkToFit="0" wrapText="1"/>
    </xf>
    <xf borderId="26" fillId="0" fontId="7" numFmtId="0" xfId="0" applyAlignment="1" applyBorder="1" applyFont="1">
      <alignment shrinkToFit="0" wrapText="1"/>
    </xf>
    <xf borderId="26" fillId="26" fontId="31" numFmtId="164" xfId="0" applyAlignment="1" applyBorder="1" applyFont="1" applyNumberFormat="1">
      <alignment readingOrder="0" shrinkToFit="0" vertical="center" wrapText="1"/>
    </xf>
    <xf borderId="26" fillId="8" fontId="31" numFmtId="0" xfId="0" applyAlignment="1" applyBorder="1" applyFont="1">
      <alignment horizontal="center" readingOrder="0" shrinkToFit="0" wrapText="1"/>
    </xf>
    <xf borderId="8" fillId="14" fontId="7" numFmtId="0" xfId="0" applyAlignment="1" applyBorder="1" applyFont="1">
      <alignment shrinkToFit="0" wrapText="1"/>
    </xf>
    <xf borderId="14" fillId="14" fontId="7" numFmtId="0" xfId="0" applyAlignment="1" applyBorder="1" applyFont="1">
      <alignment readingOrder="0" shrinkToFit="0" vertical="center" wrapText="1"/>
    </xf>
    <xf borderId="87" fillId="0" fontId="30" numFmtId="0" xfId="0" applyBorder="1" applyFont="1"/>
    <xf borderId="8" fillId="14" fontId="31" numFmtId="0" xfId="0" applyAlignment="1" applyBorder="1" applyFont="1">
      <alignment horizontal="center" readingOrder="0" shrinkToFit="0" wrapText="1"/>
    </xf>
    <xf borderId="22" fillId="14" fontId="31" numFmtId="0" xfId="0" applyAlignment="1" applyBorder="1" applyFont="1">
      <alignment horizontal="center" readingOrder="0" shrinkToFit="0" wrapText="1"/>
    </xf>
    <xf borderId="15" fillId="14" fontId="31" numFmtId="0" xfId="0" applyAlignment="1" applyBorder="1" applyFont="1">
      <alignment horizontal="center" readingOrder="0" shrinkToFit="0" wrapText="1"/>
    </xf>
    <xf borderId="22" fillId="14" fontId="31" numFmtId="0" xfId="0" applyAlignment="1" applyBorder="1" applyFont="1">
      <alignment horizontal="center" shrinkToFit="0" wrapText="1"/>
    </xf>
    <xf borderId="15" fillId="14" fontId="31" numFmtId="0" xfId="0" applyAlignment="1" applyBorder="1" applyFont="1">
      <alignment horizontal="center" shrinkToFit="0" wrapText="1"/>
    </xf>
    <xf borderId="8" fillId="14" fontId="31" numFmtId="0" xfId="0" applyAlignment="1" applyBorder="1" applyFont="1">
      <alignment horizontal="center" shrinkToFit="0" wrapText="1"/>
    </xf>
    <xf borderId="14" fillId="14" fontId="31" numFmtId="0" xfId="0" applyAlignment="1" applyBorder="1" applyFont="1">
      <alignment horizontal="center" readingOrder="0" shrinkToFit="0" wrapText="1"/>
    </xf>
    <xf borderId="23" fillId="14" fontId="31" numFmtId="0" xfId="0" applyAlignment="1" applyBorder="1" applyFont="1">
      <alignment horizontal="center" shrinkToFit="0" wrapText="1"/>
    </xf>
    <xf borderId="8" fillId="14" fontId="33" numFmtId="0" xfId="0" applyAlignment="1" applyBorder="1" applyFont="1">
      <alignment horizontal="center" readingOrder="0" shrinkToFit="0" vertical="center" wrapText="1"/>
    </xf>
    <xf borderId="4" fillId="14" fontId="7" numFmtId="0" xfId="0" applyAlignment="1" applyBorder="1" applyFont="1">
      <alignment shrinkToFit="0" wrapText="1"/>
    </xf>
    <xf borderId="1" fillId="14" fontId="7" numFmtId="0" xfId="0" applyAlignment="1" applyBorder="1" applyFont="1">
      <alignment readingOrder="0" shrinkToFit="0" vertical="center" wrapText="1"/>
    </xf>
    <xf borderId="88" fillId="0" fontId="30" numFmtId="0" xfId="0" applyBorder="1" applyFont="1"/>
    <xf borderId="4" fillId="14" fontId="31" numFmtId="0" xfId="0" applyAlignment="1" applyBorder="1" applyFont="1">
      <alignment horizontal="center" shrinkToFit="0" wrapText="1"/>
    </xf>
    <xf borderId="4" fillId="35" fontId="31" numFmtId="0" xfId="0" applyAlignment="1" applyBorder="1" applyFill="1" applyFont="1">
      <alignment horizontal="center" shrinkToFit="0" wrapText="1"/>
    </xf>
    <xf borderId="5" fillId="35" fontId="31" numFmtId="0" xfId="0" applyAlignment="1" applyBorder="1" applyFont="1">
      <alignment horizontal="center" shrinkToFit="0" wrapText="1"/>
    </xf>
    <xf borderId="2" fillId="35" fontId="31" numFmtId="0" xfId="0" applyAlignment="1" applyBorder="1" applyFont="1">
      <alignment horizontal="center" shrinkToFit="0" wrapText="1"/>
    </xf>
    <xf borderId="5" fillId="14" fontId="31" numFmtId="0" xfId="0" applyAlignment="1" applyBorder="1" applyFont="1">
      <alignment horizontal="center" shrinkToFit="0" wrapText="1"/>
    </xf>
    <xf borderId="2" fillId="14" fontId="31" numFmtId="0" xfId="0" applyAlignment="1" applyBorder="1" applyFont="1">
      <alignment horizontal="center" shrinkToFit="0" wrapText="1"/>
    </xf>
    <xf borderId="4" fillId="14" fontId="31" numFmtId="0" xfId="0" applyAlignment="1" applyBorder="1" applyFont="1">
      <alignment horizontal="center" readingOrder="0" shrinkToFit="0" wrapText="1"/>
    </xf>
    <xf borderId="1" fillId="14" fontId="31" numFmtId="0" xfId="0" applyAlignment="1" applyBorder="1" applyFont="1">
      <alignment horizontal="center" shrinkToFit="0" wrapText="1"/>
    </xf>
    <xf borderId="6" fillId="14" fontId="31" numFmtId="0" xfId="0" applyAlignment="1" applyBorder="1" applyFont="1">
      <alignment horizontal="center" shrinkToFit="0" wrapText="1"/>
    </xf>
    <xf borderId="2" fillId="14" fontId="31" numFmtId="0" xfId="0" applyAlignment="1" applyBorder="1" applyFont="1">
      <alignment horizontal="center" readingOrder="0" shrinkToFit="0" wrapText="1"/>
    </xf>
    <xf borderId="4" fillId="14" fontId="33" numFmtId="0" xfId="0" applyAlignment="1" applyBorder="1" applyFont="1">
      <alignment horizontal="center" readingOrder="0" shrinkToFit="0" vertical="center" wrapText="1"/>
    </xf>
    <xf borderId="5" fillId="14" fontId="31" numFmtId="0" xfId="0" applyAlignment="1" applyBorder="1" applyFont="1">
      <alignment horizontal="center" readingOrder="0" shrinkToFit="0" wrapText="1"/>
    </xf>
    <xf borderId="26" fillId="36" fontId="31" numFmtId="0" xfId="0" applyAlignment="1" applyBorder="1" applyFill="1" applyFont="1">
      <alignment horizontal="center" readingOrder="0" shrinkToFit="0" wrapText="1"/>
    </xf>
    <xf borderId="27" fillId="36" fontId="7" numFmtId="0" xfId="0" applyAlignment="1" applyBorder="1" applyFont="1">
      <alignment horizontal="left" readingOrder="0" shrinkToFit="0" vertical="center" wrapText="1"/>
    </xf>
    <xf borderId="89" fillId="0" fontId="30" numFmtId="0" xfId="0" applyBorder="1" applyFont="1"/>
    <xf borderId="29" fillId="0" fontId="30" numFmtId="0" xfId="0" applyBorder="1" applyFont="1"/>
    <xf borderId="31" fillId="36" fontId="31" numFmtId="0" xfId="0" applyAlignment="1" applyBorder="1" applyFont="1">
      <alignment horizontal="center" readingOrder="0" shrinkToFit="0" wrapText="1"/>
    </xf>
    <xf borderId="29" fillId="36" fontId="31" numFmtId="0" xfId="0" applyAlignment="1" applyBorder="1" applyFont="1">
      <alignment horizontal="center" readingOrder="0" shrinkToFit="0" wrapText="1"/>
    </xf>
    <xf borderId="29" fillId="36" fontId="7" numFmtId="175" xfId="0" applyAlignment="1" applyBorder="1" applyFont="1" applyNumberFormat="1">
      <alignment horizontal="center" readingOrder="0" shrinkToFit="0" vertical="center" wrapText="1"/>
    </xf>
    <xf borderId="26" fillId="36" fontId="7" numFmtId="175" xfId="0" applyAlignment="1" applyBorder="1" applyFont="1" applyNumberFormat="1">
      <alignment horizontal="center" readingOrder="0" shrinkToFit="0" vertical="center" wrapText="1"/>
    </xf>
    <xf borderId="27" fillId="36" fontId="31" numFmtId="0" xfId="0" applyAlignment="1" applyBorder="1" applyFont="1">
      <alignment horizontal="center" readingOrder="0" shrinkToFit="0" wrapText="1"/>
    </xf>
    <xf borderId="32" fillId="36" fontId="31" numFmtId="0" xfId="0" applyAlignment="1" applyBorder="1" applyFont="1">
      <alignment horizontal="center" readingOrder="0" shrinkToFit="0" wrapText="1"/>
    </xf>
    <xf borderId="8" fillId="17" fontId="31" numFmtId="0" xfId="0" applyAlignment="1" applyBorder="1" applyFont="1">
      <alignment horizontal="center" readingOrder="0" shrinkToFit="0" wrapText="1"/>
    </xf>
    <xf borderId="8" fillId="17" fontId="31" numFmtId="0" xfId="0" applyAlignment="1" applyBorder="1" applyFont="1">
      <alignment horizontal="right" readingOrder="0" shrinkToFit="0" wrapText="1"/>
    </xf>
    <xf borderId="8" fillId="17" fontId="7" numFmtId="0" xfId="0" applyAlignment="1" applyBorder="1" applyFont="1">
      <alignment horizontal="center" shrinkToFit="0" vertical="center" wrapText="1"/>
    </xf>
    <xf borderId="8" fillId="17" fontId="7" numFmtId="0" xfId="0" applyAlignment="1" applyBorder="1" applyFont="1">
      <alignment horizontal="center" shrinkToFit="0" wrapText="1"/>
    </xf>
    <xf borderId="14" fillId="17" fontId="7" numFmtId="164" xfId="0" applyAlignment="1" applyBorder="1" applyFont="1" applyNumberFormat="1">
      <alignment horizontal="right" shrinkToFit="0" vertical="center" wrapText="1"/>
    </xf>
    <xf borderId="8" fillId="17" fontId="7" numFmtId="175" xfId="0" applyAlignment="1" applyBorder="1" applyFont="1" applyNumberFormat="1">
      <alignment horizontal="right" readingOrder="0" shrinkToFit="0" vertical="center" wrapText="1"/>
    </xf>
    <xf borderId="22" fillId="17" fontId="7" numFmtId="175" xfId="0" applyAlignment="1" applyBorder="1" applyFont="1" applyNumberFormat="1">
      <alignment horizontal="right" readingOrder="0" shrinkToFit="0" vertical="center" wrapText="1"/>
    </xf>
    <xf borderId="15" fillId="17" fontId="7" numFmtId="175" xfId="0" applyAlignment="1" applyBorder="1" applyFont="1" applyNumberFormat="1">
      <alignment horizontal="right" readingOrder="0" shrinkToFit="0" vertical="center" wrapText="1"/>
    </xf>
    <xf borderId="8" fillId="17" fontId="7" numFmtId="3" xfId="0" applyAlignment="1" applyBorder="1" applyFont="1" applyNumberFormat="1">
      <alignment horizontal="right" readingOrder="0" shrinkToFit="0" vertical="center" wrapText="1"/>
    </xf>
    <xf borderId="14" fillId="17" fontId="7" numFmtId="175" xfId="0" applyAlignment="1" applyBorder="1" applyFont="1" applyNumberFormat="1">
      <alignment horizontal="right" readingOrder="0" shrinkToFit="0" vertical="center" wrapText="1"/>
    </xf>
    <xf borderId="23" fillId="17" fontId="7" numFmtId="175" xfId="0" applyAlignment="1" applyBorder="1" applyFont="1" applyNumberFormat="1">
      <alignment horizontal="right" readingOrder="0" shrinkToFit="0" vertical="center" wrapText="1"/>
    </xf>
    <xf borderId="4" fillId="18" fontId="31" numFmtId="0" xfId="0" applyAlignment="1" applyBorder="1" applyFont="1">
      <alignment horizontal="right" readingOrder="0" shrinkToFit="0" vertical="center" wrapText="1"/>
    </xf>
    <xf borderId="4" fillId="18" fontId="7" numFmtId="0" xfId="0" applyAlignment="1" applyBorder="1" applyFont="1">
      <alignment horizontal="center" shrinkToFit="0" vertical="center" wrapText="1"/>
    </xf>
    <xf borderId="1" fillId="18" fontId="7" numFmtId="166" xfId="0" applyAlignment="1" applyBorder="1" applyFont="1" applyNumberFormat="1">
      <alignment horizontal="right" readingOrder="0" shrinkToFit="0" vertical="center" wrapText="1"/>
    </xf>
    <xf borderId="4" fillId="18" fontId="7" numFmtId="3" xfId="0" applyAlignment="1" applyBorder="1" applyFont="1" applyNumberFormat="1">
      <alignment horizontal="right" readingOrder="0" shrinkToFit="0" vertical="center" wrapText="1"/>
    </xf>
    <xf borderId="5" fillId="18" fontId="7" numFmtId="3" xfId="0" applyAlignment="1" applyBorder="1" applyFont="1" applyNumberFormat="1">
      <alignment horizontal="right" readingOrder="0" shrinkToFit="0" vertical="center" wrapText="1"/>
    </xf>
    <xf borderId="2" fillId="18" fontId="7" numFmtId="3" xfId="0" applyAlignment="1" applyBorder="1" applyFont="1" applyNumberFormat="1">
      <alignment horizontal="right" readingOrder="0" shrinkToFit="0" vertical="center" wrapText="1"/>
    </xf>
    <xf borderId="1" fillId="18" fontId="7" numFmtId="3" xfId="0" applyAlignment="1" applyBorder="1" applyFont="1" applyNumberFormat="1">
      <alignment horizontal="right" readingOrder="0" shrinkToFit="0" vertical="center" wrapText="1"/>
    </xf>
    <xf borderId="6" fillId="18" fontId="7" numFmtId="3" xfId="0" applyAlignment="1" applyBorder="1" applyFont="1" applyNumberFormat="1">
      <alignment horizontal="right" readingOrder="0" shrinkToFit="0" vertical="center" wrapText="1"/>
    </xf>
    <xf borderId="4" fillId="17" fontId="31" numFmtId="0" xfId="0" applyAlignment="1" applyBorder="1" applyFont="1">
      <alignment horizontal="center" readingOrder="0" shrinkToFit="0" vertical="center" wrapText="1"/>
    </xf>
    <xf borderId="4" fillId="17" fontId="31" numFmtId="0" xfId="0" applyAlignment="1" applyBorder="1" applyFont="1">
      <alignment horizontal="right" readingOrder="0" shrinkToFit="0" vertical="center" wrapText="1"/>
    </xf>
    <xf borderId="4" fillId="17" fontId="7" numFmtId="0" xfId="0" applyAlignment="1" applyBorder="1" applyFont="1">
      <alignment horizontal="center" shrinkToFit="0" vertical="center" wrapText="1"/>
    </xf>
    <xf borderId="1" fillId="17" fontId="7" numFmtId="166" xfId="0" applyAlignment="1" applyBorder="1" applyFont="1" applyNumberFormat="1">
      <alignment horizontal="right" readingOrder="0" shrinkToFit="0" vertical="center" wrapText="1"/>
    </xf>
    <xf borderId="4" fillId="17" fontId="7" numFmtId="3" xfId="0" applyAlignment="1" applyBorder="1" applyFont="1" applyNumberFormat="1">
      <alignment horizontal="right" readingOrder="0" shrinkToFit="0" vertical="center" wrapText="1"/>
    </xf>
    <xf borderId="5" fillId="17" fontId="7" numFmtId="3" xfId="0" applyAlignment="1" applyBorder="1" applyFont="1" applyNumberFormat="1">
      <alignment horizontal="right" readingOrder="0" shrinkToFit="0" vertical="center" wrapText="1"/>
    </xf>
    <xf borderId="2" fillId="17" fontId="7" numFmtId="3" xfId="0" applyAlignment="1" applyBorder="1" applyFont="1" applyNumberFormat="1">
      <alignment horizontal="right" readingOrder="0" shrinkToFit="0" vertical="center" wrapText="1"/>
    </xf>
    <xf borderId="22" fillId="17" fontId="7" numFmtId="3" xfId="0" applyAlignment="1" applyBorder="1" applyFont="1" applyNumberFormat="1">
      <alignment horizontal="right" readingOrder="0" shrinkToFit="0" vertical="center" wrapText="1"/>
    </xf>
    <xf borderId="14" fillId="17" fontId="7" numFmtId="3" xfId="0" applyAlignment="1" applyBorder="1" applyFont="1" applyNumberFormat="1">
      <alignment horizontal="right" readingOrder="0" shrinkToFit="0" vertical="center" wrapText="1"/>
    </xf>
    <xf borderId="23" fillId="17" fontId="7" numFmtId="3" xfId="0" applyAlignment="1" applyBorder="1" applyFont="1" applyNumberFormat="1">
      <alignment horizontal="right" readingOrder="0" shrinkToFit="0" vertical="center" wrapText="1"/>
    </xf>
    <xf borderId="15" fillId="17" fontId="7" numFmtId="3" xfId="0" applyAlignment="1" applyBorder="1" applyFont="1" applyNumberFormat="1">
      <alignment horizontal="right" readingOrder="0" shrinkToFit="0" vertical="center" wrapText="1"/>
    </xf>
    <xf borderId="1" fillId="17" fontId="7" numFmtId="3" xfId="0" applyAlignment="1" applyBorder="1" applyFont="1" applyNumberFormat="1">
      <alignment horizontal="right" readingOrder="0" shrinkToFit="0" vertical="center" wrapText="1"/>
    </xf>
    <xf borderId="6" fillId="17" fontId="7" numFmtId="3" xfId="0" applyAlignment="1" applyBorder="1" applyFont="1" applyNumberFormat="1">
      <alignment horizontal="right" readingOrder="0" shrinkToFit="0" vertical="center" wrapText="1"/>
    </xf>
    <xf borderId="2" fillId="17" fontId="7" numFmtId="3" xfId="0" applyAlignment="1" applyBorder="1" applyFont="1" applyNumberFormat="1">
      <alignment horizontal="right" shrinkToFit="0" vertical="center" wrapText="1"/>
    </xf>
    <xf borderId="4" fillId="17" fontId="7" numFmtId="3" xfId="0" applyAlignment="1" applyBorder="1" applyFont="1" applyNumberFormat="1">
      <alignment horizontal="right" shrinkToFit="0" vertical="center" wrapText="1"/>
    </xf>
    <xf borderId="4" fillId="15" fontId="31" numFmtId="0" xfId="0" applyAlignment="1" applyBorder="1" applyFont="1">
      <alignment horizontal="center" readingOrder="0" shrinkToFit="0" vertical="center" wrapText="1"/>
    </xf>
    <xf borderId="4" fillId="15" fontId="31" numFmtId="0" xfId="0" applyAlignment="1" applyBorder="1" applyFont="1">
      <alignment horizontal="right" readingOrder="0" shrinkToFit="0" vertical="center" wrapText="1"/>
    </xf>
    <xf borderId="4" fillId="15" fontId="7" numFmtId="0" xfId="0" applyAlignment="1" applyBorder="1" applyFont="1">
      <alignment horizontal="center" shrinkToFit="0" vertical="center" wrapText="1"/>
    </xf>
    <xf borderId="1" fillId="15" fontId="41" numFmtId="0" xfId="0" applyAlignment="1" applyBorder="1" applyFont="1">
      <alignment horizontal="left" readingOrder="0" shrinkToFit="0" vertical="center" wrapText="1"/>
    </xf>
    <xf borderId="4" fillId="15" fontId="32" numFmtId="175" xfId="0" applyAlignment="1" applyBorder="1" applyFont="1" applyNumberFormat="1">
      <alignment horizontal="center" readingOrder="0" shrinkToFit="0" vertical="center" wrapText="1"/>
    </xf>
    <xf borderId="5" fillId="15" fontId="32" numFmtId="175" xfId="0" applyAlignment="1" applyBorder="1" applyFont="1" applyNumberFormat="1">
      <alignment horizontal="center" readingOrder="0" shrinkToFit="0" vertical="center" wrapText="1"/>
    </xf>
    <xf borderId="2" fillId="15" fontId="32" numFmtId="175" xfId="0" applyAlignment="1" applyBorder="1" applyFont="1" applyNumberFormat="1">
      <alignment horizontal="center" readingOrder="0" shrinkToFit="0" vertical="center" wrapText="1"/>
    </xf>
    <xf borderId="1" fillId="15" fontId="32" numFmtId="175" xfId="0" applyAlignment="1" applyBorder="1" applyFont="1" applyNumberFormat="1">
      <alignment horizontal="center" readingOrder="0" shrinkToFit="0" vertical="center" wrapText="1"/>
    </xf>
    <xf borderId="6" fillId="15" fontId="32" numFmtId="175" xfId="0" applyAlignment="1" applyBorder="1" applyFont="1" applyNumberFormat="1">
      <alignment horizontal="center" readingOrder="0" shrinkToFit="0" vertical="center" wrapText="1"/>
    </xf>
    <xf borderId="14" fillId="15" fontId="41" numFmtId="0" xfId="0" applyAlignment="1" applyBorder="1" applyFont="1">
      <alignment horizontal="left" readingOrder="0" shrinkToFit="0" vertical="center" wrapText="1"/>
    </xf>
    <xf borderId="8" fillId="15" fontId="32" numFmtId="175" xfId="0" applyAlignment="1" applyBorder="1" applyFont="1" applyNumberFormat="1">
      <alignment horizontal="center" readingOrder="0" shrinkToFit="0" vertical="center" wrapText="1"/>
    </xf>
    <xf borderId="14" fillId="15" fontId="7" numFmtId="0" xfId="0" applyAlignment="1" applyBorder="1" applyFont="1">
      <alignment horizontal="left" readingOrder="0" shrinkToFit="0" vertical="center" wrapText="1"/>
    </xf>
    <xf borderId="2" fillId="15" fontId="32" numFmtId="175" xfId="0" applyAlignment="1" applyBorder="1" applyFont="1" applyNumberFormat="1">
      <alignment horizontal="center" shrinkToFit="0" vertical="center" wrapText="1"/>
    </xf>
    <xf borderId="4" fillId="15" fontId="32" numFmtId="175" xfId="0" applyAlignment="1" applyBorder="1" applyFont="1" applyNumberFormat="1">
      <alignment horizontal="center" shrinkToFit="0" vertical="center" wrapText="1"/>
    </xf>
    <xf borderId="4" fillId="19" fontId="31" numFmtId="0" xfId="0" applyAlignment="1" applyBorder="1" applyFont="1">
      <alignment horizontal="center" readingOrder="0" shrinkToFit="0" vertical="center" wrapText="1"/>
    </xf>
    <xf borderId="4" fillId="19" fontId="31" numFmtId="0" xfId="0" applyAlignment="1" applyBorder="1" applyFont="1">
      <alignment horizontal="right" readingOrder="0" shrinkToFit="0" vertical="center" wrapText="1"/>
    </xf>
    <xf borderId="4" fillId="19" fontId="7" numFmtId="0" xfId="0" applyAlignment="1" applyBorder="1" applyFont="1">
      <alignment horizontal="center" shrinkToFit="0" vertical="center" wrapText="1"/>
    </xf>
    <xf borderId="1" fillId="19" fontId="7" numFmtId="0" xfId="0" applyAlignment="1" applyBorder="1" applyFont="1">
      <alignment horizontal="left" readingOrder="0" shrinkToFit="0" vertical="center" wrapText="1"/>
    </xf>
    <xf borderId="4" fillId="19" fontId="7" numFmtId="175" xfId="0" applyAlignment="1" applyBorder="1" applyFont="1" applyNumberFormat="1">
      <alignment horizontal="center" readingOrder="0" shrinkToFit="0" vertical="center" wrapText="1"/>
    </xf>
    <xf borderId="5" fillId="19" fontId="7" numFmtId="175" xfId="0" applyAlignment="1" applyBorder="1" applyFont="1" applyNumberFormat="1">
      <alignment horizontal="center" readingOrder="0" shrinkToFit="0" vertical="center" wrapText="1"/>
    </xf>
    <xf borderId="2" fillId="19" fontId="7" numFmtId="175" xfId="0" applyAlignment="1" applyBorder="1" applyFont="1" applyNumberFormat="1">
      <alignment horizontal="center" readingOrder="0" shrinkToFit="0" vertical="center" wrapText="1"/>
    </xf>
    <xf borderId="1" fillId="19" fontId="7" numFmtId="175" xfId="0" applyAlignment="1" applyBorder="1" applyFont="1" applyNumberFormat="1">
      <alignment horizontal="center" readingOrder="0" shrinkToFit="0" vertical="center" wrapText="1"/>
    </xf>
    <xf borderId="6" fillId="19" fontId="7" numFmtId="175" xfId="0" applyAlignment="1" applyBorder="1" applyFont="1" applyNumberFormat="1">
      <alignment horizontal="center" readingOrder="0" shrinkToFit="0" vertical="center" wrapText="1"/>
    </xf>
    <xf borderId="2" fillId="19" fontId="7" numFmtId="175" xfId="0" applyAlignment="1" applyBorder="1" applyFont="1" applyNumberFormat="1">
      <alignment horizontal="center" shrinkToFit="0" vertical="center" wrapText="1"/>
    </xf>
    <xf borderId="4" fillId="19" fontId="7" numFmtId="175" xfId="0" applyAlignment="1" applyBorder="1" applyFont="1" applyNumberFormat="1">
      <alignment horizontal="center" shrinkToFit="0" vertical="center" wrapText="1"/>
    </xf>
    <xf borderId="1" fillId="19" fontId="7" numFmtId="175" xfId="0" applyAlignment="1" applyBorder="1" applyFont="1" applyNumberFormat="1">
      <alignment horizontal="center" shrinkToFit="0" vertical="center" wrapText="1"/>
    </xf>
    <xf borderId="0" fillId="0" fontId="42" numFmtId="0" xfId="0" applyAlignment="1" applyFont="1">
      <alignment horizontal="center" readingOrder="0" vertical="center"/>
    </xf>
    <xf borderId="0" fillId="0" fontId="42" numFmtId="0" xfId="0" applyAlignment="1" applyFont="1">
      <alignment horizontal="center" vertical="center"/>
    </xf>
    <xf borderId="0" fillId="0" fontId="42" numFmtId="0" xfId="0" applyAlignment="1" applyFont="1">
      <alignment vertical="center"/>
    </xf>
    <xf borderId="0" fillId="0" fontId="26" numFmtId="0" xfId="0" applyAlignment="1" applyFont="1">
      <alignment horizontal="center"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42" numFmtId="0" xfId="0" applyAlignment="1" applyFont="1">
      <alignment readingOrder="0" vertical="center"/>
    </xf>
    <xf borderId="0" fillId="0" fontId="43" numFmtId="0" xfId="0" applyAlignment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0" fontId="15" numFmtId="0" xfId="0" applyAlignment="1" applyFont="1">
      <alignment horizontal="center" shrinkToFit="0" vertical="center" wrapText="0"/>
    </xf>
    <xf borderId="90" fillId="26" fontId="44" numFmtId="0" xfId="0" applyAlignment="1" applyBorder="1" applyFont="1">
      <alignment horizontal="center" readingOrder="0" shrinkToFit="0" vertical="center" wrapText="1"/>
    </xf>
    <xf borderId="91" fillId="26" fontId="44" numFmtId="0" xfId="0" applyAlignment="1" applyBorder="1" applyFont="1">
      <alignment horizontal="center" readingOrder="0" shrinkToFit="0" vertical="center" wrapText="1"/>
    </xf>
    <xf borderId="92" fillId="0" fontId="30" numFmtId="0" xfId="0" applyBorder="1" applyFont="1"/>
    <xf borderId="93" fillId="0" fontId="30" numFmtId="0" xfId="0" applyBorder="1" applyFont="1"/>
    <xf borderId="9" fillId="26" fontId="44" numFmtId="0" xfId="0" applyAlignment="1" applyBorder="1" applyFont="1">
      <alignment horizontal="center" readingOrder="0" shrinkToFit="0" vertical="center" wrapText="1"/>
    </xf>
    <xf borderId="0" fillId="0" fontId="45" numFmtId="0" xfId="0" applyAlignment="1" applyFont="1">
      <alignment horizontal="center" shrinkToFit="0" vertical="center" wrapText="1"/>
    </xf>
    <xf borderId="94" fillId="0" fontId="30" numFmtId="0" xfId="0" applyBorder="1" applyFont="1"/>
    <xf borderId="90" fillId="26" fontId="44" numFmtId="166" xfId="0" applyAlignment="1" applyBorder="1" applyFont="1" applyNumberFormat="1">
      <alignment horizontal="center" readingOrder="0" shrinkToFit="0" vertical="center" wrapText="1"/>
    </xf>
    <xf borderId="9" fillId="26" fontId="44" numFmtId="0" xfId="0" applyAlignment="1" applyBorder="1" applyFont="1">
      <alignment horizontal="left" shrinkToFit="0" vertical="center" wrapText="1"/>
    </xf>
    <xf borderId="20" fillId="0" fontId="30" numFmtId="0" xfId="0" applyBorder="1" applyFont="1"/>
    <xf borderId="9" fillId="20" fontId="46" numFmtId="0" xfId="0" applyAlignment="1" applyBorder="1" applyFont="1">
      <alignment horizontal="center" shrinkToFit="0" vertical="bottom" wrapText="1"/>
    </xf>
    <xf borderId="9" fillId="20" fontId="44" numFmtId="0" xfId="0" applyAlignment="1" applyBorder="1" applyFont="1">
      <alignment horizontal="center" shrinkToFit="0" vertical="bottom" wrapText="1"/>
    </xf>
    <xf borderId="9" fillId="20" fontId="44" numFmtId="166" xfId="0" applyAlignment="1" applyBorder="1" applyFont="1" applyNumberFormat="1">
      <alignment horizontal="right" readingOrder="0" shrinkToFit="0" vertical="bottom" wrapText="1"/>
    </xf>
    <xf borderId="9" fillId="20" fontId="44" numFmtId="0" xfId="0" applyAlignment="1" applyBorder="1" applyFont="1">
      <alignment horizontal="center" readingOrder="0" shrinkToFit="0" vertical="bottom" wrapText="1"/>
    </xf>
    <xf borderId="9" fillId="20" fontId="44" numFmtId="10" xfId="0" applyAlignment="1" applyBorder="1" applyFont="1" applyNumberFormat="1">
      <alignment horizontal="center" readingOrder="0" shrinkToFit="0" vertical="bottom" wrapText="1"/>
    </xf>
    <xf borderId="9" fillId="20" fontId="44" numFmtId="0" xfId="0" applyAlignment="1" applyBorder="1" applyFont="1">
      <alignment horizontal="left" readingOrder="0" shrinkToFit="0" vertical="bottom" wrapText="1"/>
    </xf>
    <xf borderId="0" fillId="0" fontId="45" numFmtId="0" xfId="0" applyAlignment="1" applyFont="1">
      <alignment horizontal="center" shrinkToFit="0" wrapText="1"/>
    </xf>
    <xf borderId="9" fillId="37" fontId="47" numFmtId="0" xfId="0" applyAlignment="1" applyBorder="1" applyFill="1" applyFont="1">
      <alignment horizontal="center" shrinkToFit="0" vertical="bottom" wrapText="1"/>
    </xf>
    <xf borderId="9" fillId="37" fontId="47" numFmtId="0" xfId="0" applyAlignment="1" applyBorder="1" applyFont="1">
      <alignment horizontal="center" readingOrder="0" shrinkToFit="0" vertical="bottom" wrapText="1"/>
    </xf>
    <xf borderId="9" fillId="37" fontId="48" numFmtId="0" xfId="0" applyAlignment="1" applyBorder="1" applyFont="1">
      <alignment horizontal="center" readingOrder="0" shrinkToFit="0" vertical="bottom" wrapText="1"/>
    </xf>
    <xf borderId="9" fillId="37" fontId="48" numFmtId="3" xfId="0" applyAlignment="1" applyBorder="1" applyFont="1" applyNumberFormat="1">
      <alignment horizontal="center" shrinkToFit="0" vertical="bottom" wrapText="1"/>
    </xf>
    <xf borderId="9" fillId="37" fontId="48" numFmtId="166" xfId="0" applyAlignment="1" applyBorder="1" applyFont="1" applyNumberFormat="1">
      <alignment horizontal="right" shrinkToFit="0" vertical="bottom" wrapText="1"/>
    </xf>
    <xf borderId="9" fillId="37" fontId="47" numFmtId="0" xfId="0" applyAlignment="1" applyBorder="1" applyFont="1">
      <alignment horizontal="left" shrinkToFit="0" vertical="bottom" wrapText="1"/>
    </xf>
    <xf borderId="9" fillId="12" fontId="44" numFmtId="0" xfId="0" applyAlignment="1" applyBorder="1" applyFont="1">
      <alignment horizontal="center" shrinkToFit="0" vertical="bottom" wrapText="1"/>
    </xf>
    <xf borderId="9" fillId="12" fontId="44" numFmtId="0" xfId="0" applyAlignment="1" applyBorder="1" applyFont="1">
      <alignment horizontal="center" readingOrder="0" shrinkToFit="0" vertical="bottom" wrapText="1"/>
    </xf>
    <xf borderId="9" fillId="12" fontId="46" numFmtId="0" xfId="0" applyAlignment="1" applyBorder="1" applyFont="1">
      <alignment horizontal="left" readingOrder="0" shrinkToFit="0" vertical="bottom" wrapText="1"/>
    </xf>
    <xf borderId="9" fillId="12" fontId="46" numFmtId="3" xfId="0" applyAlignment="1" applyBorder="1" applyFont="1" applyNumberFormat="1">
      <alignment horizontal="center" readingOrder="0" shrinkToFit="0" vertical="bottom" wrapText="1"/>
    </xf>
    <xf borderId="9" fillId="12" fontId="46" numFmtId="166" xfId="0" applyAlignment="1" applyBorder="1" applyFont="1" applyNumberFormat="1">
      <alignment horizontal="right" readingOrder="0" shrinkToFit="0" vertical="bottom" wrapText="1"/>
    </xf>
    <xf borderId="9" fillId="12" fontId="46" numFmtId="166" xfId="0" applyAlignment="1" applyBorder="1" applyFont="1" applyNumberFormat="1">
      <alignment horizontal="right" shrinkToFit="0" vertical="bottom" wrapText="1"/>
    </xf>
    <xf borderId="9" fillId="12" fontId="44" numFmtId="0" xfId="0" applyAlignment="1" applyBorder="1" applyFont="1">
      <alignment horizontal="left" shrinkToFit="0" vertical="bottom" wrapText="1"/>
    </xf>
    <xf borderId="9" fillId="12" fontId="46" numFmtId="9" xfId="0" applyAlignment="1" applyBorder="1" applyFont="1" applyNumberFormat="1">
      <alignment horizontal="left" readingOrder="0" shrinkToFit="0" vertical="bottom" wrapText="1"/>
    </xf>
    <xf borderId="9" fillId="12" fontId="46" numFmtId="3" xfId="0" applyAlignment="1" applyBorder="1" applyFont="1" applyNumberFormat="1">
      <alignment horizontal="center" shrinkToFit="0" vertical="bottom" wrapText="1"/>
    </xf>
    <xf borderId="9" fillId="38" fontId="47" numFmtId="0" xfId="0" applyAlignment="1" applyBorder="1" applyFill="1" applyFont="1">
      <alignment horizontal="center" shrinkToFit="0" vertical="bottom" wrapText="1"/>
    </xf>
    <xf borderId="9" fillId="38" fontId="47" numFmtId="0" xfId="0" applyAlignment="1" applyBorder="1" applyFont="1">
      <alignment horizontal="center" readingOrder="0" shrinkToFit="0" vertical="bottom" wrapText="1"/>
    </xf>
    <xf borderId="9" fillId="38" fontId="48" numFmtId="0" xfId="0" applyAlignment="1" applyBorder="1" applyFont="1">
      <alignment horizontal="center" readingOrder="0" shrinkToFit="0" vertical="bottom" wrapText="1"/>
    </xf>
    <xf borderId="9" fillId="38" fontId="48" numFmtId="3" xfId="0" applyAlignment="1" applyBorder="1" applyFont="1" applyNumberFormat="1">
      <alignment horizontal="center" shrinkToFit="0" vertical="bottom" wrapText="1"/>
    </xf>
    <xf borderId="9" fillId="38" fontId="48" numFmtId="166" xfId="0" applyAlignment="1" applyBorder="1" applyFont="1" applyNumberFormat="1">
      <alignment horizontal="right" shrinkToFit="0" vertical="bottom" wrapText="1"/>
    </xf>
    <xf borderId="9" fillId="38" fontId="47" numFmtId="0" xfId="0" applyAlignment="1" applyBorder="1" applyFont="1">
      <alignment horizontal="left" shrinkToFit="0" vertical="bottom" wrapText="1"/>
    </xf>
    <xf borderId="9" fillId="8" fontId="46" numFmtId="0" xfId="0" applyAlignment="1" applyBorder="1" applyFont="1">
      <alignment horizontal="left" readingOrder="0" shrinkToFit="0" vertical="bottom" wrapText="1"/>
    </xf>
    <xf borderId="9" fillId="12" fontId="44" numFmtId="0" xfId="0" applyAlignment="1" applyBorder="1" applyFont="1">
      <alignment horizontal="left" readingOrder="0" shrinkToFit="0" vertical="bottom" wrapText="1"/>
    </xf>
    <xf borderId="9" fillId="39" fontId="49" numFmtId="0" xfId="0" applyAlignment="1" applyBorder="1" applyFill="1" applyFont="1">
      <alignment horizontal="center" shrinkToFit="0" vertical="bottom" wrapText="1"/>
    </xf>
    <xf borderId="9" fillId="39" fontId="49" numFmtId="0" xfId="0" applyAlignment="1" applyBorder="1" applyFont="1">
      <alignment horizontal="center" readingOrder="0" shrinkToFit="0" vertical="bottom" wrapText="1"/>
    </xf>
    <xf borderId="9" fillId="39" fontId="50" numFmtId="0" xfId="0" applyAlignment="1" applyBorder="1" applyFont="1">
      <alignment horizontal="center" readingOrder="0" shrinkToFit="0" vertical="bottom" wrapText="1"/>
    </xf>
    <xf borderId="9" fillId="39" fontId="50" numFmtId="3" xfId="0" applyAlignment="1" applyBorder="1" applyFont="1" applyNumberFormat="1">
      <alignment horizontal="center" shrinkToFit="0" vertical="bottom" wrapText="1"/>
    </xf>
    <xf borderId="9" fillId="39" fontId="50" numFmtId="166" xfId="0" applyAlignment="1" applyBorder="1" applyFont="1" applyNumberFormat="1">
      <alignment horizontal="right" shrinkToFit="0" vertical="bottom" wrapText="1"/>
    </xf>
    <xf borderId="9" fillId="39" fontId="49" numFmtId="0" xfId="0" applyAlignment="1" applyBorder="1" applyFont="1">
      <alignment horizontal="left" shrinkToFit="0" vertical="bottom" wrapText="1"/>
    </xf>
    <xf borderId="0" fillId="8" fontId="51" numFmtId="3" xfId="0" applyAlignment="1" applyFont="1" applyNumberFormat="1">
      <alignment horizontal="center" readingOrder="0"/>
    </xf>
    <xf borderId="9" fillId="12" fontId="44" numFmtId="166" xfId="0" applyAlignment="1" applyBorder="1" applyFont="1" applyNumberFormat="1">
      <alignment horizontal="right" shrinkToFit="0" vertical="bottom" wrapText="1"/>
    </xf>
    <xf borderId="9" fillId="40" fontId="47" numFmtId="0" xfId="0" applyAlignment="1" applyBorder="1" applyFill="1" applyFont="1">
      <alignment horizontal="center" shrinkToFit="0" vertical="bottom" wrapText="1"/>
    </xf>
    <xf borderId="9" fillId="40" fontId="47" numFmtId="0" xfId="0" applyAlignment="1" applyBorder="1" applyFont="1">
      <alignment horizontal="center" readingOrder="0" shrinkToFit="0" vertical="bottom" wrapText="1"/>
    </xf>
    <xf borderId="9" fillId="40" fontId="48" numFmtId="0" xfId="0" applyAlignment="1" applyBorder="1" applyFont="1">
      <alignment horizontal="center" readingOrder="0" shrinkToFit="0" vertical="bottom" wrapText="1"/>
    </xf>
    <xf borderId="9" fillId="40" fontId="48" numFmtId="3" xfId="0" applyAlignment="1" applyBorder="1" applyFont="1" applyNumberFormat="1">
      <alignment horizontal="center" shrinkToFit="0" vertical="bottom" wrapText="1"/>
    </xf>
    <xf borderId="9" fillId="40" fontId="48" numFmtId="166" xfId="0" applyAlignment="1" applyBorder="1" applyFont="1" applyNumberFormat="1">
      <alignment horizontal="right" shrinkToFit="0" vertical="bottom" wrapText="1"/>
    </xf>
    <xf borderId="9" fillId="40" fontId="47" numFmtId="0" xfId="0" applyAlignment="1" applyBorder="1" applyFont="1">
      <alignment horizontal="left" shrinkToFit="0" vertical="bottom" wrapText="1"/>
    </xf>
    <xf borderId="9" fillId="8" fontId="52" numFmtId="0" xfId="0" applyAlignment="1" applyBorder="1" applyFont="1">
      <alignment horizontal="left" readingOrder="0" shrinkToFit="0" vertical="bottom" wrapText="1"/>
    </xf>
    <xf borderId="0" fillId="0" fontId="45" numFmtId="0" xfId="0" applyAlignment="1" applyFont="1">
      <alignment shrinkToFit="0" wrapText="1"/>
    </xf>
    <xf borderId="0" fillId="0" fontId="44" numFmtId="0" xfId="0" applyAlignment="1" applyFont="1">
      <alignment shrinkToFit="0" vertical="bottom" wrapText="1"/>
    </xf>
    <xf borderId="9" fillId="0" fontId="44" numFmtId="0" xfId="0" applyAlignment="1" applyBorder="1" applyFont="1">
      <alignment shrinkToFit="0" vertical="bottom" wrapText="1"/>
    </xf>
    <xf borderId="9" fillId="8" fontId="53" numFmtId="0" xfId="0" applyAlignment="1" applyBorder="1" applyFont="1">
      <alignment horizontal="left" readingOrder="0" shrinkToFit="0" vertical="bottom" wrapText="1"/>
    </xf>
    <xf borderId="9" fillId="8" fontId="51" numFmtId="3" xfId="0" applyAlignment="1" applyBorder="1" applyFont="1" applyNumberFormat="1">
      <alignment horizontal="center" readingOrder="0"/>
    </xf>
    <xf borderId="95" fillId="0" fontId="44" numFmtId="0" xfId="0" applyAlignment="1" applyBorder="1" applyFont="1">
      <alignment shrinkToFit="0" vertical="bottom" wrapText="1"/>
    </xf>
    <xf borderId="96" fillId="0" fontId="44" numFmtId="0" xfId="0" applyAlignment="1" applyBorder="1" applyFont="1">
      <alignment shrinkToFit="0" vertical="bottom" wrapText="1"/>
    </xf>
    <xf borderId="9" fillId="41" fontId="52" numFmtId="0" xfId="0" applyAlignment="1" applyBorder="1" applyFill="1" applyFont="1">
      <alignment horizontal="center" readingOrder="0" shrinkToFit="0" vertical="bottom" wrapText="1"/>
    </xf>
    <xf borderId="9" fillId="41" fontId="52" numFmtId="0" xfId="0" applyAlignment="1" applyBorder="1" applyFont="1">
      <alignment horizontal="center" shrinkToFit="0" vertical="bottom" wrapText="1"/>
    </xf>
    <xf borderId="9" fillId="41" fontId="54" numFmtId="0" xfId="0" applyAlignment="1" applyBorder="1" applyFont="1">
      <alignment horizontal="center" readingOrder="0" shrinkToFit="0" vertical="bottom" wrapText="1"/>
    </xf>
    <xf borderId="9" fillId="41" fontId="54" numFmtId="3" xfId="0" applyAlignment="1" applyBorder="1" applyFont="1" applyNumberFormat="1">
      <alignment horizontal="center" shrinkToFit="0" vertical="bottom" wrapText="1"/>
    </xf>
    <xf borderId="9" fillId="41" fontId="52" numFmtId="166" xfId="0" applyAlignment="1" applyBorder="1" applyFont="1" applyNumberFormat="1">
      <alignment horizontal="right" shrinkToFit="0" vertical="bottom" wrapText="1"/>
    </xf>
    <xf borderId="9" fillId="41" fontId="54" numFmtId="0" xfId="0" applyAlignment="1" applyBorder="1" applyFont="1">
      <alignment horizontal="center" shrinkToFit="0" vertical="bottom" wrapText="1"/>
    </xf>
    <xf borderId="9" fillId="41" fontId="54" numFmtId="0" xfId="0" applyAlignment="1" applyBorder="1" applyFont="1">
      <alignment horizontal="left" shrinkToFit="0" vertical="bottom" wrapText="1"/>
    </xf>
    <xf borderId="9" fillId="18" fontId="44" numFmtId="0" xfId="0" applyAlignment="1" applyBorder="1" applyFont="1">
      <alignment horizontal="center" shrinkToFit="0" vertical="bottom" wrapText="1"/>
    </xf>
    <xf borderId="9" fillId="18" fontId="44" numFmtId="0" xfId="0" applyAlignment="1" applyBorder="1" applyFont="1">
      <alignment horizontal="center" readingOrder="0" shrinkToFit="0" vertical="bottom" wrapText="1"/>
    </xf>
    <xf borderId="9" fillId="18" fontId="46" numFmtId="0" xfId="0" applyAlignment="1" applyBorder="1" applyFont="1">
      <alignment horizontal="center" readingOrder="0" shrinkToFit="0" vertical="bottom" wrapText="1"/>
    </xf>
    <xf borderId="9" fillId="18" fontId="46" numFmtId="3" xfId="0" applyAlignment="1" applyBorder="1" applyFont="1" applyNumberFormat="1">
      <alignment horizontal="center" shrinkToFit="0" vertical="bottom" wrapText="1"/>
    </xf>
    <xf borderId="9" fillId="18" fontId="46" numFmtId="166" xfId="0" applyAlignment="1" applyBorder="1" applyFont="1" applyNumberFormat="1">
      <alignment horizontal="right" shrinkToFit="0" vertical="bottom" wrapText="1"/>
    </xf>
    <xf borderId="9" fillId="18" fontId="44" numFmtId="0" xfId="0" applyAlignment="1" applyBorder="1" applyFont="1">
      <alignment horizontal="left" shrinkToFit="0" vertical="bottom" wrapText="1"/>
    </xf>
    <xf borderId="9" fillId="12" fontId="46" numFmtId="3" xfId="0" applyAlignment="1" applyBorder="1" applyFont="1" applyNumberFormat="1">
      <alignment horizontal="left" readingOrder="0" shrinkToFit="0" vertical="bottom" wrapText="1"/>
    </xf>
    <xf borderId="9" fillId="19" fontId="44" numFmtId="0" xfId="0" applyAlignment="1" applyBorder="1" applyFont="1">
      <alignment horizontal="center" shrinkToFit="0" vertical="bottom" wrapText="1"/>
    </xf>
    <xf borderId="9" fillId="19" fontId="44" numFmtId="0" xfId="0" applyAlignment="1" applyBorder="1" applyFont="1">
      <alignment horizontal="center" readingOrder="0" shrinkToFit="0" vertical="bottom" wrapText="1"/>
    </xf>
    <xf borderId="9" fillId="19" fontId="46" numFmtId="0" xfId="0" applyAlignment="1" applyBorder="1" applyFont="1">
      <alignment horizontal="center" shrinkToFit="0" vertical="bottom" wrapText="1"/>
    </xf>
    <xf borderId="9" fillId="19" fontId="46" numFmtId="3" xfId="0" applyAlignment="1" applyBorder="1" applyFont="1" applyNumberFormat="1">
      <alignment horizontal="center" shrinkToFit="0" vertical="bottom" wrapText="1"/>
    </xf>
    <xf borderId="9" fillId="19" fontId="46" numFmtId="166" xfId="0" applyAlignment="1" applyBorder="1" applyFont="1" applyNumberFormat="1">
      <alignment horizontal="right" shrinkToFit="0" vertical="bottom" wrapText="1"/>
    </xf>
    <xf borderId="9" fillId="19" fontId="44" numFmtId="0" xfId="0" applyAlignment="1" applyBorder="1" applyFont="1">
      <alignment horizontal="left" shrinkToFit="0" vertical="bottom" wrapText="1"/>
    </xf>
    <xf borderId="0" fillId="8" fontId="55" numFmtId="0" xfId="0" applyAlignment="1" applyFont="1">
      <alignment horizontal="left" readingOrder="0"/>
    </xf>
    <xf borderId="0" fillId="8" fontId="5" numFmtId="0" xfId="0" applyFont="1"/>
    <xf borderId="9" fillId="8" fontId="56" numFmtId="0" xfId="0" applyAlignment="1" applyBorder="1" applyFont="1">
      <alignment horizontal="left" readingOrder="0" shrinkToFit="0" vertical="bottom" wrapText="1"/>
    </xf>
    <xf borderId="9" fillId="32" fontId="52" numFmtId="0" xfId="0" applyAlignment="1" applyBorder="1" applyFont="1">
      <alignment horizontal="center" shrinkToFit="0" vertical="bottom" wrapText="1"/>
    </xf>
    <xf borderId="9" fillId="32" fontId="54" numFmtId="3" xfId="0" applyAlignment="1" applyBorder="1" applyFont="1" applyNumberFormat="1">
      <alignment horizontal="center" shrinkToFit="0" vertical="bottom" wrapText="1"/>
    </xf>
    <xf borderId="9" fillId="32" fontId="54" numFmtId="166" xfId="0" applyAlignment="1" applyBorder="1" applyFont="1" applyNumberFormat="1">
      <alignment horizontal="right" shrinkToFit="0" vertical="bottom" wrapText="1"/>
    </xf>
    <xf borderId="9" fillId="32" fontId="54" numFmtId="0" xfId="0" applyAlignment="1" applyBorder="1" applyFont="1">
      <alignment horizontal="center" shrinkToFit="0" vertical="bottom" wrapText="1"/>
    </xf>
    <xf borderId="9" fillId="32" fontId="54" numFmtId="0" xfId="0" applyAlignment="1" applyBorder="1" applyFont="1">
      <alignment horizontal="left" shrinkToFit="0" vertical="bottom" wrapText="1"/>
    </xf>
    <xf borderId="9" fillId="42" fontId="44" numFmtId="0" xfId="0" applyAlignment="1" applyBorder="1" applyFill="1" applyFont="1">
      <alignment horizontal="center" shrinkToFit="0" vertical="bottom" wrapText="1"/>
    </xf>
    <xf borderId="9" fillId="42" fontId="44" numFmtId="0" xfId="0" applyAlignment="1" applyBorder="1" applyFont="1">
      <alignment horizontal="center" readingOrder="0" shrinkToFit="0" vertical="bottom" wrapText="1"/>
    </xf>
    <xf borderId="9" fillId="42" fontId="46" numFmtId="0" xfId="0" applyAlignment="1" applyBorder="1" applyFont="1">
      <alignment horizontal="center" readingOrder="0" shrinkToFit="0" wrapText="1"/>
    </xf>
    <xf borderId="9" fillId="42" fontId="46" numFmtId="3" xfId="0" applyAlignment="1" applyBorder="1" applyFont="1" applyNumberFormat="1">
      <alignment horizontal="center" shrinkToFit="0" vertical="bottom" wrapText="1"/>
    </xf>
    <xf borderId="9" fillId="42" fontId="46" numFmtId="166" xfId="0" applyAlignment="1" applyBorder="1" applyFont="1" applyNumberFormat="1">
      <alignment horizontal="right" shrinkToFit="0" vertical="bottom" wrapText="1"/>
    </xf>
    <xf borderId="9" fillId="42" fontId="44" numFmtId="3" xfId="0" applyAlignment="1" applyBorder="1" applyFont="1" applyNumberFormat="1">
      <alignment horizontal="center" shrinkToFit="0" vertical="bottom" wrapText="1"/>
    </xf>
    <xf borderId="9" fillId="42" fontId="57" numFmtId="166" xfId="0" applyAlignment="1" applyBorder="1" applyFont="1" applyNumberFormat="1">
      <alignment horizontal="right" shrinkToFit="0" vertical="bottom" wrapText="1"/>
    </xf>
    <xf borderId="9" fillId="42" fontId="57" numFmtId="0" xfId="0" applyAlignment="1" applyBorder="1" applyFont="1">
      <alignment horizontal="center" shrinkToFit="0" vertical="bottom" wrapText="1"/>
    </xf>
    <xf borderId="9" fillId="42" fontId="57" numFmtId="0" xfId="0" applyAlignment="1" applyBorder="1" applyFont="1">
      <alignment horizontal="left" shrinkToFit="0" vertical="bottom" wrapText="1"/>
    </xf>
    <xf borderId="9" fillId="0" fontId="46" numFmtId="0" xfId="0" applyAlignment="1" applyBorder="1" applyFont="1">
      <alignment horizontal="center" shrinkToFit="0" wrapText="1"/>
    </xf>
    <xf borderId="9" fillId="8" fontId="46" numFmtId="0" xfId="0" applyAlignment="1" applyBorder="1" applyFont="1">
      <alignment horizontal="left" readingOrder="0" shrinkToFit="0" wrapText="1"/>
    </xf>
    <xf borderId="9" fillId="0" fontId="46" numFmtId="0" xfId="0" applyAlignment="1" applyBorder="1" applyFont="1">
      <alignment horizontal="center" readingOrder="0" shrinkToFit="0" wrapText="1"/>
    </xf>
    <xf borderId="9" fillId="0" fontId="46" numFmtId="166" xfId="0" applyAlignment="1" applyBorder="1" applyFont="1" applyNumberFormat="1">
      <alignment horizontal="right" readingOrder="0" shrinkToFit="0" wrapText="1"/>
    </xf>
    <xf borderId="9" fillId="0" fontId="46" numFmtId="166" xfId="0" applyAlignment="1" applyBorder="1" applyFont="1" applyNumberFormat="1">
      <alignment horizontal="right" shrinkToFit="0" wrapText="1"/>
    </xf>
    <xf borderId="9" fillId="8" fontId="58" numFmtId="0" xfId="0" applyAlignment="1" applyBorder="1" applyFont="1">
      <alignment horizontal="left" readingOrder="0" shrinkToFit="0" vertical="bottom" wrapText="1"/>
    </xf>
    <xf borderId="9" fillId="12" fontId="44" numFmtId="3" xfId="0" applyAlignment="1" applyBorder="1" applyFont="1" applyNumberFormat="1">
      <alignment horizontal="center" readingOrder="0" shrinkToFit="0" vertical="bottom" wrapText="1"/>
    </xf>
    <xf borderId="9" fillId="12" fontId="44" numFmtId="3" xfId="0" applyAlignment="1" applyBorder="1" applyFont="1" applyNumberFormat="1">
      <alignment horizontal="center" shrinkToFit="0" vertical="bottom" wrapText="1"/>
    </xf>
    <xf borderId="9" fillId="12" fontId="57" numFmtId="166" xfId="0" applyAlignment="1" applyBorder="1" applyFont="1" applyNumberFormat="1">
      <alignment horizontal="right" shrinkToFit="0" vertical="bottom" wrapText="1"/>
    </xf>
    <xf borderId="9" fillId="12" fontId="57" numFmtId="0" xfId="0" applyAlignment="1" applyBorder="1" applyFont="1">
      <alignment horizontal="center" shrinkToFit="0" vertical="bottom" wrapText="1"/>
    </xf>
    <xf borderId="9" fillId="12" fontId="50" numFmtId="0" xfId="0" applyAlignment="1" applyBorder="1" applyFont="1">
      <alignment horizontal="left" readingOrder="0" shrinkToFit="0" vertical="bottom" wrapText="1"/>
    </xf>
    <xf borderId="0" fillId="12" fontId="45" numFmtId="0" xfId="0" applyAlignment="1" applyFont="1">
      <alignment horizontal="center" shrinkToFit="0" wrapText="1"/>
    </xf>
    <xf borderId="9" fillId="0" fontId="46" numFmtId="0" xfId="0" applyAlignment="1" applyBorder="1" applyFont="1">
      <alignment horizontal="left" shrinkToFit="0" wrapText="1"/>
    </xf>
    <xf borderId="9" fillId="12" fontId="46" numFmtId="0" xfId="0" applyAlignment="1" applyBorder="1" applyFont="1">
      <alignment horizontal="center" shrinkToFit="0" vertical="bottom" wrapText="1"/>
    </xf>
    <xf borderId="9" fillId="8" fontId="44" numFmtId="0" xfId="0" applyAlignment="1" applyBorder="1" applyFont="1">
      <alignment horizontal="center" shrinkToFit="0" vertical="bottom" wrapText="1"/>
    </xf>
    <xf borderId="9" fillId="8" fontId="46" numFmtId="3" xfId="0" applyAlignment="1" applyBorder="1" applyFont="1" applyNumberFormat="1">
      <alignment horizontal="center" shrinkToFit="0" vertical="bottom" wrapText="1"/>
    </xf>
    <xf borderId="9" fillId="8" fontId="46" numFmtId="166" xfId="0" applyAlignment="1" applyBorder="1" applyFont="1" applyNumberFormat="1">
      <alignment horizontal="right" shrinkToFit="0" vertical="bottom" wrapText="1"/>
    </xf>
    <xf borderId="9" fillId="8" fontId="44" numFmtId="0" xfId="0" applyAlignment="1" applyBorder="1" applyFont="1">
      <alignment horizontal="left" shrinkToFit="0" vertical="bottom" wrapText="1"/>
    </xf>
    <xf borderId="9" fillId="25" fontId="54" numFmtId="0" xfId="0" applyAlignment="1" applyBorder="1" applyFont="1">
      <alignment horizontal="center" shrinkToFit="0" vertical="bottom" wrapText="1"/>
    </xf>
    <xf borderId="9" fillId="25" fontId="54" numFmtId="0" xfId="0" applyAlignment="1" applyBorder="1" applyFont="1">
      <alignment horizontal="center" readingOrder="0" shrinkToFit="0" vertical="bottom" wrapText="1"/>
    </xf>
    <xf borderId="9" fillId="25" fontId="54" numFmtId="0" xfId="0" applyAlignment="1" applyBorder="1" applyFont="1">
      <alignment horizontal="center" shrinkToFit="0" vertical="bottom" wrapText="1"/>
    </xf>
    <xf borderId="9" fillId="25" fontId="52" numFmtId="3" xfId="0" applyAlignment="1" applyBorder="1" applyFont="1" applyNumberFormat="1">
      <alignment horizontal="center" shrinkToFit="0" vertical="bottom" wrapText="1"/>
    </xf>
    <xf borderId="9" fillId="25" fontId="52" numFmtId="166" xfId="0" applyAlignment="1" applyBorder="1" applyFont="1" applyNumberFormat="1">
      <alignment horizontal="right" readingOrder="0" shrinkToFit="0" vertical="bottom" wrapText="1"/>
    </xf>
    <xf borderId="9" fillId="25" fontId="54" numFmtId="3" xfId="0" applyAlignment="1" applyBorder="1" applyFont="1" applyNumberFormat="1">
      <alignment horizontal="center" shrinkToFit="0" vertical="bottom" wrapText="1"/>
    </xf>
    <xf borderId="9" fillId="25" fontId="52" numFmtId="166" xfId="0" applyAlignment="1" applyBorder="1" applyFont="1" applyNumberFormat="1">
      <alignment horizontal="right" shrinkToFit="0" vertical="bottom" wrapText="1"/>
    </xf>
    <xf borderId="9" fillId="25" fontId="54" numFmtId="0" xfId="0" applyAlignment="1" applyBorder="1" applyFont="1">
      <alignment horizontal="left" shrinkToFit="0" vertical="bottom" wrapText="1"/>
    </xf>
    <xf borderId="9" fillId="0" fontId="44" numFmtId="0" xfId="0" applyAlignment="1" applyBorder="1" applyFont="1">
      <alignment horizontal="center" shrinkToFit="0" vertical="bottom" wrapText="1"/>
    </xf>
    <xf borderId="9" fillId="0" fontId="44" numFmtId="0" xfId="0" applyAlignment="1" applyBorder="1" applyFont="1">
      <alignment horizontal="center" readingOrder="0" shrinkToFit="0" vertical="bottom" wrapText="1"/>
    </xf>
    <xf borderId="9" fillId="8" fontId="44" numFmtId="0" xfId="0" applyAlignment="1" applyBorder="1" applyFont="1">
      <alignment horizontal="center" readingOrder="0" shrinkToFit="0" vertical="bottom" wrapText="1"/>
    </xf>
    <xf borderId="9" fillId="0" fontId="46" numFmtId="166" xfId="0" applyAlignment="1" applyBorder="1" applyFont="1" applyNumberFormat="1">
      <alignment horizontal="right" readingOrder="0" shrinkToFit="0" vertical="bottom" wrapText="1"/>
    </xf>
    <xf borderId="9" fillId="0" fontId="46" numFmtId="166" xfId="0" applyAlignment="1" applyBorder="1" applyFont="1" applyNumberFormat="1">
      <alignment horizontal="right" shrinkToFit="0" vertical="bottom" wrapText="1"/>
    </xf>
    <xf borderId="9" fillId="0" fontId="44" numFmtId="3" xfId="0" applyAlignment="1" applyBorder="1" applyFont="1" applyNumberFormat="1">
      <alignment horizontal="center" readingOrder="0" shrinkToFit="0" vertical="bottom" wrapText="1"/>
    </xf>
    <xf borderId="9" fillId="0" fontId="44" numFmtId="3" xfId="0" applyAlignment="1" applyBorder="1" applyFont="1" applyNumberFormat="1">
      <alignment horizontal="center" shrinkToFit="0" vertical="bottom" wrapText="1"/>
    </xf>
    <xf borderId="9" fillId="0" fontId="44" numFmtId="0" xfId="0" applyAlignment="1" applyBorder="1" applyFont="1">
      <alignment horizontal="left" shrinkToFit="0" vertical="bottom" wrapText="1"/>
    </xf>
    <xf borderId="9" fillId="20" fontId="46" numFmtId="0" xfId="0" applyAlignment="1" applyBorder="1" applyFont="1">
      <alignment horizontal="center" readingOrder="0" shrinkToFit="0" vertical="bottom" wrapText="1"/>
    </xf>
    <xf borderId="9" fillId="20" fontId="44" numFmtId="3" xfId="0" applyAlignment="1" applyBorder="1" applyFont="1" applyNumberFormat="1">
      <alignment horizontal="center" shrinkToFit="0" vertical="bottom" wrapText="1"/>
    </xf>
    <xf borderId="9" fillId="20" fontId="44" numFmtId="166" xfId="0" applyAlignment="1" applyBorder="1" applyFont="1" applyNumberFormat="1">
      <alignment horizontal="right" shrinkToFit="0" vertical="bottom" wrapText="1"/>
    </xf>
    <xf borderId="9" fillId="20" fontId="44" numFmtId="0" xfId="0" applyAlignment="1" applyBorder="1" applyFont="1">
      <alignment horizontal="left" shrinkToFit="0" vertical="bottom" wrapText="1"/>
    </xf>
    <xf borderId="9" fillId="12" fontId="46" numFmtId="0" xfId="0" applyAlignment="1" applyBorder="1" applyFont="1">
      <alignment horizontal="center" shrinkToFit="0" wrapText="1"/>
    </xf>
    <xf borderId="9" fillId="12" fontId="57" numFmtId="0" xfId="0" applyAlignment="1" applyBorder="1" applyFont="1">
      <alignment horizontal="left" shrinkToFit="0" vertical="bottom" wrapText="1"/>
    </xf>
    <xf borderId="9" fillId="12" fontId="46" numFmtId="0" xfId="0" applyAlignment="1" applyBorder="1" applyFont="1">
      <alignment horizontal="left" shrinkToFit="0" vertical="bottom" wrapText="1"/>
    </xf>
    <xf borderId="9" fillId="12" fontId="59" numFmtId="0" xfId="0" applyAlignment="1" applyBorder="1" applyFont="1">
      <alignment horizontal="center" shrinkToFit="0" vertical="bottom" wrapText="1"/>
    </xf>
    <xf borderId="9" fillId="12" fontId="59" numFmtId="0" xfId="0" applyAlignment="1" applyBorder="1" applyFont="1">
      <alignment horizontal="left" shrinkToFit="0" vertical="bottom" wrapText="1"/>
    </xf>
    <xf borderId="9" fillId="20" fontId="46" numFmtId="3" xfId="0" applyAlignment="1" applyBorder="1" applyFont="1" applyNumberFormat="1">
      <alignment horizontal="center" shrinkToFit="0" vertical="bottom" wrapText="1"/>
    </xf>
    <xf borderId="9" fillId="42" fontId="44" numFmtId="0" xfId="0" applyAlignment="1" applyBorder="1" applyFont="1">
      <alignment horizontal="left" shrinkToFit="0" vertical="bottom" wrapText="1"/>
    </xf>
    <xf borderId="9" fillId="12" fontId="58" numFmtId="0" xfId="0" applyAlignment="1" applyBorder="1" applyFont="1">
      <alignment horizontal="center" shrinkToFit="0" vertical="bottom" wrapText="1"/>
    </xf>
    <xf borderId="9" fillId="42" fontId="44" numFmtId="166" xfId="0" applyAlignment="1" applyBorder="1" applyFont="1" applyNumberFormat="1">
      <alignment horizontal="right" shrinkToFit="0" vertical="bottom" wrapText="1"/>
    </xf>
    <xf borderId="9" fillId="42" fontId="46" numFmtId="0" xfId="0" applyAlignment="1" applyBorder="1" applyFont="1">
      <alignment horizontal="center" readingOrder="0" shrinkToFit="0" vertical="bottom" wrapText="1"/>
    </xf>
    <xf borderId="9" fillId="12" fontId="46" numFmtId="0" xfId="0" applyAlignment="1" applyBorder="1" applyFont="1">
      <alignment horizontal="center" readingOrder="0" shrinkToFit="0" vertical="bottom" wrapText="1"/>
    </xf>
    <xf borderId="9" fillId="12" fontId="44" numFmtId="166" xfId="0" applyAlignment="1" applyBorder="1" applyFont="1" applyNumberFormat="1">
      <alignment horizontal="center" shrinkToFit="0" vertical="bottom" wrapText="1"/>
    </xf>
    <xf borderId="9" fillId="12" fontId="57" numFmtId="166" xfId="0" applyAlignment="1" applyBorder="1" applyFont="1" applyNumberFormat="1">
      <alignment horizontal="center" shrinkToFit="0" vertical="bottom" wrapText="1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left" shrinkToFit="0" vertical="center" wrapText="0"/>
    </xf>
    <xf borderId="0" fillId="0" fontId="15" numFmtId="176" xfId="0" applyAlignment="1" applyFont="1" applyNumberFormat="1">
      <alignment horizontal="right" vertical="center"/>
    </xf>
    <xf borderId="0" fillId="0" fontId="15" numFmtId="165" xfId="0" applyAlignment="1" applyFont="1" applyNumberFormat="1">
      <alignment horizontal="center" readingOrder="0" vertical="center"/>
    </xf>
    <xf borderId="0" fillId="0" fontId="15" numFmtId="165" xfId="0" applyAlignment="1" applyFont="1" applyNumberFormat="1">
      <alignment horizontal="center" vertical="center"/>
    </xf>
    <xf borderId="0" fillId="0" fontId="15" numFmtId="176" xfId="0" applyAlignment="1" applyFont="1" applyNumberFormat="1">
      <alignment horizontal="center" readingOrder="0" vertical="center"/>
    </xf>
    <xf borderId="0" fillId="0" fontId="15" numFmtId="176" xfId="0" applyAlignment="1" applyFont="1" applyNumberFormat="1">
      <alignment horizontal="left" readingOrder="0" vertical="center"/>
    </xf>
    <xf borderId="0" fillId="0" fontId="15" numFmtId="176" xfId="0" applyAlignment="1" applyFont="1" applyNumberFormat="1">
      <alignment horizontal="left" vertical="center"/>
    </xf>
    <xf borderId="0" fillId="0" fontId="15" numFmtId="176" xfId="0" applyAlignment="1" applyFont="1" applyNumberFormat="1">
      <alignment horizontal="center" vertical="center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29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FCCBC"/>
          <bgColor rgb="FFFFCCBC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C4E2A0"/>
          <bgColor rgb="FFC4E2A0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8CD3CD"/>
          <bgColor rgb="FF8CD3C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666666"/>
      </font>
      <fill>
        <patternFill patternType="none"/>
      </fill>
      <border/>
    </dxf>
    <dxf>
      <font>
        <color rgb="FFFF0000"/>
      </font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6BA96"/>
          <bgColor rgb="FFF6BA96"/>
        </patternFill>
      </fill>
      <border/>
    </dxf>
    <dxf>
      <font/>
      <fill>
        <patternFill patternType="solid">
          <fgColor rgb="FFF9D15F"/>
          <bgColor rgb="FFF9D15F"/>
        </patternFill>
      </fill>
      <border/>
    </dxf>
    <dxf>
      <font/>
      <fill>
        <patternFill patternType="solid">
          <fgColor rgb="FF9FD5B5"/>
          <bgColor rgb="FF9FD5B5"/>
        </patternFill>
      </fill>
      <border/>
    </dxf>
    <dxf>
      <font/>
      <fill>
        <patternFill patternType="solid">
          <fgColor rgb="FF8ED2F5"/>
          <bgColor rgb="FF8ED2F5"/>
        </patternFill>
      </fill>
      <border/>
    </dxf>
    <dxf>
      <font/>
      <fill>
        <patternFill patternType="solid">
          <fgColor rgb="FFC2B8DD"/>
          <bgColor rgb="FFC2B8DD"/>
        </patternFill>
      </fill>
      <border/>
    </dxf>
    <dxf>
      <font/>
      <fill>
        <patternFill patternType="solid">
          <fgColor rgb="FFF49697"/>
          <bgColor rgb="FFF49697"/>
        </patternFill>
      </fill>
      <border/>
    </dxf>
    <dxf>
      <font>
        <b/>
        <color rgb="FF9FD5B5"/>
      </font>
      <fill>
        <patternFill patternType="none"/>
      </fill>
      <border/>
    </dxf>
    <dxf>
      <font>
        <b/>
        <color rgb="FF8ED2F5"/>
      </font>
      <fill>
        <patternFill patternType="none"/>
      </fill>
      <border/>
    </dxf>
  </dxfs>
  <tableStyles count="13">
    <tableStyle count="3" pivot="0" name="Table-style">
      <tableStyleElement dxfId="1" type="headerRow"/>
      <tableStyleElement dxfId="2" type="firstRowStripe"/>
      <tableStyleElement dxfId="3" type="secondRowStripe"/>
    </tableStyle>
    <tableStyle count="3" pivot="0" name="Table-style 2">
      <tableStyleElement dxfId="4" type="headerRow"/>
      <tableStyleElement dxfId="2" type="firstRowStripe"/>
      <tableStyleElement dxfId="5" type="secondRowStripe"/>
    </tableStyle>
    <tableStyle count="4" pivot="0" name="統計圖表-style">
      <tableStyleElement dxfId="4" type="headerRow"/>
      <tableStyleElement dxfId="2" type="firstRowStripe"/>
      <tableStyleElement dxfId="5" type="secondRowStripe"/>
      <tableStyleElement dxfId="6" type="totalRow"/>
    </tableStyle>
    <tableStyle count="4" pivot="0" name="統計圖表-style 2">
      <tableStyleElement dxfId="7" type="headerRow"/>
      <tableStyleElement dxfId="2" type="firstRowStripe"/>
      <tableStyleElement dxfId="8" type="secondRowStripe"/>
      <tableStyleElement dxfId="9" type="totalRow"/>
    </tableStyle>
    <tableStyle count="4" pivot="0" name="統計圖表-style 3">
      <tableStyleElement dxfId="1" type="headerRow"/>
      <tableStyleElement dxfId="2" type="firstRowStripe"/>
      <tableStyleElement dxfId="3" type="secondRowStripe"/>
      <tableStyleElement dxfId="10" type="totalRow"/>
    </tableStyle>
    <tableStyle count="4" pivot="0" name="統計圖表-style 4">
      <tableStyleElement dxfId="11" type="headerRow"/>
      <tableStyleElement dxfId="2" type="firstRowStripe"/>
      <tableStyleElement dxfId="12" type="secondRowStripe"/>
      <tableStyleElement dxfId="13" type="totalRow"/>
    </tableStyle>
    <tableStyle count="2" pivot="0" name="付款追蹤-style">
      <tableStyleElement dxfId="2" type="firstRowStripe"/>
      <tableStyleElement dxfId="14" type="secondRowStripe"/>
    </tableStyle>
    <tableStyle count="2" pivot="0" name="合約管理-style">
      <tableStyleElement dxfId="2" type="firstRowStripe"/>
      <tableStyleElement dxfId="14" type="secondRowStripe"/>
    </tableStyle>
    <tableStyle count="2" pivot="0" name="保證金管理-style">
      <tableStyleElement dxfId="2" type="firstRowStripe"/>
      <tableStyleElement dxfId="14" type="secondRowStripe"/>
    </tableStyle>
    <tableStyle count="3" pivot="0" name="廠商聯絡資料-style">
      <tableStyleElement dxfId="1" type="headerRow"/>
      <tableStyleElement dxfId="2" type="firstRowStripe"/>
      <tableStyleElement dxfId="3" type="secondRowStripe"/>
    </tableStyle>
    <tableStyle count="3" pivot="0" name="市集-style">
      <tableStyleElement dxfId="11" type="headerRow"/>
      <tableStyleElement dxfId="2" type="firstRowStripe"/>
      <tableStyleElement dxfId="12" type="secondRowStripe"/>
    </tableStyle>
    <tableStyle count="3" pivot="0" name="321 贊助商收款明細-style">
      <tableStyleElement dxfId="1" type="headerRow"/>
      <tableStyleElement dxfId="2" type="firstRowStripe"/>
      <tableStyleElement dxfId="3" type="secondRowStripe"/>
    </tableStyle>
    <tableStyle count="3" pivot="0" name="322 帳戶收款明細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666666"/>
                </a:solidFill>
                <a:latin typeface="+mn-lt"/>
              </a:defRPr>
            </a:pPr>
            <a:r>
              <a:rPr b="1">
                <a:solidFill>
                  <a:srgbClr val="666666"/>
                </a:solidFill>
                <a:latin typeface="+mn-lt"/>
              </a:rPr>
              <a:t>贊助金額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'統計圖表'!$C$2</c:f>
            </c:strRef>
          </c:tx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</a:ln>
          </c:spPr>
          <c:cat>
            <c:strRef>
              <c:f>'統計圖表'!$A$3:$A$12</c:f>
            </c:strRef>
          </c:cat>
          <c:val>
            <c:numRef>
              <c:f>'統計圖表'!$C$3:$C$12</c:f>
              <c:numCache/>
            </c:numRef>
          </c:val>
        </c:ser>
        <c:ser>
          <c:idx val="1"/>
          <c:order val="1"/>
          <c:tx>
            <c:strRef>
              <c:f>'統計圖表'!$D$2</c:f>
            </c:strRef>
          </c:tx>
          <c:spPr>
            <a:solidFill>
              <a:srgbClr val="E06666">
                <a:alpha val="30000"/>
              </a:srgbClr>
            </a:solidFill>
            <a:ln cmpd="sng">
              <a:solidFill>
                <a:srgbClr val="E06666">
                  <a:alpha val="100000"/>
                </a:srgbClr>
              </a:solidFill>
            </a:ln>
          </c:spPr>
          <c:cat>
            <c:strRef>
              <c:f>'統計圖表'!$A$3:$A$12</c:f>
            </c:strRef>
          </c:cat>
          <c:val>
            <c:numRef>
              <c:f>'統計圖表'!$D$3:$D$12</c:f>
              <c:numCache/>
            </c:numRef>
          </c:val>
        </c:ser>
        <c:ser>
          <c:idx val="2"/>
          <c:order val="2"/>
          <c:tx>
            <c:strRef>
              <c:f>'統計圖表'!$E$2</c:f>
            </c:strRef>
          </c:tx>
          <c:spPr>
            <a:solidFill>
              <a:srgbClr val="674EA7">
                <a:alpha val="30000"/>
              </a:srgbClr>
            </a:solidFill>
            <a:ln cmpd="sng">
              <a:solidFill>
                <a:srgbClr val="674EA7">
                  <a:alpha val="100000"/>
                </a:srgbClr>
              </a:solidFill>
            </a:ln>
          </c:spPr>
          <c:cat>
            <c:strRef>
              <c:f>'統計圖表'!$A$3:$A$12</c:f>
            </c:strRef>
          </c:cat>
          <c:val>
            <c:numRef>
              <c:f>'統計圖表'!$E$3:$E$12</c:f>
              <c:numCache/>
            </c:numRef>
          </c:val>
        </c:ser>
        <c:axId val="1274691511"/>
        <c:axId val="1526609093"/>
      </c:areaChart>
      <c:catAx>
        <c:axId val="1274691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609093"/>
      </c:catAx>
      <c:valAx>
        <c:axId val="1526609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469151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合約狀態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'統計圖表'!$H$2</c:f>
            </c:strRef>
          </c:tx>
          <c:dPt>
            <c:idx val="0"/>
            <c:spPr>
              <a:solidFill>
                <a:srgbClr val="EFEFEF"/>
              </a:solidFill>
              <a:ln cmpd="sng" w="9525">
                <a:solidFill>
                  <a:srgbClr val="EFEFEF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EFEFEF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EFEFEF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EFEFEF"/>
                </a:solidFill>
              </a:ln>
            </c:spPr>
          </c:dPt>
          <c:dPt>
            <c:idx val="4"/>
            <c:spPr>
              <a:solidFill>
                <a:srgbClr val="6FA8DC"/>
              </a:solidFill>
              <a:ln cmpd="sng" w="9525">
                <a:solidFill>
                  <a:srgbClr val="EFEFEF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'統計圖表'!$G$3:$G$7</c:f>
            </c:strRef>
          </c:cat>
          <c:val>
            <c:numRef>
              <c:f>'統計圖表'!$H$3:$H$7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付款狀態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explosion val="25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rgbClr val="6AA84F"/>
              </a:solidFill>
            </c:spPr>
          </c:dPt>
          <c:dPt>
            <c:idx val="2"/>
            <c:spPr>
              <a:solidFill>
                <a:srgbClr val="E6913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'統計圖表'!$J$3:$J$5</c:f>
            </c:strRef>
          </c:cat>
          <c:val>
            <c:numRef>
              <c:f>'統計圖表'!$K$3:$K$5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13</xdr:row>
      <xdr:rowOff>76200</xdr:rowOff>
    </xdr:from>
    <xdr:ext cx="3638550" cy="2247900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200025</xdr:colOff>
      <xdr:row>11</xdr:row>
      <xdr:rowOff>152400</xdr:rowOff>
    </xdr:from>
    <xdr:ext cx="2286000" cy="1685925"/>
    <xdr:graphicFrame>
      <xdr:nvGraphicFramePr>
        <xdr:cNvPr id="2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47625</xdr:colOff>
      <xdr:row>11</xdr:row>
      <xdr:rowOff>9525</xdr:rowOff>
    </xdr:from>
    <xdr:ext cx="2286000" cy="2524125"/>
    <xdr:graphicFrame>
      <xdr:nvGraphicFramePr>
        <xdr:cNvPr id="3" name="Chart 3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" displayName="Table_1" name="Table_1" id="1">
  <tableColumns count="5">
    <tableColumn name="#" id="1"/>
    <tableColumn name="性質" id="2"/>
    <tableColumn name="表單" id="3"/>
    <tableColumn name="用途" id="4"/>
    <tableColumn name="Remarks" id="5"/>
  </tableColumns>
  <tableStyleInfo name="Table-style" showColumnStripes="0" showFirstColumn="1" showLastColumn="1" showRowStripes="1"/>
</table>
</file>

<file path=xl/tables/table2.xml><?xml version="1.0" encoding="utf-8"?>
<table xmlns="http://schemas.openxmlformats.org/spreadsheetml/2006/main" headerRowCount="0" ref="A11:E22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Tabl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totalsRowCount="1" ref="A2:E13" displayName="Table_3" name="Table_3" id="3">
  <tableColumns count="5">
    <tableColumn totalsRowLabel="總計" name="級別" id="1"/>
    <tableColumn totalsRowFunction="custom" name="贊助商數量" id="2"/>
    <tableColumn totalsRowFunction="custom" name="合約金額" id="3"/>
    <tableColumn totalsRowFunction="custom" name="現金金額" id="4"/>
    <tableColumn totalsRowFunction="custom" name="商品金額" id="5"/>
  </tableColumns>
  <tableStyleInfo name="統計圖表-style" showColumnStripes="0" showFirstColumn="1" showLastColumn="1" showRowStripes="1"/>
</table>
</file>

<file path=xl/tables/table4.xml><?xml version="1.0" encoding="utf-8"?>
<table xmlns="http://schemas.openxmlformats.org/spreadsheetml/2006/main" totalsRowCount="1" ref="G2:H8" displayName="Table_4" name="Table_4" id="4">
  <tableColumns count="2">
    <tableColumn totalsRowLabel="總計" name="項目" id="1"/>
    <tableColumn totalsRowFunction="custom" name="贊助商數量" id="2"/>
  </tableColumns>
  <tableStyleInfo name="統計圖表-style 2" showColumnStripes="0" showFirstColumn="1" showLastColumn="1" showRowStripes="1"/>
</table>
</file>

<file path=xl/tables/table5.xml><?xml version="1.0" encoding="utf-8"?>
<table xmlns="http://schemas.openxmlformats.org/spreadsheetml/2006/main" totalsRowCount="1" ref="J2:K6" displayName="Table_5" name="Table_5" id="5">
  <tableColumns count="2">
    <tableColumn totalsRowLabel="總計" name="項目" id="1"/>
    <tableColumn totalsRowFunction="custom" name="贊助商數量" id="2"/>
  </tableColumns>
  <tableStyleInfo name="統計圖表-style 3" showColumnStripes="0" showFirstColumn="1" showLastColumn="1" showRowStripes="1"/>
</table>
</file>

<file path=xl/tables/table6.xml><?xml version="1.0" encoding="utf-8"?>
<table xmlns="http://schemas.openxmlformats.org/spreadsheetml/2006/main" totalsRowCount="1" ref="M2:N6" displayName="Table_6" name="Table_6" id="6">
  <tableColumns count="2">
    <tableColumn totalsRowLabel="總計" name="專案" id="1"/>
    <tableColumn totalsRowFunction="custom" name="贊助商數量" id="2"/>
  </tableColumns>
  <tableStyleInfo name="統計圖表-style 4" showColumnStripes="0" showFirstColumn="1" showLastColumn="1" showRowStripes="1"/>
</table>
</file>

<file path=xl/tables/table7.xml><?xml version="1.0" encoding="utf-8"?>
<table xmlns="http://schemas.openxmlformats.org/spreadsheetml/2006/main" headerRowCount="0" ref="A3:B525" displayName="Table_7" name="Table_7" id="7">
  <tableColumns count="2">
    <tableColumn name="Column1" id="1"/>
    <tableColumn name="Column2" id="2"/>
  </tableColumns>
  <tableStyleInfo name="付款追蹤-style" showColumnStripes="0" showFirstColumn="1" showLastColumn="1" showRowStripes="1"/>
</table>
</file>

<file path=xl/tables/table8.xml><?xml version="1.0" encoding="utf-8"?>
<table xmlns="http://schemas.openxmlformats.org/spreadsheetml/2006/main" headerRowCount="0" ref="A3:D525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合約管理-style" showColumnStripes="0" showFirstColumn="1" showLastColumn="1" showRowStripes="1"/>
</table>
</file>

<file path=xl/tables/table9.xml><?xml version="1.0" encoding="utf-8"?>
<table xmlns="http://schemas.openxmlformats.org/spreadsheetml/2006/main" headerRowCount="0" ref="A3:C525" displayName="Table_9" name="Table_9" id="9">
  <tableColumns count="3">
    <tableColumn name="Column1" id="1"/>
    <tableColumn name="Column2" id="2"/>
    <tableColumn name="Column3" id="3"/>
  </tableColumns>
  <tableStyleInfo name="保證金管理-style" showColumnStripes="0" showFirstColumn="1" showLastColumn="1" showRowStripes="1"/>
</table>
</file>

<file path=xl/tables/table10.xml><?xml version="1.0" encoding="utf-8"?>
<table xmlns="http://schemas.openxmlformats.org/spreadsheetml/2006/main" ref="A1:F80" displayName="Table_10" name="Table_10" id="10">
  <tableColumns count="6">
    <tableColumn name="小組長" id="1"/>
    <tableColumn name="級別" id="2"/>
    <tableColumn name="廠商" id="3"/>
    <tableColumn name="廠商聯絡人" id="4"/>
    <tableColumn name="廠商 email" id="5"/>
    <tableColumn name="備註" id="6"/>
  </tableColumns>
  <tableStyleInfo name="廠商聯絡資料-style" showColumnStripes="0" showFirstColumn="1" showLastColumn="1" showRowStripes="1"/>
</table>
</file>

<file path=xl/tables/table11.xml><?xml version="1.0" encoding="utf-8"?>
<table xmlns="http://schemas.openxmlformats.org/spreadsheetml/2006/main" headerRowCount="0" ref="A1:T663" displayName="Table_11" name="Table_11" id="1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市集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1:G122" displayName="Table_12" name="Table_12" id="12">
  <tableColumns count="7">
    <tableColumn name="類型" id="1"/>
    <tableColumn name="贊助商名稱" id="2"/>
    <tableColumn name="業務窗口" id="3"/>
    <tableColumn name="金額" id="4"/>
    <tableColumn name="保證金" id="5"/>
    <tableColumn name="預期收款日" id="6"/>
    <tableColumn name="實際收款日" id="7"/>
  </tableColumns>
  <tableStyleInfo name="321 贊助商收款明細-style" showColumnStripes="0" showFirstColumn="1" showLastColumn="1" showRowStripes="1"/>
</table>
</file>

<file path=xl/tables/table13.xml><?xml version="1.0" encoding="utf-8"?>
<table xmlns="http://schemas.openxmlformats.org/spreadsheetml/2006/main" ref="A1:E122" displayName="Table_13" name="Table_13" id="13">
  <tableColumns count="5">
    <tableColumn name="帳戶" id="1"/>
    <tableColumn name="日期" id="2"/>
    <tableColumn name="金額" id="3"/>
    <tableColumn name="類型" id="4"/>
    <tableColumn name="贊助商" id="5"/>
  </tableColumns>
  <tableStyleInfo name="322 帳戶收款明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6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docs.google.com/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rive.google.com/drive/folders/17OdY5i_YkMbMNiPjIXA2xsx1Iol40W2q" TargetMode="External"/><Relationship Id="rId3" Type="http://schemas.openxmlformats.org/officeDocument/2006/relationships/hyperlink" Target="https://drive.google.com/file/d/1WVEA1uXFxUQFAAFfMhLNWU5vTakCWG1M/view?usp=sharing" TargetMode="Externa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3.5"/>
    <col customWidth="1" min="3" max="3" width="22.88"/>
    <col customWidth="1" min="4" max="4" width="30.63"/>
    <col customWidth="1" min="5" max="5" width="23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>
        <v>1.0</v>
      </c>
      <c r="B2" s="4" t="s">
        <v>5</v>
      </c>
      <c r="C2" s="5" t="s">
        <v>6</v>
      </c>
      <c r="D2" s="6"/>
      <c r="E2" s="7"/>
    </row>
    <row r="3">
      <c r="A3" s="8"/>
      <c r="B3" s="4" t="s">
        <v>7</v>
      </c>
      <c r="C3" s="5" t="s">
        <v>8</v>
      </c>
      <c r="D3" s="9" t="s">
        <v>9</v>
      </c>
      <c r="E3" s="4" t="s">
        <v>10</v>
      </c>
    </row>
    <row r="4">
      <c r="A4" s="8"/>
      <c r="B4" s="4" t="s">
        <v>11</v>
      </c>
      <c r="C4" s="5" t="s">
        <v>12</v>
      </c>
      <c r="D4" s="6"/>
      <c r="E4" s="7"/>
    </row>
    <row r="5">
      <c r="A5" s="8"/>
      <c r="B5" s="4" t="s">
        <v>11</v>
      </c>
      <c r="C5" s="5" t="s">
        <v>13</v>
      </c>
      <c r="D5" s="9" t="s">
        <v>14</v>
      </c>
      <c r="E5" s="9" t="s">
        <v>15</v>
      </c>
    </row>
    <row r="6">
      <c r="A6" s="8"/>
      <c r="B6" s="4" t="s">
        <v>11</v>
      </c>
      <c r="C6" s="4" t="s">
        <v>16</v>
      </c>
      <c r="D6" s="6"/>
      <c r="E6" s="4"/>
    </row>
    <row r="7">
      <c r="A7" s="8"/>
      <c r="B7" s="4" t="s">
        <v>11</v>
      </c>
      <c r="C7" s="4" t="s">
        <v>17</v>
      </c>
      <c r="D7" s="9" t="s">
        <v>18</v>
      </c>
      <c r="E7" s="7"/>
    </row>
    <row r="8">
      <c r="A8" s="8"/>
      <c r="B8" s="4" t="s">
        <v>11</v>
      </c>
      <c r="C8" s="4" t="s">
        <v>19</v>
      </c>
      <c r="D8" s="6"/>
      <c r="E8" s="7"/>
    </row>
    <row r="9">
      <c r="A9" s="8"/>
      <c r="B9" s="7"/>
      <c r="C9" s="7"/>
      <c r="D9" s="6"/>
      <c r="E9" s="7"/>
    </row>
    <row r="10">
      <c r="A10" s="8"/>
      <c r="B10" s="7"/>
      <c r="C10" s="7"/>
      <c r="D10" s="6"/>
      <c r="E10" s="7"/>
    </row>
    <row r="11">
      <c r="A11" s="10"/>
      <c r="B11" s="11" t="s">
        <v>20</v>
      </c>
      <c r="C11" s="11" t="s">
        <v>21</v>
      </c>
      <c r="D11" s="12" t="s">
        <v>22</v>
      </c>
      <c r="E11" s="11" t="s">
        <v>23</v>
      </c>
    </row>
    <row r="12">
      <c r="A12" s="3">
        <v>1.0</v>
      </c>
      <c r="B12" s="4" t="s">
        <v>24</v>
      </c>
      <c r="C12" s="4" t="s">
        <v>25</v>
      </c>
      <c r="E12" s="4" t="s">
        <v>26</v>
      </c>
    </row>
    <row r="13">
      <c r="A13" s="3">
        <v>2.0</v>
      </c>
      <c r="B13" s="4" t="s">
        <v>27</v>
      </c>
      <c r="C13" s="4" t="s">
        <v>28</v>
      </c>
      <c r="D13" s="13" t="s">
        <v>29</v>
      </c>
      <c r="E13" s="4"/>
    </row>
    <row r="14">
      <c r="A14" s="3">
        <v>3.0</v>
      </c>
      <c r="B14" s="4" t="s">
        <v>30</v>
      </c>
      <c r="C14" s="14" t="s">
        <v>31</v>
      </c>
      <c r="D14" s="9"/>
      <c r="E14" s="4"/>
    </row>
    <row r="15">
      <c r="A15" s="3">
        <v>4.0</v>
      </c>
      <c r="B15" s="4" t="s">
        <v>32</v>
      </c>
      <c r="C15" s="4" t="s">
        <v>33</v>
      </c>
      <c r="D15" s="9" t="s">
        <v>34</v>
      </c>
      <c r="E15" s="4" t="s">
        <v>35</v>
      </c>
    </row>
    <row r="16">
      <c r="A16" s="3">
        <v>5.0</v>
      </c>
      <c r="B16" s="4" t="s">
        <v>36</v>
      </c>
      <c r="C16" s="4" t="s">
        <v>37</v>
      </c>
      <c r="D16" s="15"/>
      <c r="E16" s="7"/>
    </row>
    <row r="17">
      <c r="A17" s="3">
        <v>6.0</v>
      </c>
      <c r="B17" s="4" t="s">
        <v>38</v>
      </c>
      <c r="C17" s="4" t="s">
        <v>39</v>
      </c>
      <c r="D17" s="6"/>
      <c r="E17" s="7"/>
    </row>
    <row r="18">
      <c r="A18" s="3">
        <v>7.0</v>
      </c>
      <c r="B18" s="4" t="s">
        <v>40</v>
      </c>
      <c r="C18" s="7"/>
      <c r="D18" s="6"/>
      <c r="E18" s="7"/>
    </row>
    <row r="19">
      <c r="A19" s="3">
        <v>8.0</v>
      </c>
      <c r="B19" s="4" t="s">
        <v>41</v>
      </c>
      <c r="C19" s="4" t="s">
        <v>42</v>
      </c>
      <c r="D19" s="4" t="s">
        <v>43</v>
      </c>
    </row>
    <row r="20">
      <c r="A20" s="3">
        <v>9.0</v>
      </c>
      <c r="B20" s="4" t="s">
        <v>44</v>
      </c>
      <c r="C20" s="4" t="s">
        <v>45</v>
      </c>
      <c r="D20" s="9" t="s">
        <v>46</v>
      </c>
      <c r="E20" s="7"/>
    </row>
    <row r="21">
      <c r="A21" s="3">
        <v>10.0</v>
      </c>
      <c r="B21" s="4" t="s">
        <v>47</v>
      </c>
      <c r="C21" s="7"/>
      <c r="D21" s="9" t="s">
        <v>48</v>
      </c>
      <c r="E21" s="7"/>
    </row>
    <row r="22">
      <c r="A22" s="3"/>
      <c r="B22" s="7"/>
      <c r="C22" s="7"/>
      <c r="D22" s="6"/>
      <c r="E22" s="7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0.13"/>
    <col customWidth="1" min="6" max="6" width="2.63"/>
    <col customWidth="1" min="7" max="8" width="10.13"/>
    <col customWidth="1" min="9" max="9" width="2.63"/>
    <col customWidth="1" min="10" max="10" width="13.25"/>
    <col customWidth="1" min="11" max="11" width="10.13"/>
    <col customWidth="1" min="12" max="12" width="2.63"/>
    <col customWidth="1" min="13" max="14" width="10.13"/>
    <col customWidth="1" min="15" max="15" width="2.63"/>
    <col customWidth="1" min="16" max="16" width="26.88"/>
    <col customWidth="1" min="17" max="19" width="10.13"/>
    <col customWidth="1" min="20" max="20" width="13.13"/>
  </cols>
  <sheetData>
    <row r="1">
      <c r="A1" s="16" t="s">
        <v>49</v>
      </c>
      <c r="F1" s="17"/>
      <c r="G1" s="18" t="s">
        <v>50</v>
      </c>
      <c r="I1" s="17"/>
      <c r="J1" s="19" t="s">
        <v>51</v>
      </c>
      <c r="L1" s="20"/>
      <c r="M1" s="21" t="s">
        <v>52</v>
      </c>
      <c r="O1" s="17"/>
      <c r="P1" s="22" t="s">
        <v>53</v>
      </c>
    </row>
    <row r="2">
      <c r="A2" s="23" t="s">
        <v>54</v>
      </c>
      <c r="B2" s="23" t="s">
        <v>55</v>
      </c>
      <c r="C2" s="23" t="s">
        <v>56</v>
      </c>
      <c r="D2" s="23" t="s">
        <v>57</v>
      </c>
      <c r="E2" s="23" t="s">
        <v>58</v>
      </c>
      <c r="F2" s="17"/>
      <c r="G2" s="23" t="s">
        <v>59</v>
      </c>
      <c r="H2" s="24" t="s">
        <v>55</v>
      </c>
      <c r="I2" s="17"/>
      <c r="J2" s="25" t="s">
        <v>59</v>
      </c>
      <c r="K2" s="26" t="s">
        <v>55</v>
      </c>
      <c r="L2" s="20"/>
      <c r="M2" s="23" t="s">
        <v>60</v>
      </c>
      <c r="N2" s="23" t="s">
        <v>55</v>
      </c>
      <c r="O2" s="17"/>
      <c r="P2" s="27" t="str">
        <f>IFERROR(__xludf.DUMMYFUNCTION("QUERY(IMPORTRANGE(""https://docs.google.com/spreadsheets/d/1TzBxi33SqU_nLx60nOWWbFcrtCUmq1B_2rgPywrfN0s/"",""'參與攤位'!A1:G""), ""SELECT Col1, Col2, Col3, Col4,Col7"", 1)"),"分區")</f>
        <v>分區</v>
      </c>
      <c r="Q2" s="27" t="str">
        <f>IFERROR(__xludf.DUMMYFUNCTION("""COMPUTED_VALUE"""),"一般市集攤位")</f>
        <v>一般市集攤位</v>
      </c>
      <c r="R2" s="27" t="str">
        <f>IFERROR(__xludf.DUMMYFUNCTION("""COMPUTED_VALUE"""),"級別攤位")</f>
        <v>級別攤位</v>
      </c>
      <c r="S2" s="28" t="str">
        <f>IFERROR(__xludf.DUMMYFUNCTION("""COMPUTED_VALUE"""),"分區攤位數")</f>
        <v>分區攤位數</v>
      </c>
      <c r="T2" s="28" t="str">
        <f>IFERROR(__xludf.DUMMYFUNCTION("""COMPUTED_VALUE"""),"預估收入")</f>
        <v>預估收入</v>
      </c>
    </row>
    <row r="3">
      <c r="A3" s="25" t="s">
        <v>61</v>
      </c>
      <c r="B3" s="29">
        <f>COUNTIFS('31業務統計總表'!J$2:T$2,$A3,'31業務統計總表'!J$3:T$3,"&lt;&gt;")</f>
        <v>0</v>
      </c>
      <c r="C3" s="30">
        <f>SUMIFS('31業務統計總表'!J$57:T$57,'31業務統計總表'!J$2:T$2,$A3,'31業務統計總表'!J$3:T$3,"&lt;&gt;")</f>
        <v>0</v>
      </c>
      <c r="D3" s="30">
        <f>SUMIFS('31業務統計總表'!J$58:T$58,'31業務統計總表'!J$2:T$2,$A3,'31業務統計總表'!J$3:T$3,"&lt;&gt;")</f>
        <v>0</v>
      </c>
      <c r="E3" s="30">
        <f>SUMIFS('31業務統計總表'!J$59:T$59,'31業務統計總表'!J$2:T$2,$A3,'31業務統計總表'!J$3:T$3,"&lt;&gt;")</f>
        <v>0</v>
      </c>
      <c r="F3" s="17"/>
      <c r="G3" s="25" t="s">
        <v>62</v>
      </c>
      <c r="H3" s="30">
        <f>COUNTIFS('31業務統計總表'!J$3:T$3,"&lt;&gt;",'31業務統計總表'!J$61:T$61,"*" &amp; $G3)</f>
        <v>0</v>
      </c>
      <c r="I3" s="17"/>
      <c r="J3" s="25" t="s">
        <v>63</v>
      </c>
      <c r="K3" s="25">
        <f>COUNTIFS('31業務統計總表'!J$3:T$3,"&lt;&gt;",'31業務統計總表'!J$62:T$62,"*" &amp; $J3)</f>
        <v>2</v>
      </c>
      <c r="L3" s="20"/>
      <c r="M3" s="25" t="s">
        <v>64</v>
      </c>
      <c r="N3" s="31">
        <f>COUNTIFS('31業務統計總表'!J$2:T$2,"友善飯店",'31業務統計總表'!J$3:T$3,"&lt;&gt;",'31業務統計總表'!J$4:T$4,"A")</f>
        <v>2</v>
      </c>
      <c r="O3" s="17"/>
      <c r="P3" s="32" t="str">
        <f>IFERROR(__xludf.DUMMYFUNCTION("""COMPUTED_VALUE"""),"夜色")</f>
        <v>夜色</v>
      </c>
      <c r="Q3" s="32">
        <f>IFERROR(__xludf.DUMMYFUNCTION("""COMPUTED_VALUE"""),5.0)</f>
        <v>5</v>
      </c>
      <c r="R3" s="32">
        <f>IFERROR(__xludf.DUMMYFUNCTION("""COMPUTED_VALUE"""),5.0)</f>
        <v>5</v>
      </c>
      <c r="S3" s="33">
        <f>IFERROR(__xludf.DUMMYFUNCTION("""COMPUTED_VALUE"""),10.0)</f>
        <v>10</v>
      </c>
      <c r="T3" s="34">
        <f>IFERROR(__xludf.DUMMYFUNCTION("""COMPUTED_VALUE"""),100000.0)</f>
        <v>100000</v>
      </c>
    </row>
    <row r="4">
      <c r="A4" s="25" t="s">
        <v>65</v>
      </c>
      <c r="B4" s="29">
        <f>COUNTIFS('31業務統計總表'!J$2:T$2,$A4,'31業務統計總表'!J$3:T$3,"&lt;&gt;")</f>
        <v>0</v>
      </c>
      <c r="C4" s="30">
        <f>SUMIFS('31業務統計總表'!J$57:T$57,'31業務統計總表'!J$2:T$2,$A4,'31業務統計總表'!J$3:T$3,"&lt;&gt;")</f>
        <v>0</v>
      </c>
      <c r="D4" s="30">
        <f>SUMIFS('31業務統計總表'!J$58:T$58,'31業務統計總表'!J$2:T$2,$A4,'31業務統計總表'!J$3:T$3,"&lt;&gt;")</f>
        <v>0</v>
      </c>
      <c r="E4" s="30">
        <f>SUMIFS('31業務統計總表'!J$59:T$59,'31業務統計總表'!J$2:T$2,$A4,'31業務統計總表'!J$3:T$3,"&lt;&gt;")</f>
        <v>0</v>
      </c>
      <c r="F4" s="17"/>
      <c r="G4" s="25" t="s">
        <v>66</v>
      </c>
      <c r="H4" s="30">
        <f>COUNTIFS('31業務統計總表'!J$3:T$3,"&lt;&gt;",'31業務統計總表'!J$61:T$61,"*" &amp; $G4)</f>
        <v>0</v>
      </c>
      <c r="I4" s="17"/>
      <c r="J4" s="25" t="s">
        <v>67</v>
      </c>
      <c r="K4" s="25">
        <f>COUNTIFS('31業務統計總表'!J$3:T$3,"&lt;&gt;",'31業務統計總表'!J$62:T$62,"*" &amp; $J4)</f>
        <v>37</v>
      </c>
      <c r="L4" s="20"/>
      <c r="M4" s="25" t="s">
        <v>68</v>
      </c>
      <c r="N4" s="31">
        <f>COUNTIFS('31業務統計總表'!J$2:T$2,"友善飯店",'31業務統計總表'!J$3:T$3,"&lt;&gt;",'31業務統計總表'!J$4:T$4,"B")</f>
        <v>6</v>
      </c>
      <c r="O4" s="17"/>
      <c r="P4" s="35" t="str">
        <f>IFERROR(__xludf.DUMMYFUNCTION("""COMPUTED_VALUE"""),"時尚")</f>
        <v>時尚</v>
      </c>
      <c r="Q4" s="35">
        <f>IFERROR(__xludf.DUMMYFUNCTION("""COMPUTED_VALUE"""),19.0)</f>
        <v>19</v>
      </c>
      <c r="R4" s="35">
        <f>IFERROR(__xludf.DUMMYFUNCTION("""COMPUTED_VALUE"""),4.0)</f>
        <v>4</v>
      </c>
      <c r="S4" s="36">
        <f>IFERROR(__xludf.DUMMYFUNCTION("""COMPUTED_VALUE"""),23.0)</f>
        <v>23</v>
      </c>
      <c r="T4" s="37">
        <f>IFERROR(__xludf.DUMMYFUNCTION("""COMPUTED_VALUE"""),380000.0)</f>
        <v>380000</v>
      </c>
    </row>
    <row r="5">
      <c r="A5" s="25" t="s">
        <v>69</v>
      </c>
      <c r="B5" s="29">
        <f>COUNTIFS('31業務統計總表'!J$2:T$2,$A5,'31業務統計總表'!J$3:T$3,"&lt;&gt;")</f>
        <v>4</v>
      </c>
      <c r="C5" s="30">
        <f>SUMIFS('31業務統計總表'!J$57:T$57,'31業務統計總表'!J$2:T$2,$A5,'31業務統計總表'!J$3:T$3,"&lt;&gt;")</f>
        <v>1715000</v>
      </c>
      <c r="D5" s="30">
        <f>SUMIFS('31業務統計總表'!J$58:T$58,'31業務統計總表'!J$2:T$2,$A5,'31業務統計總表'!J$3:T$3,"&lt;&gt;")</f>
        <v>1715000</v>
      </c>
      <c r="E5" s="30">
        <f>SUMIFS('31業務統計總表'!J$59:T$59,'31業務統計總表'!J$2:T$2,$A5,'31業務統計總表'!J$3:T$3,"&lt;&gt;")</f>
        <v>0</v>
      </c>
      <c r="F5" s="17"/>
      <c r="G5" s="25" t="s">
        <v>70</v>
      </c>
      <c r="H5" s="30">
        <f>COUNTIFS('31業務統計總表'!J$3:T$3,"&lt;&gt;",'31業務統計總表'!J$61:T$61,"*" &amp; $G5)</f>
        <v>0</v>
      </c>
      <c r="I5" s="17"/>
      <c r="J5" s="25" t="s">
        <v>71</v>
      </c>
      <c r="K5" s="25">
        <f>COUNTIFS('31業務統計總表'!J$3:T$3,"&lt;&gt;",'31業務統計總表'!J$62:T$62,"")</f>
        <v>19</v>
      </c>
      <c r="L5" s="20"/>
      <c r="M5" s="25" t="s">
        <v>72</v>
      </c>
      <c r="N5" s="31">
        <f>COUNTIFS('31業務統計總表'!J$2:T$2,"友善飯店",'31業務統計總表'!J$3:T$3,"&lt;&gt;",'31業務統計總表'!J$4:T$4,"C")</f>
        <v>7</v>
      </c>
      <c r="O5" s="17"/>
      <c r="P5" s="32" t="str">
        <f>IFERROR(__xludf.DUMMYFUNCTION("""COMPUTED_VALUE"""),"生活")</f>
        <v>生活</v>
      </c>
      <c r="Q5" s="32">
        <f>IFERROR(__xludf.DUMMYFUNCTION("""COMPUTED_VALUE"""),12.0)</f>
        <v>12</v>
      </c>
      <c r="R5" s="32">
        <f>IFERROR(__xludf.DUMMYFUNCTION("""COMPUTED_VALUE"""),6.0)</f>
        <v>6</v>
      </c>
      <c r="S5" s="33">
        <f>IFERROR(__xludf.DUMMYFUNCTION("""COMPUTED_VALUE"""),18.0)</f>
        <v>18</v>
      </c>
      <c r="T5" s="34">
        <f>IFERROR(__xludf.DUMMYFUNCTION("""COMPUTED_VALUE"""),240000.0)</f>
        <v>240000</v>
      </c>
    </row>
    <row r="6">
      <c r="A6" s="25" t="s">
        <v>73</v>
      </c>
      <c r="B6" s="29">
        <f>COUNTIFS('31業務統計總表'!J$2:T$2,$A6,'31業務統計總表'!J$3:T$3,"&lt;&gt;")</f>
        <v>12</v>
      </c>
      <c r="C6" s="30">
        <f>SUMIFS('31業務統計總表'!J$57:T$57,'31業務統計總表'!J$2:T$2,$A6,'31業務統計總表'!J$3:T$3,"&lt;&gt;")</f>
        <v>2492000</v>
      </c>
      <c r="D6" s="30">
        <f>SUMIFS('31業務統計總表'!J$58:T$58,'31業務統計總表'!J$2:T$2,$A6,'31業務統計總表'!J$3:T$3,"&lt;&gt;")</f>
        <v>2388000</v>
      </c>
      <c r="E6" s="30">
        <f>SUMIFS('31業務統計總表'!J$59:T$59,'31業務統計總表'!J$2:T$2,$A6,'31業務統計總表'!J$3:T$3,"&lt;&gt;")</f>
        <v>104000</v>
      </c>
      <c r="F6" s="17"/>
      <c r="G6" s="25" t="s">
        <v>74</v>
      </c>
      <c r="H6" s="30">
        <f>COUNTIFS('31業務統計總表'!J$3:T$3,"&lt;&gt;",'31業務統計總表'!J$61:T$61,"*" &amp; $G6)</f>
        <v>54</v>
      </c>
      <c r="I6" s="17"/>
      <c r="J6" s="25" t="s">
        <v>75</v>
      </c>
      <c r="K6" s="31">
        <f>SUM(K3:K5)</f>
        <v>58</v>
      </c>
      <c r="L6" s="17"/>
      <c r="M6" s="25" t="s">
        <v>75</v>
      </c>
      <c r="N6" s="31">
        <f>SUM(N3:N5)</f>
        <v>15</v>
      </c>
      <c r="O6" s="17"/>
      <c r="P6" s="35" t="str">
        <f>IFERROR(__xludf.DUMMYFUNCTION("""COMPUTED_VALUE"""),"醫療")</f>
        <v>醫療</v>
      </c>
      <c r="Q6" s="35">
        <f>IFERROR(__xludf.DUMMYFUNCTION("""COMPUTED_VALUE"""),8.0)</f>
        <v>8</v>
      </c>
      <c r="R6" s="35">
        <f>IFERROR(__xludf.DUMMYFUNCTION("""COMPUTED_VALUE"""),3.0)</f>
        <v>3</v>
      </c>
      <c r="S6" s="38">
        <f>IFERROR(__xludf.DUMMYFUNCTION("""COMPUTED_VALUE"""),11.0)</f>
        <v>11</v>
      </c>
      <c r="T6" s="39">
        <f>IFERROR(__xludf.DUMMYFUNCTION("""COMPUTED_VALUE"""),160000.0)</f>
        <v>160000</v>
      </c>
    </row>
    <row r="7">
      <c r="A7" s="25" t="s">
        <v>76</v>
      </c>
      <c r="B7" s="29">
        <f>COUNTIFS('31業務統計總表'!J$2:T$2,$A7,'31業務統計總表'!J$3:T$3,"&lt;&gt;")</f>
        <v>6</v>
      </c>
      <c r="C7" s="30">
        <f>SUMIFS('31業務統計總表'!J$57:T$57,'31業務統計總表'!J$2:T$2,$A7,'31業務統計總表'!J$3:T$3,"&lt;&gt;")</f>
        <v>708000</v>
      </c>
      <c r="D7" s="30">
        <f>SUMIFS('31業務統計總表'!J$58:T$58,'31業務統計總表'!J$2:T$2,$A7,'31業務統計總表'!J$3:T$3,"&lt;&gt;")</f>
        <v>600000</v>
      </c>
      <c r="E7" s="30">
        <f>SUMIFS('31業務統計總表'!J$59:T$59,'31業務統計總表'!J$2:T$2,$A7,'31業務統計總表'!J$3:T$3,"&lt;&gt;")</f>
        <v>108000</v>
      </c>
      <c r="F7" s="17"/>
      <c r="G7" s="25" t="s">
        <v>77</v>
      </c>
      <c r="H7" s="30">
        <f>COUNTIFS('31業務統計總表'!J$3:T$3,"&lt;&gt;",'31業務統計總表'!J$61:T$61,"")</f>
        <v>4</v>
      </c>
      <c r="I7" s="17"/>
      <c r="J7" s="17"/>
      <c r="K7" s="17"/>
      <c r="L7" s="17"/>
      <c r="M7" s="17"/>
      <c r="N7" s="17"/>
      <c r="O7" s="17"/>
      <c r="P7" s="32" t="str">
        <f>IFERROR(__xludf.DUMMYFUNCTION("""COMPUTED_VALUE"""),"多元")</f>
        <v>多元</v>
      </c>
      <c r="Q7" s="32">
        <f>IFERROR(__xludf.DUMMYFUNCTION("""COMPUTED_VALUE"""),0.0)</f>
        <v>0</v>
      </c>
      <c r="R7" s="32">
        <f>IFERROR(__xludf.DUMMYFUNCTION("""COMPUTED_VALUE"""),4.0)</f>
        <v>4</v>
      </c>
      <c r="S7" s="33">
        <f>IFERROR(__xludf.DUMMYFUNCTION("""COMPUTED_VALUE"""),4.0)</f>
        <v>4</v>
      </c>
      <c r="T7" s="34">
        <f>IFERROR(__xludf.DUMMYFUNCTION("""COMPUTED_VALUE"""),0.0)</f>
        <v>0</v>
      </c>
    </row>
    <row r="8">
      <c r="A8" s="25" t="s">
        <v>78</v>
      </c>
      <c r="B8" s="29">
        <f>COUNTIFS('31業務統計總表'!J$2:T$2,$A8,'31業務統計總表'!J$3:T$3,"&lt;&gt;")</f>
        <v>9</v>
      </c>
      <c r="C8" s="30">
        <f>SUMIFS('31業務統計總表'!J$57:T$57,'31業務統計總表'!J$2:T$2,$A8,'31業務統計總表'!J$3:T$3,"&lt;&gt;")</f>
        <v>1310000</v>
      </c>
      <c r="D8" s="30">
        <f>SUMIFS('31業務統計總表'!J$58:T$58,'31業務統計總表'!J$2:T$2,$A8,'31業務統計總表'!J$3:T$3,"&lt;&gt;")</f>
        <v>1310000</v>
      </c>
      <c r="E8" s="30">
        <f>SUMIFS('31業務統計總表'!J$59:T$59,'31業務統計總表'!J$2:T$2,$A8,'31業務統計總表'!J$3:T$3,"&lt;&gt;")</f>
        <v>0</v>
      </c>
      <c r="F8" s="17"/>
      <c r="G8" s="25" t="s">
        <v>75</v>
      </c>
      <c r="H8" s="30">
        <f>SUM(H3:H7)</f>
        <v>58</v>
      </c>
      <c r="I8" s="17"/>
      <c r="J8" s="40" t="s">
        <v>79</v>
      </c>
      <c r="K8" s="41">
        <f>sumif('31業務統計總表'!J62:T62,"1. 已付款",'31業務統計總表'!J58:T58)</f>
        <v>6251000</v>
      </c>
      <c r="L8" s="17"/>
      <c r="M8" s="17"/>
      <c r="N8" s="17"/>
      <c r="O8" s="17"/>
      <c r="P8" s="35" t="str">
        <f>IFERROR(__xludf.DUMMYFUNCTION("""COMPUTED_VALUE"""),"文創")</f>
        <v>文創</v>
      </c>
      <c r="Q8" s="35">
        <f>IFERROR(__xludf.DUMMYFUNCTION("""COMPUTED_VALUE"""),7.5)</f>
        <v>7.5</v>
      </c>
      <c r="R8" s="35">
        <f>IFERROR(__xludf.DUMMYFUNCTION("""COMPUTED_VALUE"""),0.0)</f>
        <v>0</v>
      </c>
      <c r="S8" s="36">
        <f>IFERROR(__xludf.DUMMYFUNCTION("""COMPUTED_VALUE"""),7.5)</f>
        <v>7.5</v>
      </c>
      <c r="T8" s="37">
        <f>IFERROR(__xludf.DUMMYFUNCTION("""COMPUTED_VALUE"""),150000.0)</f>
        <v>150000</v>
      </c>
    </row>
    <row r="9">
      <c r="A9" s="25" t="s">
        <v>80</v>
      </c>
      <c r="B9" s="29">
        <f>COUNTIFS('31業務統計總表'!J$2:T$2,$A9,'31業務統計總表'!J$3:T$3,"&lt;&gt;")</f>
        <v>7</v>
      </c>
      <c r="C9" s="30">
        <f>SUMIFS('31業務統計總表'!J$57:T$57,'31業務統計總表'!J$2:T$2,$A9,'31業務統計總表'!J$3:T$3,"&lt;&gt;")</f>
        <v>509000</v>
      </c>
      <c r="D9" s="30">
        <f>SUMIFS('31業務統計總表'!J$58:T$58,'31業務統計總表'!J$2:T$2,$A9,'31業務統計總表'!J$3:T$3,"&lt;&gt;")</f>
        <v>466000</v>
      </c>
      <c r="E9" s="30">
        <f>SUMIFS('31業務統計總表'!J$59:T$59,'31業務統計總表'!J$2:T$2,$A9,'31業務統計總表'!J$3:T$3,"&lt;&gt;")</f>
        <v>43000</v>
      </c>
      <c r="F9" s="17"/>
      <c r="G9" s="17"/>
      <c r="H9" s="42"/>
      <c r="I9" s="17"/>
      <c r="J9" s="40" t="s">
        <v>81</v>
      </c>
      <c r="K9" s="43">
        <f>1077500+22000</f>
        <v>1099500</v>
      </c>
      <c r="L9" s="17"/>
      <c r="M9" s="17"/>
      <c r="N9" s="17"/>
      <c r="O9" s="17"/>
      <c r="P9" s="32" t="str">
        <f>IFERROR(__xludf.DUMMYFUNCTION("""COMPUTED_VALUE"""),"喝水")</f>
        <v>喝水</v>
      </c>
      <c r="Q9" s="32">
        <f>IFERROR(__xludf.DUMMYFUNCTION("""COMPUTED_VALUE"""),0.0)</f>
        <v>0</v>
      </c>
      <c r="R9" s="32">
        <f>IFERROR(__xludf.DUMMYFUNCTION("""COMPUTED_VALUE"""),2.0)</f>
        <v>2</v>
      </c>
      <c r="S9" s="44">
        <f>IFERROR(__xludf.DUMMYFUNCTION("""COMPUTED_VALUE"""),2.0)</f>
        <v>2</v>
      </c>
      <c r="T9" s="45">
        <f>IFERROR(__xludf.DUMMYFUNCTION("""COMPUTED_VALUE"""),0.0)</f>
        <v>0</v>
      </c>
    </row>
    <row r="10">
      <c r="A10" s="25" t="s">
        <v>82</v>
      </c>
      <c r="B10" s="29">
        <f>COUNTIFS('31業務統計總表'!J$2:T$2,$A10,'31業務統計總表'!J$3:T$3,"&lt;&gt;")+countIFs('31業務統計總表'!J$2:T$2,"市集",'31業務統計總表'!J$3:T$3,"&lt;&gt;")</f>
        <v>6</v>
      </c>
      <c r="C10" s="30">
        <f>SUMIFS('31業務統計總表'!J$57:T$57,'31業務統計總表'!J$2:T$2,$A10,'31業務統計總表'!J$3:T$3,"&lt;&gt;")</f>
        <v>240000</v>
      </c>
      <c r="D10" s="30">
        <f>SUMIFS('31業務統計總表'!J$58:T$58,'31業務統計總表'!J$2:T$2,$A10,'31業務統計總表'!J$3:T$3,"&lt;&gt;")+SUMIFS('31業務統計總表'!J$58:T$58,'31業務統計總表'!J$2:T$2,"市集",'31業務統計總表'!J$3:T$3,"&lt;&gt;")</f>
        <v>160000</v>
      </c>
      <c r="E10" s="30">
        <f>SUMIFS('31業務統計總表'!J$59:T$59,'31業務統計總表'!J$2:T$2,$A10,'31業務統計總表'!J$3:T$3,"&lt;&gt;")</f>
        <v>80000</v>
      </c>
      <c r="F10" s="17"/>
      <c r="I10" s="17"/>
      <c r="J10" s="40" t="s">
        <v>83</v>
      </c>
      <c r="K10" s="41">
        <f>sum(K8:K9)</f>
        <v>7350500</v>
      </c>
      <c r="L10" s="17"/>
      <c r="M10" s="17"/>
      <c r="N10" s="17"/>
      <c r="O10" s="17"/>
      <c r="P10" s="35" t="str">
        <f>IFERROR(__xludf.DUMMYFUNCTION("""COMPUTED_VALUE"""),"一般商業攤位（全攤）")</f>
        <v>一般商業攤位（全攤）</v>
      </c>
      <c r="S10" s="46">
        <f>IFERROR(__xludf.DUMMYFUNCTION("""COMPUTED_VALUE"""),44.0)</f>
        <v>44</v>
      </c>
      <c r="T10" s="47">
        <f>IFERROR(__xludf.DUMMYFUNCTION("""COMPUTED_VALUE"""),1021000.0)</f>
        <v>1021000</v>
      </c>
    </row>
    <row r="11">
      <c r="A11" s="25" t="s">
        <v>84</v>
      </c>
      <c r="B11" s="29">
        <f>COUNTIFS('31業務統計總表'!J$2:T$2,$A11,'31業務統計總表'!J$3:T$3,"&lt;&gt;")</f>
        <v>15</v>
      </c>
      <c r="C11" s="30">
        <f>SUMIFS('31業務統計總表'!J$57:T$57,'31業務統計總表'!J$2:T$2,$A11,'31業務統計總表'!J$3:T$3,"&lt;&gt;")</f>
        <v>300000</v>
      </c>
      <c r="D11" s="30">
        <f>SUMIFS('31業務統計總表'!J$58:T$58,'31業務統計總表'!J$2:T$2,$A11,'31業務統計總表'!J$3:T$3,"&lt;&gt;")</f>
        <v>35000</v>
      </c>
      <c r="E11" s="30">
        <f>SUMIFS('31業務統計總表'!J$59:T$59,'31業務統計總表'!J$2:T$2,$A11,'31業務統計總表'!J$3:T$3,"&lt;&gt;")</f>
        <v>265000</v>
      </c>
      <c r="F11" s="17"/>
      <c r="I11" s="17"/>
      <c r="J11" s="17"/>
      <c r="K11" s="17"/>
      <c r="L11" s="17"/>
      <c r="M11" s="17"/>
      <c r="N11" s="17"/>
      <c r="O11" s="17"/>
      <c r="P11" s="32" t="str">
        <f>IFERROR(__xludf.DUMMYFUNCTION("""COMPUTED_VALUE"""),"一般商業攤位（半攤）")</f>
        <v>一般商業攤位（半攤）</v>
      </c>
      <c r="S11" s="44">
        <f>IFERROR(__xludf.DUMMYFUNCTION("""COMPUTED_VALUE"""),6.0)</f>
        <v>6</v>
      </c>
    </row>
    <row r="12">
      <c r="A12" s="25" t="s">
        <v>85</v>
      </c>
      <c r="B12" s="29" t="str">
        <f>Q10</f>
        <v/>
      </c>
      <c r="C12" s="48">
        <v>1224000.0</v>
      </c>
      <c r="D12" s="30">
        <f>C12-E12</f>
        <v>1224000</v>
      </c>
      <c r="E12" s="48">
        <v>0.0</v>
      </c>
      <c r="F12" s="17"/>
      <c r="G12" s="17"/>
      <c r="H12" s="42"/>
      <c r="I12" s="17"/>
      <c r="J12" s="17"/>
      <c r="K12" s="17"/>
      <c r="L12" s="17"/>
      <c r="M12" s="17"/>
      <c r="N12" s="17"/>
      <c r="O12" s="17"/>
      <c r="P12" s="35" t="str">
        <f>IFERROR(__xludf.DUMMYFUNCTION("""COMPUTED_VALUE"""),"級別商業攤位")</f>
        <v>級別商業攤位</v>
      </c>
      <c r="S12" s="46">
        <f>IFERROR(__xludf.DUMMYFUNCTION("""COMPUTED_VALUE"""),24.0)</f>
        <v>24</v>
      </c>
    </row>
    <row r="13">
      <c r="A13" s="25" t="s">
        <v>75</v>
      </c>
      <c r="B13" s="29">
        <f t="shared" ref="B13:E13" si="1">SUM(B3:B12)</f>
        <v>59</v>
      </c>
      <c r="C13" s="30">
        <f t="shared" si="1"/>
        <v>8498000</v>
      </c>
      <c r="D13" s="30">
        <f t="shared" si="1"/>
        <v>7898000</v>
      </c>
      <c r="E13" s="30">
        <f t="shared" si="1"/>
        <v>600000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49" t="str">
        <f>IFERROR(__xludf.DUMMYFUNCTION("""COMPUTED_VALUE"""),"公益攤位")</f>
        <v>公益攤位</v>
      </c>
      <c r="S13" s="50">
        <f>IFERROR(__xludf.DUMMYFUNCTION("""COMPUTED_VALUE"""),28.0)</f>
        <v>28</v>
      </c>
      <c r="T13" s="51">
        <f>IFERROR(__xludf.DUMMYFUNCTION("""COMPUTED_VALUE"""),196000.0)</f>
        <v>196000</v>
      </c>
    </row>
    <row r="14">
      <c r="A14" s="17"/>
      <c r="B14" s="52"/>
      <c r="C14" s="52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35" t="str">
        <f>IFERROR(__xludf.DUMMYFUNCTION("""COMPUTED_VALUE"""),"免費攤位")</f>
        <v>免費攤位</v>
      </c>
      <c r="S14" s="53">
        <f>IFERROR(__xludf.DUMMYFUNCTION("""COMPUTED_VALUE"""),7.0)</f>
        <v>7</v>
      </c>
      <c r="T14" s="54"/>
    </row>
    <row r="15">
      <c r="A15" s="17"/>
      <c r="B15" s="52"/>
      <c r="C15" s="52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55" t="str">
        <f>IFERROR(__xludf.DUMMYFUNCTION("""COMPUTED_VALUE"""),"全部攤位")</f>
        <v>全部攤位</v>
      </c>
      <c r="S15" s="56">
        <f>IFERROR(__xludf.DUMMYFUNCTION("""COMPUTED_VALUE"""),109.0)</f>
        <v>109</v>
      </c>
      <c r="T15" s="57">
        <f>IFERROR(__xludf.DUMMYFUNCTION("""COMPUTED_VALUE"""),1217000.0)</f>
        <v>1217000</v>
      </c>
    </row>
    <row r="16">
      <c r="A16" s="17"/>
      <c r="B16" s="52"/>
      <c r="C16" s="52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0"/>
      <c r="Q16" s="17"/>
      <c r="R16" s="42"/>
      <c r="S16" s="42"/>
      <c r="T16" s="42"/>
    </row>
    <row r="17">
      <c r="A17" s="17"/>
      <c r="B17" s="52"/>
      <c r="C17" s="52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0"/>
      <c r="Q17" s="17"/>
      <c r="R17" s="42"/>
      <c r="S17" s="42"/>
      <c r="T17" s="42"/>
    </row>
    <row r="18">
      <c r="A18" s="17"/>
      <c r="B18" s="52"/>
      <c r="C18" s="52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17"/>
      <c r="B19" s="52"/>
      <c r="C19" s="52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ht="90.0" customHeight="1">
      <c r="A20" s="17"/>
      <c r="B20" s="52"/>
      <c r="C20" s="52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</sheetData>
  <mergeCells count="12">
    <mergeCell ref="P11:R11"/>
    <mergeCell ref="P12:R12"/>
    <mergeCell ref="P13:R13"/>
    <mergeCell ref="P14:R14"/>
    <mergeCell ref="P15:R15"/>
    <mergeCell ref="A1:E1"/>
    <mergeCell ref="G1:H1"/>
    <mergeCell ref="J1:K1"/>
    <mergeCell ref="M1:N1"/>
    <mergeCell ref="P1:T1"/>
    <mergeCell ref="P10:R10"/>
    <mergeCell ref="T10:T12"/>
  </mergeCell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23.63"/>
    <col customWidth="1" min="2" max="2" width="15.13"/>
    <col customWidth="1" min="3" max="3" width="9.38"/>
    <col customWidth="1" min="4" max="4" width="21.5"/>
    <col customWidth="1" min="5" max="8" width="12.63"/>
    <col customWidth="1" min="9" max="9" width="14.25"/>
    <col customWidth="1" min="10" max="10" width="11.75"/>
    <col customWidth="1" min="11" max="11" width="11.88"/>
    <col customWidth="1" min="12" max="12" width="7.63"/>
    <col customWidth="1" min="13" max="13" width="10.88"/>
    <col customWidth="1" min="14" max="14" width="8.75"/>
    <col customWidth="1" min="15" max="15" width="9.88"/>
    <col customWidth="1" min="16" max="16" width="22.63"/>
    <col customWidth="1" min="17" max="17" width="30.75"/>
    <col customWidth="1" min="18" max="18" width="13.0"/>
    <col customWidth="1" min="19" max="19" width="25.5"/>
    <col customWidth="1" min="20" max="20" width="19.38"/>
    <col customWidth="1" min="21" max="21" width="16.38"/>
    <col customWidth="1" min="22" max="22" width="31.5"/>
    <col customWidth="1" min="23" max="23" width="14.38"/>
    <col customWidth="1" min="24" max="24" width="12.5"/>
    <col customWidth="1" min="25" max="25" width="12.63"/>
    <col customWidth="1" min="26" max="26" width="17.63"/>
    <col customWidth="1" min="27" max="27" width="7.63"/>
    <col customWidth="1" min="28" max="28" width="11.0"/>
    <col customWidth="1" min="29" max="29" width="15.13"/>
    <col customWidth="1" min="30" max="32" width="15.75"/>
  </cols>
  <sheetData>
    <row r="1" ht="22.5" customHeight="1">
      <c r="A1" s="58"/>
      <c r="E1" s="59" t="s">
        <v>86</v>
      </c>
      <c r="H1" s="59"/>
      <c r="I1" s="60" t="s">
        <v>87</v>
      </c>
      <c r="L1" s="61" t="s">
        <v>88</v>
      </c>
      <c r="T1" s="62" t="s">
        <v>89</v>
      </c>
      <c r="Z1" s="63" t="s">
        <v>90</v>
      </c>
      <c r="AE1" s="63"/>
      <c r="AF1" s="63"/>
    </row>
    <row r="2" ht="22.5" customHeight="1">
      <c r="A2" s="64" t="s">
        <v>91</v>
      </c>
      <c r="B2" s="64" t="s">
        <v>92</v>
      </c>
      <c r="C2" s="64" t="s">
        <v>93</v>
      </c>
      <c r="D2" s="64" t="s">
        <v>94</v>
      </c>
      <c r="E2" s="65" t="s">
        <v>95</v>
      </c>
      <c r="F2" s="65" t="s">
        <v>96</v>
      </c>
      <c r="G2" s="66" t="s">
        <v>97</v>
      </c>
      <c r="H2" s="66" t="s">
        <v>23</v>
      </c>
      <c r="I2" s="67" t="s">
        <v>98</v>
      </c>
      <c r="J2" s="68" t="s">
        <v>99</v>
      </c>
      <c r="K2" s="69" t="s">
        <v>100</v>
      </c>
      <c r="L2" s="70" t="s">
        <v>101</v>
      </c>
      <c r="M2" s="71" t="s">
        <v>102</v>
      </c>
      <c r="N2" s="72" t="s">
        <v>103</v>
      </c>
      <c r="O2" s="73" t="s">
        <v>104</v>
      </c>
      <c r="P2" s="70" t="s">
        <v>105</v>
      </c>
      <c r="Q2" s="70" t="s">
        <v>106</v>
      </c>
      <c r="R2" s="74" t="s">
        <v>107</v>
      </c>
      <c r="S2" s="71" t="s">
        <v>108</v>
      </c>
      <c r="T2" s="75" t="s">
        <v>109</v>
      </c>
      <c r="U2" s="75" t="s">
        <v>110</v>
      </c>
      <c r="V2" s="75" t="s">
        <v>111</v>
      </c>
      <c r="W2" s="76" t="s">
        <v>112</v>
      </c>
      <c r="X2" s="76" t="s">
        <v>36</v>
      </c>
      <c r="Y2" s="76" t="s">
        <v>38</v>
      </c>
      <c r="Z2" s="77" t="s">
        <v>113</v>
      </c>
      <c r="AA2" s="78" t="s">
        <v>114</v>
      </c>
      <c r="AB2" s="79" t="s">
        <v>115</v>
      </c>
      <c r="AC2" s="79" t="s">
        <v>116</v>
      </c>
      <c r="AD2" s="77" t="s">
        <v>117</v>
      </c>
      <c r="AE2" s="77" t="s">
        <v>23</v>
      </c>
      <c r="AF2" s="77" t="s">
        <v>118</v>
      </c>
    </row>
    <row r="3" ht="18.75" customHeight="1">
      <c r="A3" s="80" t="s">
        <v>119</v>
      </c>
      <c r="B3" s="80" t="s">
        <v>120</v>
      </c>
      <c r="C3" s="80" t="s">
        <v>121</v>
      </c>
      <c r="D3" s="80" t="s">
        <v>122</v>
      </c>
      <c r="E3" s="81"/>
      <c r="F3" s="81" t="s">
        <v>123</v>
      </c>
      <c r="G3" s="82" t="s">
        <v>124</v>
      </c>
      <c r="H3" s="82"/>
      <c r="I3" s="81" t="s">
        <v>123</v>
      </c>
      <c r="J3" s="80" t="s">
        <v>124</v>
      </c>
      <c r="K3" s="83" t="s">
        <v>125</v>
      </c>
      <c r="L3" s="84" t="s">
        <v>126</v>
      </c>
      <c r="M3" s="80" t="s">
        <v>127</v>
      </c>
      <c r="N3" s="85" t="s">
        <v>128</v>
      </c>
      <c r="O3" s="80" t="s">
        <v>124</v>
      </c>
      <c r="P3" s="80" t="s">
        <v>129</v>
      </c>
      <c r="Q3" s="80" t="s">
        <v>119</v>
      </c>
      <c r="R3" s="86" t="s">
        <v>130</v>
      </c>
      <c r="S3" s="80" t="s">
        <v>131</v>
      </c>
      <c r="T3" s="80" t="s">
        <v>120</v>
      </c>
      <c r="U3" s="80" t="s">
        <v>132</v>
      </c>
      <c r="V3" s="80" t="s">
        <v>133</v>
      </c>
      <c r="W3" s="80" t="s">
        <v>131</v>
      </c>
      <c r="X3" s="87"/>
      <c r="Y3" s="87" t="s">
        <v>134</v>
      </c>
      <c r="Z3" s="84"/>
      <c r="AA3" s="88"/>
      <c r="AB3" s="89"/>
      <c r="AC3" s="89"/>
      <c r="AD3" s="90"/>
      <c r="AE3" s="90"/>
      <c r="AF3" s="90"/>
    </row>
    <row r="4" ht="18.75" customHeight="1">
      <c r="A4" s="91" t="s">
        <v>135</v>
      </c>
      <c r="B4" s="91" t="s">
        <v>136</v>
      </c>
      <c r="C4" s="91" t="s">
        <v>137</v>
      </c>
      <c r="D4" s="91" t="s">
        <v>138</v>
      </c>
      <c r="E4" s="92" t="s">
        <v>139</v>
      </c>
      <c r="F4" s="93">
        <v>45124.0</v>
      </c>
      <c r="G4" s="94">
        <v>180000.0</v>
      </c>
      <c r="H4" s="94" t="s">
        <v>140</v>
      </c>
      <c r="I4" s="95">
        <v>45124.0</v>
      </c>
      <c r="J4" s="96">
        <v>180000.0</v>
      </c>
      <c r="K4" s="97" t="s">
        <v>141</v>
      </c>
      <c r="L4" s="98" t="s">
        <v>126</v>
      </c>
      <c r="M4" s="91" t="s">
        <v>142</v>
      </c>
      <c r="N4" s="99">
        <v>45135.0</v>
      </c>
      <c r="O4" s="100">
        <v>180000.0</v>
      </c>
      <c r="P4" s="91" t="s">
        <v>143</v>
      </c>
      <c r="Q4" s="91" t="s">
        <v>144</v>
      </c>
      <c r="R4" s="101" t="s">
        <v>145</v>
      </c>
      <c r="S4" s="91" t="s">
        <v>146</v>
      </c>
      <c r="T4" s="91"/>
      <c r="U4" s="91"/>
      <c r="V4" s="91"/>
      <c r="W4" s="102"/>
      <c r="X4" s="91"/>
      <c r="Y4" s="91"/>
      <c r="Z4" s="103"/>
      <c r="AA4" s="104"/>
      <c r="AB4" s="105"/>
      <c r="AC4" s="105"/>
      <c r="AD4" s="103"/>
      <c r="AE4" s="103"/>
      <c r="AF4" s="103"/>
    </row>
    <row r="5" ht="18.75" customHeight="1">
      <c r="A5" s="106"/>
      <c r="B5" s="106"/>
      <c r="C5" s="106"/>
      <c r="D5" s="106"/>
      <c r="E5" s="107"/>
      <c r="F5" s="108"/>
      <c r="G5" s="109"/>
      <c r="H5" s="109"/>
      <c r="I5" s="108"/>
      <c r="J5" s="110"/>
      <c r="K5" s="111"/>
      <c r="L5" s="107"/>
      <c r="M5" s="106"/>
      <c r="N5" s="112"/>
      <c r="O5" s="113"/>
      <c r="P5" s="106"/>
      <c r="Q5" s="106"/>
      <c r="R5" s="114"/>
      <c r="S5" s="115"/>
      <c r="T5" s="116"/>
      <c r="U5" s="116"/>
      <c r="V5" s="116"/>
      <c r="W5" s="116"/>
      <c r="X5" s="115"/>
      <c r="Y5" s="115"/>
      <c r="Z5" s="32"/>
      <c r="AA5" s="117"/>
      <c r="AB5" s="118"/>
      <c r="AC5" s="118"/>
      <c r="AD5" s="32"/>
      <c r="AE5" s="32"/>
      <c r="AF5" s="32"/>
    </row>
    <row r="6" ht="18.75" customHeight="1">
      <c r="A6" s="119"/>
      <c r="B6" s="119"/>
      <c r="C6" s="119"/>
      <c r="D6" s="119"/>
      <c r="E6" s="120"/>
      <c r="F6" s="121"/>
      <c r="G6" s="122"/>
      <c r="H6" s="122"/>
      <c r="I6" s="121"/>
      <c r="J6" s="123"/>
      <c r="K6" s="124"/>
      <c r="L6" s="120"/>
      <c r="M6" s="119"/>
      <c r="N6" s="125"/>
      <c r="O6" s="126"/>
      <c r="P6" s="119"/>
      <c r="Q6" s="119"/>
      <c r="R6" s="127"/>
      <c r="S6" s="128"/>
      <c r="T6" s="129"/>
      <c r="U6" s="129"/>
      <c r="V6" s="129"/>
      <c r="W6" s="129"/>
      <c r="X6" s="128"/>
      <c r="Y6" s="128"/>
      <c r="Z6" s="130"/>
      <c r="AA6" s="131"/>
      <c r="AB6" s="132"/>
      <c r="AC6" s="132"/>
      <c r="AD6" s="130"/>
      <c r="AE6" s="130"/>
      <c r="AF6" s="130"/>
    </row>
    <row r="7" ht="18.75" customHeight="1">
      <c r="A7" s="106"/>
      <c r="B7" s="106"/>
      <c r="C7" s="106"/>
      <c r="D7" s="106"/>
      <c r="E7" s="107"/>
      <c r="F7" s="108"/>
      <c r="G7" s="109"/>
      <c r="H7" s="109"/>
      <c r="I7" s="108"/>
      <c r="J7" s="110"/>
      <c r="K7" s="111"/>
      <c r="L7" s="107"/>
      <c r="M7" s="106"/>
      <c r="N7" s="112"/>
      <c r="O7" s="133"/>
      <c r="P7" s="134"/>
      <c r="Q7" s="134"/>
      <c r="R7" s="114"/>
      <c r="S7" s="106"/>
      <c r="T7" s="106"/>
      <c r="U7" s="116"/>
      <c r="V7" s="116"/>
      <c r="W7" s="116"/>
      <c r="X7" s="115"/>
      <c r="Y7" s="115"/>
      <c r="Z7" s="32"/>
      <c r="AA7" s="117"/>
      <c r="AB7" s="118"/>
      <c r="AC7" s="118"/>
      <c r="AD7" s="32"/>
      <c r="AE7" s="32"/>
      <c r="AF7" s="32"/>
    </row>
    <row r="8" ht="18.75" customHeight="1">
      <c r="A8" s="119"/>
      <c r="B8" s="119"/>
      <c r="C8" s="119"/>
      <c r="D8" s="119"/>
      <c r="E8" s="120"/>
      <c r="F8" s="121"/>
      <c r="G8" s="122"/>
      <c r="H8" s="122"/>
      <c r="I8" s="121"/>
      <c r="J8" s="123"/>
      <c r="K8" s="124"/>
      <c r="L8" s="120"/>
      <c r="M8" s="119"/>
      <c r="N8" s="125"/>
      <c r="O8" s="126"/>
      <c r="P8" s="135"/>
      <c r="Q8" s="119"/>
      <c r="R8" s="127"/>
      <c r="S8" s="128"/>
      <c r="T8" s="119"/>
      <c r="U8" s="119"/>
      <c r="V8" s="128"/>
      <c r="W8" s="129"/>
      <c r="X8" s="128"/>
      <c r="Y8" s="128"/>
      <c r="Z8" s="130"/>
      <c r="AA8" s="136"/>
      <c r="AB8" s="127"/>
      <c r="AC8" s="127"/>
      <c r="AD8" s="120"/>
      <c r="AE8" s="120"/>
      <c r="AF8" s="130"/>
    </row>
    <row r="9">
      <c r="A9" s="106"/>
      <c r="B9" s="106"/>
      <c r="C9" s="106"/>
      <c r="D9" s="106"/>
      <c r="E9" s="107"/>
      <c r="F9" s="108"/>
      <c r="G9" s="109"/>
      <c r="H9" s="109"/>
      <c r="I9" s="108"/>
      <c r="J9" s="110"/>
      <c r="K9" s="111"/>
      <c r="L9" s="107"/>
      <c r="M9" s="106"/>
      <c r="N9" s="112"/>
      <c r="O9" s="133"/>
      <c r="P9" s="106"/>
      <c r="Q9" s="106"/>
      <c r="R9" s="114"/>
      <c r="S9" s="115"/>
      <c r="T9" s="116"/>
      <c r="U9" s="116"/>
      <c r="V9" s="116"/>
      <c r="W9" s="116"/>
      <c r="X9" s="116"/>
      <c r="Y9" s="116"/>
      <c r="Z9" s="32"/>
      <c r="AA9" s="117"/>
      <c r="AB9" s="118"/>
      <c r="AC9" s="118"/>
      <c r="AD9" s="32"/>
      <c r="AE9" s="32"/>
      <c r="AF9" s="32"/>
    </row>
    <row r="10" ht="18.75" customHeight="1">
      <c r="A10" s="137"/>
      <c r="B10" s="137"/>
      <c r="C10" s="137"/>
      <c r="D10" s="119"/>
      <c r="E10" s="120"/>
      <c r="F10" s="121"/>
      <c r="G10" s="122"/>
      <c r="H10" s="122"/>
      <c r="I10" s="121"/>
      <c r="J10" s="123"/>
      <c r="K10" s="124"/>
      <c r="L10" s="120"/>
      <c r="M10" s="119"/>
      <c r="N10" s="125"/>
      <c r="O10" s="126"/>
      <c r="P10" s="135"/>
      <c r="Q10" s="119"/>
      <c r="R10" s="127"/>
      <c r="S10" s="128"/>
      <c r="T10" s="129"/>
      <c r="U10" s="129"/>
      <c r="V10" s="129"/>
      <c r="W10" s="129"/>
      <c r="X10" s="128"/>
      <c r="Y10" s="128"/>
      <c r="Z10" s="130"/>
      <c r="AA10" s="131"/>
      <c r="AB10" s="132"/>
      <c r="AC10" s="132"/>
      <c r="AD10" s="130"/>
      <c r="AE10" s="130"/>
      <c r="AF10" s="130"/>
    </row>
    <row r="11" ht="18.75" customHeight="1">
      <c r="A11" s="138"/>
      <c r="B11" s="138"/>
      <c r="C11" s="138"/>
      <c r="D11" s="106"/>
      <c r="E11" s="107"/>
      <c r="F11" s="108"/>
      <c r="G11" s="109"/>
      <c r="H11" s="109"/>
      <c r="I11" s="108"/>
      <c r="J11" s="110"/>
      <c r="K11" s="111"/>
      <c r="L11" s="107"/>
      <c r="M11" s="106"/>
      <c r="N11" s="112"/>
      <c r="O11" s="133"/>
      <c r="P11" s="106"/>
      <c r="Q11" s="106"/>
      <c r="R11" s="114"/>
      <c r="S11" s="115"/>
      <c r="T11" s="116"/>
      <c r="U11" s="116"/>
      <c r="V11" s="116"/>
      <c r="W11" s="116"/>
      <c r="X11" s="115"/>
      <c r="Y11" s="115"/>
      <c r="Z11" s="32"/>
      <c r="AA11" s="117"/>
      <c r="AB11" s="118"/>
      <c r="AC11" s="118"/>
      <c r="AD11" s="32"/>
      <c r="AE11" s="32"/>
      <c r="AF11" s="32"/>
    </row>
    <row r="12" ht="18.75" customHeight="1">
      <c r="A12" s="137"/>
      <c r="B12" s="137"/>
      <c r="C12" s="137"/>
      <c r="D12" s="119"/>
      <c r="E12" s="120"/>
      <c r="F12" s="121"/>
      <c r="G12" s="122"/>
      <c r="H12" s="122"/>
      <c r="I12" s="121"/>
      <c r="J12" s="123"/>
      <c r="K12" s="124"/>
      <c r="L12" s="120"/>
      <c r="M12" s="119"/>
      <c r="N12" s="125"/>
      <c r="O12" s="126"/>
      <c r="P12" s="119"/>
      <c r="Q12" s="119"/>
      <c r="R12" s="127"/>
      <c r="S12" s="119"/>
      <c r="T12" s="119"/>
      <c r="U12" s="119"/>
      <c r="V12" s="119"/>
      <c r="W12" s="129"/>
      <c r="X12" s="128"/>
      <c r="Y12" s="128"/>
      <c r="Z12" s="139"/>
      <c r="AA12" s="136"/>
      <c r="AB12" s="127"/>
      <c r="AC12" s="127"/>
      <c r="AD12" s="120"/>
      <c r="AE12" s="130"/>
      <c r="AF12" s="120"/>
    </row>
    <row r="13" ht="18.75" customHeight="1">
      <c r="A13" s="106"/>
      <c r="B13" s="106"/>
      <c r="C13" s="106"/>
      <c r="D13" s="106"/>
      <c r="E13" s="107"/>
      <c r="F13" s="140"/>
      <c r="G13" s="109"/>
      <c r="H13" s="109"/>
      <c r="I13" s="108"/>
      <c r="J13" s="110"/>
      <c r="K13" s="111"/>
      <c r="L13" s="107"/>
      <c r="M13" s="106"/>
      <c r="N13" s="141"/>
      <c r="O13" s="133"/>
      <c r="P13" s="106"/>
      <c r="Q13" s="106"/>
      <c r="R13" s="114"/>
      <c r="S13" s="106"/>
      <c r="T13" s="116"/>
      <c r="U13" s="116"/>
      <c r="V13" s="116"/>
      <c r="W13" s="116"/>
      <c r="X13" s="115"/>
      <c r="Y13" s="115"/>
      <c r="Z13" s="32"/>
      <c r="AA13" s="117"/>
      <c r="AB13" s="118"/>
      <c r="AC13" s="118"/>
      <c r="AD13" s="32"/>
      <c r="AE13" s="32"/>
      <c r="AF13" s="32"/>
    </row>
    <row r="14" ht="18.75" customHeight="1">
      <c r="A14" s="119"/>
      <c r="B14" s="119"/>
      <c r="C14" s="119"/>
      <c r="D14" s="119"/>
      <c r="E14" s="120"/>
      <c r="F14" s="121"/>
      <c r="G14" s="122"/>
      <c r="H14" s="122"/>
      <c r="I14" s="121"/>
      <c r="J14" s="123"/>
      <c r="K14" s="124"/>
      <c r="L14" s="120"/>
      <c r="M14" s="119"/>
      <c r="N14" s="142"/>
      <c r="O14" s="126"/>
      <c r="P14" s="119"/>
      <c r="Q14" s="119"/>
      <c r="R14" s="127"/>
      <c r="S14" s="119"/>
      <c r="T14" s="129"/>
      <c r="U14" s="129"/>
      <c r="V14" s="129"/>
      <c r="W14" s="129"/>
      <c r="X14" s="129"/>
      <c r="Y14" s="129"/>
      <c r="Z14" s="139"/>
      <c r="AA14" s="136"/>
      <c r="AB14" s="127"/>
      <c r="AC14" s="127"/>
      <c r="AD14" s="120"/>
      <c r="AE14" s="130"/>
      <c r="AF14" s="120"/>
    </row>
    <row r="15" ht="18.75" customHeight="1">
      <c r="A15" s="106"/>
      <c r="B15" s="106"/>
      <c r="C15" s="106"/>
      <c r="D15" s="106"/>
      <c r="E15" s="107"/>
      <c r="F15" s="108"/>
      <c r="G15" s="109"/>
      <c r="H15" s="109"/>
      <c r="I15" s="108"/>
      <c r="J15" s="110"/>
      <c r="K15" s="111"/>
      <c r="L15" s="107"/>
      <c r="M15" s="106"/>
      <c r="N15" s="141"/>
      <c r="O15" s="133"/>
      <c r="P15" s="106"/>
      <c r="Q15" s="106"/>
      <c r="R15" s="114"/>
      <c r="S15" s="106"/>
      <c r="T15" s="116"/>
      <c r="U15" s="116"/>
      <c r="V15" s="116"/>
      <c r="W15" s="116"/>
      <c r="X15" s="115"/>
      <c r="Y15" s="115"/>
      <c r="Z15" s="143"/>
      <c r="AA15" s="144"/>
      <c r="AB15" s="114"/>
      <c r="AC15" s="114"/>
      <c r="AD15" s="107"/>
      <c r="AE15" s="32"/>
      <c r="AF15" s="107"/>
    </row>
    <row r="16" ht="18.0" customHeight="1">
      <c r="A16" s="119"/>
      <c r="B16" s="119"/>
      <c r="C16" s="119"/>
      <c r="D16" s="119"/>
      <c r="E16" s="120"/>
      <c r="F16" s="121"/>
      <c r="G16" s="122"/>
      <c r="H16" s="122"/>
      <c r="I16" s="121"/>
      <c r="J16" s="123"/>
      <c r="K16" s="124"/>
      <c r="L16" s="120"/>
      <c r="M16" s="119"/>
      <c r="N16" s="142"/>
      <c r="O16" s="126"/>
      <c r="P16" s="119"/>
      <c r="Q16" s="119"/>
      <c r="R16" s="127"/>
      <c r="S16" s="119"/>
      <c r="T16" s="129"/>
      <c r="U16" s="129"/>
      <c r="V16" s="129"/>
      <c r="W16" s="129"/>
      <c r="X16" s="128"/>
      <c r="Y16" s="128"/>
      <c r="Z16" s="139"/>
      <c r="AA16" s="136"/>
      <c r="AB16" s="127"/>
      <c r="AC16" s="127"/>
      <c r="AD16" s="120"/>
      <c r="AE16" s="130"/>
      <c r="AF16" s="120"/>
    </row>
    <row r="17" ht="18.75" customHeight="1">
      <c r="A17" s="106"/>
      <c r="B17" s="106"/>
      <c r="C17" s="106"/>
      <c r="D17" s="106"/>
      <c r="E17" s="107"/>
      <c r="F17" s="108"/>
      <c r="G17" s="109"/>
      <c r="H17" s="109"/>
      <c r="I17" s="145"/>
      <c r="J17" s="110"/>
      <c r="K17" s="111"/>
      <c r="L17" s="107"/>
      <c r="M17" s="106"/>
      <c r="N17" s="141"/>
      <c r="O17" s="109"/>
      <c r="P17" s="138"/>
      <c r="Q17" s="106"/>
      <c r="R17" s="114"/>
      <c r="S17" s="106"/>
      <c r="T17" s="116"/>
      <c r="U17" s="116"/>
      <c r="V17" s="116"/>
      <c r="W17" s="116"/>
      <c r="X17" s="115"/>
      <c r="Y17" s="115"/>
      <c r="Z17" s="32"/>
      <c r="AA17" s="117"/>
      <c r="AB17" s="118"/>
      <c r="AC17" s="118"/>
      <c r="AD17" s="32"/>
      <c r="AE17" s="32"/>
      <c r="AF17" s="32"/>
    </row>
    <row r="18" ht="18.75" customHeight="1">
      <c r="A18" s="119"/>
      <c r="B18" s="119"/>
      <c r="C18" s="119"/>
      <c r="D18" s="119"/>
      <c r="E18" s="120"/>
      <c r="F18" s="121"/>
      <c r="G18" s="122"/>
      <c r="H18" s="122"/>
      <c r="I18" s="121"/>
      <c r="J18" s="123"/>
      <c r="K18" s="124"/>
      <c r="L18" s="120"/>
      <c r="M18" s="119"/>
      <c r="N18" s="142"/>
      <c r="O18" s="126"/>
      <c r="P18" s="119"/>
      <c r="Q18" s="146"/>
      <c r="R18" s="127"/>
      <c r="S18" s="128"/>
      <c r="T18" s="129"/>
      <c r="U18" s="129"/>
      <c r="V18" s="129"/>
      <c r="W18" s="129"/>
      <c r="X18" s="128"/>
      <c r="Y18" s="128"/>
      <c r="Z18" s="130"/>
      <c r="AA18" s="136"/>
      <c r="AB18" s="127"/>
      <c r="AC18" s="127"/>
      <c r="AD18" s="120"/>
      <c r="AE18" s="120"/>
      <c r="AF18" s="120"/>
    </row>
    <row r="19" ht="18.75" customHeight="1">
      <c r="A19" s="106"/>
      <c r="B19" s="106"/>
      <c r="C19" s="106"/>
      <c r="D19" s="106"/>
      <c r="E19" s="107"/>
      <c r="F19" s="108"/>
      <c r="G19" s="109"/>
      <c r="H19" s="109"/>
      <c r="I19" s="108"/>
      <c r="J19" s="110"/>
      <c r="K19" s="111"/>
      <c r="L19" s="107"/>
      <c r="M19" s="106"/>
      <c r="N19" s="141"/>
      <c r="O19" s="133"/>
      <c r="P19" s="106"/>
      <c r="Q19" s="147"/>
      <c r="R19" s="148"/>
      <c r="S19" s="115"/>
      <c r="T19" s="116"/>
      <c r="U19" s="116"/>
      <c r="V19" s="116"/>
      <c r="W19" s="116"/>
      <c r="X19" s="116"/>
      <c r="Y19" s="116"/>
      <c r="Z19" s="32"/>
      <c r="AA19" s="117"/>
      <c r="AB19" s="118"/>
      <c r="AC19" s="118"/>
      <c r="AD19" s="32"/>
      <c r="AE19" s="32"/>
      <c r="AF19" s="32"/>
    </row>
    <row r="20" ht="18.75" customHeight="1">
      <c r="A20" s="119"/>
      <c r="B20" s="119"/>
      <c r="C20" s="119"/>
      <c r="D20" s="119"/>
      <c r="E20" s="120"/>
      <c r="F20" s="121"/>
      <c r="G20" s="122"/>
      <c r="H20" s="122"/>
      <c r="I20" s="149"/>
      <c r="J20" s="150"/>
      <c r="K20" s="151"/>
      <c r="L20" s="120"/>
      <c r="M20" s="119"/>
      <c r="N20" s="142"/>
      <c r="O20" s="126"/>
      <c r="P20" s="119"/>
      <c r="Q20" s="119"/>
      <c r="R20" s="127"/>
      <c r="S20" s="119"/>
      <c r="T20" s="119"/>
      <c r="U20" s="119"/>
      <c r="V20" s="119"/>
      <c r="W20" s="129"/>
      <c r="X20" s="129"/>
      <c r="Y20" s="129"/>
      <c r="Z20" s="130"/>
      <c r="AA20" s="131"/>
      <c r="AB20" s="132"/>
      <c r="AC20" s="132"/>
      <c r="AD20" s="130"/>
      <c r="AE20" s="130"/>
      <c r="AF20" s="130"/>
    </row>
    <row r="21" ht="18.75" customHeight="1">
      <c r="A21" s="106"/>
      <c r="B21" s="106"/>
      <c r="C21" s="106"/>
      <c r="D21" s="106"/>
      <c r="E21" s="107"/>
      <c r="F21" s="108"/>
      <c r="G21" s="109"/>
      <c r="H21" s="109"/>
      <c r="I21" s="152"/>
      <c r="J21" s="110"/>
      <c r="K21" s="111"/>
      <c r="L21" s="107"/>
      <c r="M21" s="106"/>
      <c r="N21" s="141"/>
      <c r="O21" s="133"/>
      <c r="P21" s="106"/>
      <c r="Q21" s="106"/>
      <c r="R21" s="114"/>
      <c r="S21" s="106"/>
      <c r="T21" s="106"/>
      <c r="U21" s="106"/>
      <c r="V21" s="106"/>
      <c r="W21" s="116"/>
      <c r="X21" s="115"/>
      <c r="Y21" s="115"/>
      <c r="Z21" s="32"/>
      <c r="AA21" s="117"/>
      <c r="AB21" s="118"/>
      <c r="AC21" s="118"/>
      <c r="AD21" s="32"/>
      <c r="AE21" s="32"/>
      <c r="AF21" s="32"/>
    </row>
    <row r="22" ht="18.75" customHeight="1">
      <c r="A22" s="119"/>
      <c r="B22" s="119"/>
      <c r="C22" s="119"/>
      <c r="D22" s="119"/>
      <c r="E22" s="120"/>
      <c r="F22" s="121"/>
      <c r="G22" s="122"/>
      <c r="H22" s="122"/>
      <c r="I22" s="121"/>
      <c r="J22" s="123"/>
      <c r="K22" s="124"/>
      <c r="L22" s="120"/>
      <c r="M22" s="119"/>
      <c r="N22" s="142"/>
      <c r="O22" s="126"/>
      <c r="P22" s="119"/>
      <c r="Q22" s="119"/>
      <c r="R22" s="127"/>
      <c r="S22" s="128"/>
      <c r="T22" s="119"/>
      <c r="U22" s="119"/>
      <c r="V22" s="119"/>
      <c r="W22" s="119"/>
      <c r="X22" s="119"/>
      <c r="Y22" s="128"/>
      <c r="Z22" s="139"/>
      <c r="AA22" s="136"/>
      <c r="AB22" s="127"/>
      <c r="AC22" s="127"/>
      <c r="AD22" s="120"/>
      <c r="AE22" s="120"/>
      <c r="AF22" s="120"/>
    </row>
    <row r="23" ht="18.75" customHeight="1">
      <c r="A23" s="106"/>
      <c r="B23" s="106"/>
      <c r="C23" s="106"/>
      <c r="D23" s="106"/>
      <c r="E23" s="107"/>
      <c r="F23" s="108"/>
      <c r="G23" s="109"/>
      <c r="H23" s="109"/>
      <c r="I23" s="152"/>
      <c r="J23" s="153"/>
      <c r="K23" s="154"/>
      <c r="L23" s="107"/>
      <c r="M23" s="106"/>
      <c r="N23" s="141"/>
      <c r="O23" s="133"/>
      <c r="P23" s="106"/>
      <c r="Q23" s="106"/>
      <c r="R23" s="114"/>
      <c r="S23" s="106"/>
      <c r="T23" s="106"/>
      <c r="U23" s="106"/>
      <c r="V23" s="106"/>
      <c r="W23" s="115"/>
      <c r="X23" s="116"/>
      <c r="Y23" s="155"/>
      <c r="Z23" s="32"/>
      <c r="AA23" s="117"/>
      <c r="AB23" s="118"/>
      <c r="AC23" s="118"/>
      <c r="AD23" s="32"/>
      <c r="AE23" s="32"/>
      <c r="AF23" s="32"/>
    </row>
    <row r="24" ht="18.75" customHeight="1">
      <c r="A24" s="119"/>
      <c r="B24" s="119"/>
      <c r="C24" s="135"/>
      <c r="D24" s="119"/>
      <c r="E24" s="120"/>
      <c r="F24" s="121"/>
      <c r="G24" s="122"/>
      <c r="H24" s="122"/>
      <c r="I24" s="156"/>
      <c r="J24" s="157"/>
      <c r="K24" s="124"/>
      <c r="L24" s="120"/>
      <c r="M24" s="119"/>
      <c r="N24" s="142"/>
      <c r="O24" s="126"/>
      <c r="P24" s="119"/>
      <c r="Q24" s="119"/>
      <c r="R24" s="127"/>
      <c r="S24" s="119"/>
      <c r="T24" s="129"/>
      <c r="U24" s="129"/>
      <c r="V24" s="129"/>
      <c r="W24" s="129"/>
      <c r="X24" s="128"/>
      <c r="Y24" s="158"/>
      <c r="Z24" s="130"/>
      <c r="AA24" s="136"/>
      <c r="AB24" s="127"/>
      <c r="AC24" s="127"/>
      <c r="AD24" s="120"/>
      <c r="AE24" s="120"/>
      <c r="AF24" s="120"/>
    </row>
    <row r="25" ht="18.0" customHeight="1">
      <c r="A25" s="106"/>
      <c r="B25" s="106"/>
      <c r="C25" s="106"/>
      <c r="D25" s="106"/>
      <c r="E25" s="107"/>
      <c r="F25" s="108"/>
      <c r="G25" s="109"/>
      <c r="H25" s="109"/>
      <c r="I25" s="108"/>
      <c r="J25" s="110"/>
      <c r="K25" s="111"/>
      <c r="L25" s="107"/>
      <c r="M25" s="106"/>
      <c r="N25" s="141"/>
      <c r="O25" s="133"/>
      <c r="P25" s="106"/>
      <c r="Q25" s="106"/>
      <c r="R25" s="114"/>
      <c r="S25" s="106"/>
      <c r="T25" s="116"/>
      <c r="U25" s="116"/>
      <c r="V25" s="116"/>
      <c r="W25" s="116"/>
      <c r="X25" s="115"/>
      <c r="Y25" s="115"/>
      <c r="Z25" s="32"/>
      <c r="AA25" s="117"/>
      <c r="AB25" s="118"/>
      <c r="AC25" s="118"/>
      <c r="AD25" s="32"/>
      <c r="AE25" s="32"/>
      <c r="AF25" s="32"/>
    </row>
    <row r="26" ht="18.75" customHeight="1">
      <c r="A26" s="137"/>
      <c r="B26" s="137"/>
      <c r="C26" s="137"/>
      <c r="D26" s="119"/>
      <c r="E26" s="120"/>
      <c r="F26" s="121"/>
      <c r="G26" s="122"/>
      <c r="H26" s="122"/>
      <c r="I26" s="121"/>
      <c r="J26" s="123"/>
      <c r="K26" s="124"/>
      <c r="L26" s="120"/>
      <c r="M26" s="119"/>
      <c r="N26" s="142"/>
      <c r="O26" s="126"/>
      <c r="P26" s="119"/>
      <c r="Q26" s="119"/>
      <c r="R26" s="127"/>
      <c r="S26" s="128"/>
      <c r="T26" s="129"/>
      <c r="U26" s="129"/>
      <c r="V26" s="129"/>
      <c r="W26" s="129"/>
      <c r="X26" s="128"/>
      <c r="Y26" s="128"/>
      <c r="Z26" s="130"/>
      <c r="AA26" s="136"/>
      <c r="AB26" s="127"/>
      <c r="AC26" s="127"/>
      <c r="AD26" s="120"/>
      <c r="AE26" s="120"/>
      <c r="AF26" s="120"/>
    </row>
    <row r="27" ht="18.75" customHeight="1">
      <c r="A27" s="106"/>
      <c r="B27" s="106"/>
      <c r="C27" s="106"/>
      <c r="D27" s="106"/>
      <c r="E27" s="107"/>
      <c r="F27" s="108"/>
      <c r="G27" s="109"/>
      <c r="H27" s="109"/>
      <c r="I27" s="108"/>
      <c r="J27" s="110"/>
      <c r="K27" s="111"/>
      <c r="L27" s="107"/>
      <c r="M27" s="106"/>
      <c r="N27" s="141"/>
      <c r="O27" s="110"/>
      <c r="P27" s="106"/>
      <c r="Q27" s="106"/>
      <c r="R27" s="114"/>
      <c r="S27" s="106"/>
      <c r="T27" s="106"/>
      <c r="U27" s="116"/>
      <c r="V27" s="106"/>
      <c r="W27" s="116"/>
      <c r="X27" s="116"/>
      <c r="Y27" s="116"/>
      <c r="Z27" s="32"/>
      <c r="AA27" s="144"/>
      <c r="AB27" s="118"/>
      <c r="AC27" s="118"/>
      <c r="AD27" s="32"/>
      <c r="AE27" s="32"/>
      <c r="AF27" s="32"/>
    </row>
    <row r="28" ht="18.75" customHeight="1">
      <c r="A28" s="119"/>
      <c r="B28" s="119"/>
      <c r="C28" s="119"/>
      <c r="D28" s="119"/>
      <c r="E28" s="120"/>
      <c r="H28" s="122"/>
      <c r="I28" s="121"/>
      <c r="J28" s="123"/>
      <c r="K28" s="124"/>
      <c r="L28" s="120"/>
      <c r="M28" s="119"/>
      <c r="N28" s="142"/>
      <c r="O28" s="123"/>
      <c r="P28" s="135"/>
      <c r="Q28" s="119"/>
      <c r="R28" s="159"/>
      <c r="S28" s="119"/>
      <c r="T28" s="119"/>
      <c r="U28" s="129"/>
      <c r="V28" s="119"/>
      <c r="W28" s="129"/>
      <c r="X28" s="128"/>
      <c r="Y28" s="128"/>
      <c r="Z28" s="130"/>
      <c r="AA28" s="131"/>
      <c r="AB28" s="132"/>
      <c r="AC28" s="132"/>
      <c r="AD28" s="130"/>
      <c r="AE28" s="130"/>
      <c r="AF28" s="130"/>
    </row>
    <row r="29" ht="18.75" customHeight="1">
      <c r="A29" s="106"/>
      <c r="B29" s="106"/>
      <c r="C29" s="106"/>
      <c r="D29" s="106"/>
      <c r="E29" s="107"/>
      <c r="F29" s="108"/>
      <c r="G29" s="109"/>
      <c r="H29" s="109"/>
      <c r="I29" s="152"/>
      <c r="J29" s="153"/>
      <c r="K29" s="111"/>
      <c r="L29" s="107"/>
      <c r="M29" s="106"/>
      <c r="N29" s="141"/>
      <c r="O29" s="133"/>
      <c r="P29" s="160"/>
      <c r="Q29" s="106"/>
      <c r="R29" s="114"/>
      <c r="S29" s="106"/>
      <c r="T29" s="116"/>
      <c r="U29" s="116"/>
      <c r="V29" s="106"/>
      <c r="W29" s="116"/>
      <c r="X29" s="115"/>
      <c r="Y29" s="155"/>
      <c r="Z29" s="32"/>
      <c r="AA29" s="117"/>
      <c r="AB29" s="118"/>
      <c r="AC29" s="118"/>
      <c r="AD29" s="32"/>
      <c r="AE29" s="32"/>
      <c r="AF29" s="32"/>
    </row>
    <row r="30" ht="18.75" customHeight="1">
      <c r="A30" s="119"/>
      <c r="B30" s="119"/>
      <c r="C30" s="119"/>
      <c r="D30" s="119"/>
      <c r="E30" s="120"/>
      <c r="F30" s="121"/>
      <c r="G30" s="126"/>
      <c r="H30" s="122"/>
      <c r="I30" s="149"/>
      <c r="J30" s="161"/>
      <c r="K30" s="124"/>
      <c r="L30" s="120"/>
      <c r="M30" s="119"/>
      <c r="N30" s="142"/>
      <c r="O30" s="126"/>
      <c r="P30" s="119"/>
      <c r="Q30" s="119"/>
      <c r="R30" s="127"/>
      <c r="S30" s="119"/>
      <c r="T30" s="119"/>
      <c r="U30" s="119"/>
      <c r="V30" s="119"/>
      <c r="W30" s="129"/>
      <c r="X30" s="129"/>
      <c r="Y30" s="129"/>
      <c r="Z30" s="139"/>
      <c r="AA30" s="136"/>
      <c r="AB30" s="127"/>
      <c r="AC30" s="127"/>
      <c r="AD30" s="120"/>
      <c r="AE30" s="120"/>
      <c r="AF30" s="120"/>
    </row>
    <row r="31" ht="18.75" customHeight="1">
      <c r="A31" s="106"/>
      <c r="B31" s="106"/>
      <c r="C31" s="106"/>
      <c r="D31" s="106"/>
      <c r="E31" s="107"/>
      <c r="F31" s="140"/>
      <c r="G31" s="162"/>
      <c r="H31" s="162"/>
      <c r="I31" s="152"/>
      <c r="J31" s="163"/>
      <c r="K31" s="111"/>
      <c r="L31" s="107"/>
      <c r="M31" s="106"/>
      <c r="N31" s="141"/>
      <c r="O31" s="133"/>
      <c r="P31" s="106"/>
      <c r="Q31" s="106"/>
      <c r="R31" s="164"/>
      <c r="S31" s="106"/>
      <c r="T31" s="116"/>
      <c r="U31" s="116"/>
      <c r="V31" s="106"/>
      <c r="W31" s="116"/>
      <c r="X31" s="115"/>
      <c r="Y31" s="155"/>
      <c r="Z31" s="32"/>
      <c r="AA31" s="117"/>
      <c r="AB31" s="118"/>
      <c r="AC31" s="118"/>
      <c r="AD31" s="32"/>
      <c r="AE31" s="32"/>
      <c r="AF31" s="32"/>
    </row>
    <row r="32" ht="18.75" customHeight="1">
      <c r="A32" s="119"/>
      <c r="B32" s="119"/>
      <c r="C32" s="119"/>
      <c r="D32" s="119"/>
      <c r="E32" s="120"/>
      <c r="F32" s="121"/>
      <c r="G32" s="122"/>
      <c r="H32" s="122"/>
      <c r="I32" s="149"/>
      <c r="J32" s="161"/>
      <c r="K32" s="124"/>
      <c r="L32" s="120"/>
      <c r="M32" s="119"/>
      <c r="N32" s="142"/>
      <c r="O32" s="126"/>
      <c r="P32" s="119"/>
      <c r="Q32" s="119"/>
      <c r="R32" s="127"/>
      <c r="S32" s="119"/>
      <c r="T32" s="129"/>
      <c r="U32" s="129"/>
      <c r="V32" s="119"/>
      <c r="W32" s="129"/>
      <c r="X32" s="128"/>
      <c r="Y32" s="158"/>
      <c r="Z32" s="130"/>
      <c r="AA32" s="131"/>
      <c r="AB32" s="132"/>
      <c r="AC32" s="132"/>
      <c r="AD32" s="130"/>
      <c r="AE32" s="130"/>
      <c r="AF32" s="130"/>
    </row>
    <row r="33" ht="18.75" customHeight="1">
      <c r="A33" s="106"/>
      <c r="B33" s="106"/>
      <c r="C33" s="106"/>
      <c r="D33" s="106"/>
      <c r="E33" s="107"/>
      <c r="F33" s="108"/>
      <c r="G33" s="109"/>
      <c r="H33" s="109"/>
      <c r="I33" s="152"/>
      <c r="J33" s="153"/>
      <c r="K33" s="111"/>
      <c r="L33" s="107"/>
      <c r="M33" s="106"/>
      <c r="T33" s="116"/>
      <c r="U33" s="116"/>
      <c r="V33" s="106"/>
      <c r="W33" s="116"/>
      <c r="X33" s="115"/>
      <c r="Y33" s="155"/>
      <c r="Z33" s="32"/>
      <c r="AA33" s="117"/>
      <c r="AB33" s="118"/>
      <c r="AC33" s="118"/>
      <c r="AD33" s="32"/>
      <c r="AE33" s="32"/>
      <c r="AF33" s="32"/>
    </row>
    <row r="34" ht="18.75" customHeight="1">
      <c r="A34" s="119"/>
      <c r="B34" s="119"/>
      <c r="C34" s="119"/>
      <c r="D34" s="119"/>
      <c r="E34" s="120"/>
      <c r="F34" s="165"/>
      <c r="G34" s="166"/>
      <c r="H34" s="166"/>
      <c r="I34" s="165"/>
      <c r="J34" s="161"/>
      <c r="K34" s="124"/>
      <c r="L34" s="120"/>
      <c r="M34" s="119"/>
      <c r="N34" s="142"/>
      <c r="O34" s="126"/>
      <c r="P34" s="167"/>
      <c r="Q34" s="119"/>
      <c r="R34" s="127"/>
      <c r="S34" s="119"/>
      <c r="T34" s="129"/>
      <c r="U34" s="129"/>
      <c r="V34" s="129"/>
      <c r="W34" s="129"/>
      <c r="X34" s="128"/>
      <c r="Y34" s="158"/>
      <c r="Z34" s="130"/>
      <c r="AA34" s="131"/>
      <c r="AB34" s="132"/>
      <c r="AC34" s="132"/>
      <c r="AD34" s="130"/>
      <c r="AE34" s="130"/>
      <c r="AF34" s="130"/>
    </row>
    <row r="35" ht="18.75" customHeight="1">
      <c r="A35" s="106"/>
      <c r="B35" s="106"/>
      <c r="C35" s="106"/>
      <c r="D35" s="106"/>
      <c r="E35" s="107"/>
      <c r="F35" s="108"/>
      <c r="G35" s="109"/>
      <c r="H35" s="109"/>
      <c r="I35" s="152"/>
      <c r="J35" s="153"/>
      <c r="K35" s="111"/>
      <c r="L35" s="107"/>
      <c r="M35" s="106"/>
      <c r="N35" s="141"/>
      <c r="O35" s="133"/>
      <c r="P35" s="168"/>
      <c r="Q35" s="106"/>
      <c r="R35" s="114"/>
      <c r="S35" s="106"/>
      <c r="T35" s="116"/>
      <c r="U35" s="116"/>
      <c r="V35" s="116"/>
      <c r="W35" s="116"/>
      <c r="X35" s="115"/>
      <c r="Y35" s="155"/>
      <c r="Z35" s="32"/>
      <c r="AA35" s="117"/>
      <c r="AB35" s="118"/>
      <c r="AC35" s="118"/>
      <c r="AD35" s="32"/>
      <c r="AE35" s="32"/>
      <c r="AF35" s="32"/>
    </row>
    <row r="36" ht="18.75" customHeight="1">
      <c r="A36" s="135"/>
      <c r="B36" s="135"/>
      <c r="C36" s="119"/>
      <c r="D36" s="119"/>
      <c r="E36" s="120"/>
      <c r="F36" s="121"/>
      <c r="G36" s="122"/>
      <c r="H36" s="122"/>
      <c r="I36" s="169"/>
      <c r="J36" s="161"/>
      <c r="K36" s="124"/>
      <c r="L36" s="120"/>
      <c r="M36" s="119"/>
      <c r="N36" s="142"/>
      <c r="O36" s="166"/>
      <c r="P36" s="119"/>
      <c r="Q36" s="119"/>
      <c r="R36" s="127"/>
      <c r="S36" s="119"/>
      <c r="T36" s="129"/>
      <c r="U36" s="129"/>
      <c r="V36" s="119"/>
      <c r="W36" s="129"/>
      <c r="X36" s="129"/>
      <c r="Y36" s="129"/>
      <c r="Z36" s="130"/>
      <c r="AA36" s="131"/>
      <c r="AB36" s="132"/>
      <c r="AC36" s="132"/>
      <c r="AD36" s="130"/>
      <c r="AE36" s="130"/>
      <c r="AF36" s="130"/>
    </row>
    <row r="37" ht="18.75" customHeight="1">
      <c r="A37" s="106"/>
      <c r="B37" s="106"/>
      <c r="C37" s="106"/>
      <c r="D37" s="106"/>
      <c r="E37" s="107"/>
      <c r="F37" s="108"/>
      <c r="G37" s="109"/>
      <c r="H37" s="109"/>
      <c r="I37" s="152"/>
      <c r="J37" s="153"/>
      <c r="K37" s="111"/>
      <c r="L37" s="107"/>
      <c r="M37" s="106"/>
      <c r="N37" s="141"/>
      <c r="O37" s="133"/>
      <c r="P37" s="106"/>
      <c r="Q37" s="106"/>
      <c r="R37" s="114"/>
      <c r="S37" s="106"/>
      <c r="T37" s="116"/>
      <c r="U37" s="116"/>
      <c r="V37" s="106"/>
      <c r="W37" s="116"/>
      <c r="X37" s="115"/>
      <c r="Y37" s="155"/>
      <c r="Z37" s="32"/>
      <c r="AA37" s="117"/>
      <c r="AB37" s="118"/>
      <c r="AC37" s="118"/>
      <c r="AD37" s="32"/>
      <c r="AE37" s="32"/>
      <c r="AF37" s="32"/>
    </row>
    <row r="38" ht="18.75" customHeight="1">
      <c r="A38" s="119"/>
      <c r="B38" s="119"/>
      <c r="C38" s="119"/>
      <c r="D38" s="119"/>
      <c r="E38" s="120"/>
      <c r="F38" s="121"/>
      <c r="G38" s="122"/>
      <c r="H38" s="122"/>
      <c r="I38" s="121"/>
      <c r="J38" s="161"/>
      <c r="K38" s="124"/>
      <c r="L38" s="120"/>
      <c r="M38" s="119"/>
      <c r="N38" s="142"/>
      <c r="O38" s="126"/>
      <c r="P38" s="119"/>
      <c r="Q38" s="119"/>
      <c r="R38" s="127"/>
      <c r="S38" s="119"/>
      <c r="T38" s="129"/>
      <c r="U38" s="129"/>
      <c r="V38" s="119"/>
      <c r="W38" s="129"/>
      <c r="X38" s="128"/>
      <c r="Y38" s="158"/>
      <c r="Z38" s="130"/>
      <c r="AA38" s="131"/>
      <c r="AB38" s="132"/>
      <c r="AC38" s="132"/>
      <c r="AD38" s="130"/>
      <c r="AE38" s="130"/>
      <c r="AF38" s="130"/>
    </row>
    <row r="39" ht="18.75" customHeight="1">
      <c r="A39" s="106"/>
      <c r="B39" s="106"/>
      <c r="C39" s="106"/>
      <c r="D39" s="106"/>
      <c r="E39" s="107"/>
      <c r="F39" s="108"/>
      <c r="G39" s="109"/>
      <c r="H39" s="109"/>
      <c r="I39" s="108"/>
      <c r="J39" s="109"/>
      <c r="K39" s="111"/>
      <c r="L39" s="107"/>
      <c r="M39" s="106"/>
      <c r="N39" s="141"/>
      <c r="O39" s="133"/>
      <c r="P39" s="106"/>
      <c r="Q39" s="106"/>
      <c r="R39" s="114"/>
      <c r="S39" s="115"/>
      <c r="T39" s="116"/>
      <c r="U39" s="116"/>
      <c r="V39" s="106"/>
      <c r="W39" s="116"/>
      <c r="X39" s="115"/>
      <c r="Y39" s="155"/>
      <c r="Z39" s="143"/>
      <c r="AA39" s="144"/>
      <c r="AB39" s="114"/>
      <c r="AC39" s="114"/>
      <c r="AD39" s="107"/>
      <c r="AE39" s="107"/>
      <c r="AF39" s="107"/>
    </row>
    <row r="40" ht="18.75" customHeight="1">
      <c r="A40" s="119"/>
      <c r="B40" s="119"/>
      <c r="C40" s="119"/>
      <c r="D40" s="119"/>
      <c r="E40" s="120"/>
      <c r="F40" s="121"/>
      <c r="G40" s="122"/>
      <c r="H40" s="122"/>
      <c r="I40" s="121"/>
      <c r="J40" s="122"/>
      <c r="K40" s="124"/>
      <c r="L40" s="120"/>
      <c r="M40" s="119"/>
      <c r="N40" s="142"/>
      <c r="O40" s="126"/>
      <c r="P40" s="119"/>
      <c r="Q40" s="119"/>
      <c r="R40" s="127"/>
      <c r="S40" s="119"/>
      <c r="T40" s="129"/>
      <c r="U40" s="129"/>
      <c r="V40" s="129"/>
      <c r="W40" s="129"/>
      <c r="X40" s="128"/>
      <c r="Y40" s="158"/>
      <c r="Z40" s="130"/>
    </row>
    <row r="41" ht="18.75" customHeight="1">
      <c r="A41" s="106"/>
      <c r="B41" s="106"/>
      <c r="C41" s="106"/>
      <c r="D41" s="106"/>
      <c r="E41" s="107"/>
      <c r="F41" s="108"/>
      <c r="G41" s="109"/>
      <c r="H41" s="109"/>
      <c r="I41" s="152"/>
      <c r="J41" s="153"/>
      <c r="K41" s="111"/>
      <c r="L41" s="107"/>
      <c r="M41" s="106"/>
      <c r="N41" s="141"/>
      <c r="O41" s="133"/>
      <c r="P41" s="106"/>
      <c r="Q41" s="106"/>
      <c r="R41" s="114"/>
      <c r="S41" s="106"/>
      <c r="T41" s="116"/>
      <c r="U41" s="116"/>
      <c r="V41" s="106"/>
      <c r="W41" s="116"/>
      <c r="X41" s="115"/>
      <c r="Y41" s="155"/>
      <c r="Z41" s="32"/>
    </row>
    <row r="42" ht="18.75" customHeight="1">
      <c r="A42" s="119"/>
      <c r="B42" s="119"/>
      <c r="C42" s="119"/>
      <c r="D42" s="119"/>
      <c r="E42" s="120"/>
      <c r="F42" s="121"/>
      <c r="G42" s="122"/>
      <c r="H42" s="122"/>
      <c r="I42" s="121"/>
      <c r="J42" s="170"/>
      <c r="K42" s="124"/>
      <c r="L42" s="120"/>
      <c r="M42" s="119"/>
      <c r="N42" s="142"/>
      <c r="O42" s="126"/>
      <c r="P42" s="119"/>
      <c r="Q42" s="119"/>
      <c r="R42" s="127"/>
      <c r="S42" s="119"/>
      <c r="T42" s="129"/>
      <c r="U42" s="129"/>
      <c r="V42" s="129"/>
      <c r="W42" s="129"/>
      <c r="X42" s="129"/>
      <c r="Y42" s="129"/>
      <c r="Z42" s="130"/>
      <c r="AA42" s="136"/>
      <c r="AB42" s="127"/>
      <c r="AC42" s="127"/>
      <c r="AD42" s="120"/>
      <c r="AE42" s="120"/>
      <c r="AF42" s="120"/>
    </row>
    <row r="43" ht="18.75" customHeight="1">
      <c r="A43" s="171"/>
      <c r="B43" s="171"/>
      <c r="C43" s="171"/>
      <c r="D43" s="171"/>
      <c r="E43" s="172"/>
      <c r="F43" s="108"/>
      <c r="G43" s="162"/>
      <c r="H43" s="162"/>
      <c r="I43" s="108"/>
      <c r="J43" s="153"/>
      <c r="K43" s="106"/>
      <c r="L43" s="172"/>
      <c r="M43" s="171"/>
      <c r="N43" s="173"/>
      <c r="O43" s="174"/>
      <c r="P43" s="171"/>
      <c r="Q43" s="171"/>
      <c r="R43" s="175"/>
      <c r="S43" s="106"/>
      <c r="T43" s="176"/>
      <c r="U43" s="176"/>
      <c r="V43" s="176"/>
      <c r="W43" s="176"/>
      <c r="X43" s="177"/>
      <c r="Y43" s="178"/>
      <c r="Z43" s="179"/>
      <c r="AA43" s="180"/>
      <c r="AB43" s="181"/>
      <c r="AC43" s="181"/>
      <c r="AD43" s="179"/>
      <c r="AE43" s="179"/>
      <c r="AF43" s="179"/>
    </row>
    <row r="44" ht="18.75" customHeight="1">
      <c r="A44" s="119"/>
      <c r="B44" s="119"/>
      <c r="C44" s="119"/>
      <c r="D44" s="119"/>
      <c r="E44" s="120"/>
      <c r="F44" s="121"/>
      <c r="G44" s="122"/>
      <c r="H44" s="122"/>
      <c r="I44" s="121"/>
      <c r="J44" s="170"/>
      <c r="K44" s="124"/>
      <c r="L44" s="120"/>
      <c r="M44" s="119"/>
      <c r="N44" s="142"/>
      <c r="O44" s="126"/>
      <c r="P44" s="119"/>
      <c r="Q44" s="119"/>
      <c r="R44" s="127"/>
      <c r="S44" s="128"/>
      <c r="T44" s="129"/>
      <c r="U44" s="129"/>
      <c r="V44" s="129"/>
      <c r="W44" s="129"/>
      <c r="X44" s="129"/>
      <c r="Y44" s="129"/>
      <c r="Z44" s="130"/>
      <c r="AA44" s="131"/>
      <c r="AB44" s="132"/>
      <c r="AC44" s="132"/>
      <c r="AD44" s="130"/>
      <c r="AE44" s="130"/>
      <c r="AF44" s="130"/>
    </row>
    <row r="45" ht="18.75" customHeight="1">
      <c r="A45" s="106"/>
      <c r="B45" s="106"/>
      <c r="C45" s="106"/>
      <c r="D45" s="106"/>
      <c r="E45" s="107"/>
      <c r="F45" s="108"/>
      <c r="G45" s="133"/>
      <c r="H45" s="133"/>
      <c r="I45" s="108"/>
      <c r="J45" s="182"/>
      <c r="K45" s="111"/>
      <c r="L45" s="107"/>
      <c r="M45" s="106"/>
      <c r="N45" s="141"/>
      <c r="O45" s="133"/>
      <c r="P45" s="106"/>
      <c r="Q45" s="183"/>
      <c r="R45" s="114"/>
      <c r="S45" s="115"/>
      <c r="T45" s="116"/>
      <c r="U45" s="116"/>
      <c r="V45" s="116"/>
      <c r="W45" s="116"/>
      <c r="X45" s="116"/>
      <c r="Y45" s="116"/>
      <c r="Z45" s="32"/>
      <c r="AA45" s="117"/>
      <c r="AB45" s="118"/>
      <c r="AC45" s="118"/>
      <c r="AD45" s="32"/>
      <c r="AE45" s="32"/>
      <c r="AF45" s="32"/>
    </row>
    <row r="46" ht="18.75" customHeight="1">
      <c r="A46" s="119"/>
      <c r="B46" s="119"/>
      <c r="C46" s="119"/>
      <c r="D46" s="119"/>
      <c r="E46" s="120"/>
      <c r="F46" s="165"/>
      <c r="G46" s="122"/>
      <c r="H46" s="122"/>
      <c r="I46" s="149"/>
      <c r="J46" s="184"/>
      <c r="K46" s="124"/>
      <c r="L46" s="120"/>
      <c r="M46" s="119"/>
      <c r="N46" s="142"/>
      <c r="O46" s="126"/>
      <c r="P46" s="119"/>
      <c r="Q46" s="128"/>
      <c r="R46" s="127"/>
      <c r="S46" s="119"/>
      <c r="T46" s="119"/>
      <c r="U46" s="119"/>
      <c r="V46" s="119"/>
      <c r="W46" s="128"/>
      <c r="X46" s="128"/>
      <c r="Y46" s="128"/>
      <c r="Z46" s="139"/>
      <c r="AA46" s="136"/>
      <c r="AB46" s="127"/>
      <c r="AC46" s="127"/>
      <c r="AD46" s="120"/>
      <c r="AE46" s="120"/>
      <c r="AF46" s="120"/>
    </row>
    <row r="47" ht="18.75" customHeight="1">
      <c r="A47" s="106"/>
      <c r="B47" s="106"/>
      <c r="C47" s="106"/>
      <c r="D47" s="106"/>
      <c r="E47" s="107"/>
      <c r="F47" s="108"/>
      <c r="G47" s="109"/>
      <c r="H47" s="109"/>
      <c r="I47" s="185"/>
      <c r="J47" s="153"/>
      <c r="K47" s="111"/>
      <c r="L47" s="107"/>
      <c r="M47" s="106"/>
      <c r="N47" s="141"/>
      <c r="O47" s="133"/>
      <c r="P47" s="106"/>
      <c r="Q47" s="106"/>
      <c r="R47" s="114"/>
      <c r="S47" s="106"/>
      <c r="T47" s="106"/>
      <c r="U47" s="116"/>
      <c r="V47" s="116"/>
      <c r="W47" s="116"/>
      <c r="X47" s="106"/>
      <c r="Y47" s="106"/>
      <c r="Z47" s="32"/>
      <c r="AA47" s="117"/>
      <c r="AB47" s="118"/>
      <c r="AC47" s="118"/>
      <c r="AD47" s="32"/>
      <c r="AE47" s="32"/>
      <c r="AF47" s="32"/>
    </row>
    <row r="48" ht="18.75" customHeight="1">
      <c r="A48" s="119"/>
      <c r="B48" s="119"/>
      <c r="C48" s="119"/>
      <c r="D48" s="119"/>
      <c r="E48" s="120"/>
      <c r="F48" s="121"/>
      <c r="G48" s="122"/>
      <c r="H48" s="122"/>
      <c r="I48" s="149"/>
      <c r="J48" s="170"/>
      <c r="K48" s="124"/>
      <c r="L48" s="120"/>
      <c r="M48" s="119"/>
      <c r="N48" s="142"/>
      <c r="O48" s="126"/>
      <c r="P48" s="119"/>
      <c r="Q48" s="186"/>
      <c r="R48" s="127"/>
      <c r="S48" s="119"/>
      <c r="T48" s="129"/>
      <c r="U48" s="129"/>
      <c r="V48" s="129"/>
      <c r="W48" s="129"/>
      <c r="X48" s="129"/>
      <c r="Y48" s="129"/>
      <c r="Z48" s="130"/>
      <c r="AA48" s="131"/>
      <c r="AB48" s="132"/>
      <c r="AC48" s="132"/>
      <c r="AD48" s="130"/>
      <c r="AE48" s="130"/>
      <c r="AF48" s="130"/>
    </row>
    <row r="49" ht="18.75" customHeight="1">
      <c r="A49" s="106"/>
      <c r="B49" s="106"/>
      <c r="C49" s="106"/>
      <c r="D49" s="106"/>
      <c r="E49" s="107"/>
      <c r="F49" s="108"/>
      <c r="G49" s="133"/>
      <c r="H49" s="133"/>
      <c r="I49" s="108"/>
      <c r="J49" s="182"/>
      <c r="K49" s="111"/>
      <c r="L49" s="107"/>
      <c r="M49" s="106"/>
      <c r="N49" s="141"/>
      <c r="O49" s="133"/>
      <c r="P49" s="106"/>
      <c r="Q49" s="106"/>
      <c r="R49" s="114"/>
      <c r="S49" s="106"/>
      <c r="T49" s="116"/>
      <c r="U49" s="116"/>
      <c r="V49" s="116"/>
      <c r="W49" s="116"/>
      <c r="X49" s="116"/>
      <c r="Y49" s="116"/>
      <c r="Z49" s="32"/>
      <c r="AA49" s="117"/>
      <c r="AB49" s="118"/>
      <c r="AC49" s="118"/>
      <c r="AD49" s="32"/>
      <c r="AE49" s="32"/>
      <c r="AF49" s="32"/>
    </row>
    <row r="50" ht="18.75" customHeight="1">
      <c r="A50" s="119"/>
      <c r="B50" s="119"/>
      <c r="C50" s="119"/>
      <c r="D50" s="119"/>
      <c r="E50" s="120"/>
      <c r="F50" s="121"/>
      <c r="G50" s="122"/>
      <c r="H50" s="122"/>
      <c r="I50" s="121"/>
      <c r="J50" s="187"/>
      <c r="K50" s="124"/>
      <c r="L50" s="120"/>
      <c r="M50" s="119"/>
      <c r="N50" s="142"/>
      <c r="O50" s="126"/>
      <c r="P50" s="119"/>
      <c r="Q50" s="119"/>
      <c r="R50" s="127"/>
      <c r="S50" s="119"/>
      <c r="T50" s="119"/>
      <c r="U50" s="119"/>
      <c r="V50" s="119"/>
      <c r="W50" s="129"/>
      <c r="X50" s="119"/>
      <c r="Y50" s="128"/>
      <c r="Z50" s="130"/>
      <c r="AA50" s="131"/>
      <c r="AB50" s="132"/>
      <c r="AC50" s="132"/>
      <c r="AD50" s="130"/>
      <c r="AE50" s="130"/>
      <c r="AF50" s="130"/>
    </row>
    <row r="51" ht="18.75" customHeight="1">
      <c r="A51" s="106"/>
      <c r="B51" s="106"/>
      <c r="C51" s="106"/>
      <c r="D51" s="106"/>
      <c r="E51" s="107"/>
      <c r="F51" s="108"/>
      <c r="G51" s="109"/>
      <c r="H51" s="109"/>
      <c r="I51" s="108"/>
      <c r="J51" s="182"/>
      <c r="K51" s="111"/>
      <c r="L51" s="107"/>
      <c r="M51" s="106"/>
      <c r="N51" s="141"/>
      <c r="O51" s="133"/>
      <c r="P51" s="106"/>
      <c r="Q51" s="106"/>
      <c r="R51" s="114"/>
      <c r="S51" s="106"/>
      <c r="T51" s="116"/>
      <c r="U51" s="116"/>
      <c r="V51" s="116"/>
      <c r="W51" s="116"/>
      <c r="X51" s="116"/>
      <c r="Y51" s="116"/>
      <c r="Z51" s="32"/>
      <c r="AA51" s="117"/>
      <c r="AB51" s="118"/>
      <c r="AC51" s="118"/>
      <c r="AD51" s="32"/>
      <c r="AE51" s="32"/>
      <c r="AF51" s="32"/>
    </row>
    <row r="52" ht="18.75" customHeight="1">
      <c r="A52" s="119"/>
      <c r="B52" s="119"/>
      <c r="C52" s="119"/>
      <c r="D52" s="119"/>
      <c r="E52" s="120"/>
      <c r="F52" s="121"/>
      <c r="G52" s="122"/>
      <c r="H52" s="122"/>
      <c r="I52" s="121"/>
      <c r="J52" s="170"/>
      <c r="K52" s="124"/>
      <c r="L52" s="120"/>
      <c r="M52" s="119"/>
      <c r="N52" s="142"/>
      <c r="O52" s="126"/>
      <c r="P52" s="119"/>
      <c r="Q52" s="119"/>
      <c r="R52" s="127"/>
      <c r="S52" s="119"/>
      <c r="T52" s="129"/>
      <c r="U52" s="129"/>
      <c r="V52" s="129"/>
      <c r="W52" s="129"/>
      <c r="X52" s="129"/>
      <c r="Y52" s="129"/>
      <c r="Z52" s="130"/>
      <c r="AA52" s="131"/>
      <c r="AB52" s="132"/>
      <c r="AC52" s="132"/>
      <c r="AD52" s="130"/>
      <c r="AE52" s="130"/>
      <c r="AF52" s="130"/>
    </row>
    <row r="53">
      <c r="A53" s="106"/>
      <c r="B53" s="106"/>
      <c r="C53" s="106"/>
      <c r="D53" s="106"/>
      <c r="E53" s="107"/>
      <c r="F53" s="108"/>
      <c r="G53" s="109"/>
      <c r="H53" s="109"/>
      <c r="I53" s="185"/>
      <c r="J53" s="182"/>
      <c r="K53" s="111"/>
      <c r="L53" s="107"/>
      <c r="M53" s="106"/>
      <c r="N53" s="141"/>
      <c r="O53" s="133"/>
      <c r="P53" s="106"/>
      <c r="Q53" s="106"/>
      <c r="R53" s="114"/>
      <c r="S53" s="106"/>
      <c r="T53" s="106"/>
      <c r="U53" s="106"/>
      <c r="V53" s="106"/>
      <c r="W53" s="116"/>
      <c r="X53" s="116"/>
      <c r="Y53" s="116"/>
      <c r="Z53" s="32"/>
      <c r="AA53" s="117"/>
      <c r="AB53" s="118"/>
      <c r="AC53" s="118"/>
      <c r="AD53" s="32"/>
      <c r="AE53" s="32"/>
      <c r="AF53" s="32"/>
    </row>
    <row r="54" ht="18.75" customHeight="1">
      <c r="A54" s="119"/>
      <c r="B54" s="119"/>
      <c r="C54" s="119"/>
      <c r="D54" s="119"/>
      <c r="E54" s="120"/>
      <c r="F54" s="121"/>
      <c r="G54" s="122"/>
      <c r="H54" s="122"/>
      <c r="I54" s="121"/>
      <c r="J54" s="123"/>
      <c r="K54" s="124"/>
      <c r="L54" s="188"/>
      <c r="M54" s="119"/>
      <c r="N54" s="142"/>
      <c r="O54" s="126"/>
      <c r="P54" s="119"/>
      <c r="Q54" s="119"/>
      <c r="R54" s="127"/>
      <c r="S54" s="119"/>
      <c r="T54" s="119"/>
      <c r="U54" s="119"/>
      <c r="V54" s="119"/>
      <c r="W54" s="129"/>
      <c r="X54" s="129"/>
      <c r="Y54" s="129"/>
      <c r="Z54" s="130"/>
      <c r="AA54" s="131"/>
      <c r="AB54" s="132"/>
      <c r="AC54" s="132"/>
      <c r="AD54" s="130"/>
      <c r="AE54" s="130"/>
      <c r="AF54" s="130"/>
    </row>
    <row r="55" ht="18.75" customHeight="1">
      <c r="A55" s="106"/>
      <c r="B55" s="106"/>
      <c r="C55" s="106"/>
      <c r="D55" s="106"/>
      <c r="E55" s="107"/>
      <c r="F55" s="108"/>
      <c r="G55" s="109"/>
      <c r="H55" s="109"/>
      <c r="I55" s="152"/>
      <c r="J55" s="110"/>
      <c r="K55" s="189"/>
      <c r="L55" s="107"/>
      <c r="M55" s="106"/>
      <c r="N55" s="141"/>
      <c r="O55" s="133"/>
      <c r="P55" s="106"/>
      <c r="Q55" s="106"/>
      <c r="R55" s="114"/>
      <c r="S55" s="106"/>
      <c r="T55" s="116"/>
      <c r="U55" s="116"/>
      <c r="V55" s="116"/>
      <c r="W55" s="116"/>
      <c r="X55" s="116"/>
      <c r="Y55" s="116"/>
      <c r="Z55" s="32"/>
      <c r="AA55" s="117"/>
      <c r="AB55" s="118"/>
      <c r="AC55" s="118"/>
      <c r="AD55" s="32"/>
      <c r="AE55" s="32"/>
      <c r="AF55" s="32"/>
    </row>
    <row r="56" ht="18.75" customHeight="1">
      <c r="A56" s="119"/>
      <c r="B56" s="119"/>
      <c r="C56" s="119"/>
      <c r="D56" s="119"/>
      <c r="E56" s="120"/>
      <c r="F56" s="188"/>
      <c r="G56" s="123"/>
      <c r="H56" s="122"/>
      <c r="I56" s="188"/>
      <c r="J56" s="123"/>
      <c r="K56" s="190"/>
      <c r="L56" s="120"/>
      <c r="M56" s="119"/>
      <c r="N56" s="142"/>
      <c r="O56" s="126"/>
      <c r="P56" s="119"/>
      <c r="Q56" s="119"/>
      <c r="R56" s="127"/>
      <c r="S56" s="191"/>
      <c r="T56" s="129"/>
      <c r="U56" s="129"/>
      <c r="V56" s="129"/>
      <c r="W56" s="129"/>
      <c r="X56" s="129"/>
      <c r="Y56" s="129"/>
      <c r="Z56" s="130"/>
      <c r="AA56" s="131"/>
      <c r="AB56" s="132"/>
      <c r="AC56" s="132"/>
      <c r="AD56" s="130"/>
      <c r="AE56" s="130"/>
      <c r="AF56" s="130"/>
    </row>
    <row r="57" ht="18.75" customHeight="1">
      <c r="A57" s="106"/>
      <c r="B57" s="106"/>
      <c r="C57" s="106"/>
      <c r="D57" s="106"/>
      <c r="E57" s="107"/>
      <c r="F57" s="108"/>
      <c r="G57" s="109"/>
      <c r="H57" s="109"/>
      <c r="I57" s="108"/>
      <c r="J57" s="182"/>
      <c r="K57" s="111"/>
      <c r="L57" s="107"/>
      <c r="M57" s="106"/>
      <c r="N57" s="141"/>
      <c r="O57" s="133"/>
      <c r="P57" s="106"/>
      <c r="Q57" s="106"/>
      <c r="R57" s="114"/>
      <c r="S57" s="106"/>
      <c r="T57" s="116"/>
      <c r="U57" s="116"/>
      <c r="V57" s="116"/>
      <c r="W57" s="116"/>
      <c r="X57" s="116"/>
      <c r="Y57" s="116"/>
      <c r="Z57" s="192"/>
      <c r="AA57" s="144"/>
      <c r="AB57" s="114"/>
      <c r="AC57" s="114"/>
      <c r="AD57" s="107"/>
      <c r="AE57" s="107"/>
      <c r="AF57" s="107"/>
    </row>
    <row r="58" ht="18.75" customHeight="1">
      <c r="A58" s="119"/>
      <c r="B58" s="119"/>
      <c r="C58" s="119"/>
      <c r="D58" s="119"/>
      <c r="E58" s="120"/>
      <c r="F58" s="121"/>
      <c r="G58" s="122"/>
      <c r="H58" s="122"/>
      <c r="I58" s="121"/>
      <c r="J58" s="193"/>
      <c r="K58" s="124"/>
      <c r="L58" s="120"/>
      <c r="M58" s="119"/>
      <c r="N58" s="142"/>
      <c r="O58" s="122"/>
      <c r="P58" s="119"/>
      <c r="Q58" s="146"/>
      <c r="R58" s="127"/>
      <c r="S58" s="119"/>
      <c r="T58" s="129"/>
      <c r="U58" s="129"/>
      <c r="V58" s="129"/>
      <c r="W58" s="129"/>
      <c r="X58" s="129"/>
      <c r="Y58" s="129"/>
      <c r="Z58" s="130"/>
      <c r="AA58" s="131"/>
      <c r="AB58" s="132"/>
      <c r="AC58" s="132"/>
      <c r="AD58" s="130"/>
      <c r="AE58" s="130"/>
      <c r="AF58" s="130"/>
    </row>
    <row r="59" ht="18.75" customHeight="1">
      <c r="A59" s="106"/>
      <c r="B59" s="106"/>
      <c r="C59" s="106"/>
      <c r="D59" s="106"/>
      <c r="E59" s="107"/>
      <c r="F59" s="108"/>
      <c r="G59" s="109"/>
      <c r="H59" s="109"/>
      <c r="I59" s="108"/>
      <c r="J59" s="182"/>
      <c r="K59" s="111"/>
      <c r="L59" s="107"/>
      <c r="M59" s="106"/>
      <c r="N59" s="141"/>
      <c r="O59" s="133"/>
      <c r="P59" s="106"/>
      <c r="Q59" s="106"/>
      <c r="R59" s="114"/>
      <c r="S59" s="106"/>
      <c r="T59" s="116"/>
      <c r="U59" s="116"/>
      <c r="V59" s="116"/>
      <c r="W59" s="116"/>
      <c r="X59" s="116"/>
      <c r="Y59" s="116"/>
      <c r="Z59" s="32"/>
      <c r="AA59" s="117"/>
      <c r="AB59" s="118"/>
      <c r="AC59" s="118"/>
      <c r="AD59" s="32"/>
      <c r="AE59" s="32"/>
      <c r="AF59" s="32"/>
    </row>
    <row r="60" ht="18.75" customHeight="1">
      <c r="A60" s="119"/>
      <c r="B60" s="119"/>
      <c r="C60" s="119"/>
      <c r="D60" s="119"/>
      <c r="E60" s="120"/>
      <c r="F60" s="121"/>
      <c r="G60" s="122"/>
      <c r="H60" s="122"/>
      <c r="I60" s="121"/>
      <c r="J60" s="122"/>
      <c r="K60" s="124"/>
      <c r="L60" s="120"/>
      <c r="M60" s="119"/>
      <c r="N60" s="142"/>
      <c r="O60" s="126"/>
      <c r="P60" s="119"/>
      <c r="Q60" s="119"/>
      <c r="R60" s="194"/>
      <c r="S60" s="119"/>
      <c r="T60" s="119"/>
      <c r="U60" s="119"/>
      <c r="V60" s="119"/>
      <c r="W60" s="129"/>
      <c r="X60" s="129"/>
      <c r="Y60" s="129"/>
      <c r="Z60" s="130"/>
      <c r="AA60" s="131"/>
      <c r="AB60" s="132"/>
      <c r="AC60" s="132"/>
      <c r="AD60" s="130"/>
      <c r="AE60" s="130"/>
      <c r="AF60" s="130"/>
    </row>
    <row r="61" ht="18.75" customHeight="1">
      <c r="A61" s="106"/>
      <c r="B61" s="106"/>
      <c r="C61" s="106"/>
      <c r="D61" s="106"/>
      <c r="E61" s="107"/>
      <c r="F61" s="108"/>
      <c r="G61" s="109"/>
      <c r="H61" s="109"/>
      <c r="I61" s="185"/>
      <c r="J61" s="182"/>
      <c r="K61" s="111"/>
      <c r="L61" s="107"/>
      <c r="M61" s="106"/>
      <c r="N61" s="141"/>
      <c r="O61" s="133"/>
      <c r="P61" s="106"/>
      <c r="Q61" s="106"/>
      <c r="R61" s="114"/>
      <c r="S61" s="106"/>
      <c r="T61" s="116"/>
      <c r="U61" s="116"/>
      <c r="V61" s="116"/>
      <c r="W61" s="116"/>
      <c r="X61" s="116"/>
      <c r="Y61" s="116"/>
      <c r="Z61" s="32"/>
      <c r="AA61" s="117"/>
      <c r="AB61" s="118"/>
      <c r="AC61" s="118"/>
      <c r="AD61" s="32"/>
      <c r="AE61" s="32"/>
      <c r="AF61" s="32"/>
    </row>
    <row r="62" ht="18.75" customHeight="1">
      <c r="A62" s="119"/>
      <c r="B62" s="119"/>
      <c r="C62" s="119"/>
      <c r="D62" s="119"/>
      <c r="E62" s="120"/>
      <c r="F62" s="121"/>
      <c r="G62" s="122"/>
      <c r="H62" s="122"/>
      <c r="I62" s="195"/>
      <c r="J62" s="170"/>
      <c r="K62" s="124"/>
      <c r="L62" s="120"/>
      <c r="M62" s="119"/>
      <c r="N62" s="142"/>
      <c r="O62" s="126"/>
      <c r="P62" s="119"/>
      <c r="Q62" s="119"/>
      <c r="R62" s="127"/>
      <c r="S62" s="119"/>
      <c r="T62" s="190"/>
      <c r="U62" s="190"/>
      <c r="V62" s="190"/>
      <c r="W62" s="129"/>
      <c r="X62" s="129"/>
      <c r="Y62" s="129"/>
      <c r="Z62" s="130"/>
      <c r="AA62" s="131"/>
      <c r="AB62" s="132"/>
      <c r="AC62" s="132"/>
      <c r="AD62" s="130"/>
      <c r="AE62" s="130"/>
      <c r="AF62" s="130"/>
    </row>
    <row r="63" ht="18.75" customHeight="1">
      <c r="A63" s="106"/>
      <c r="B63" s="106"/>
      <c r="C63" s="106"/>
      <c r="D63" s="106"/>
      <c r="E63" s="107"/>
      <c r="F63" s="107"/>
      <c r="G63" s="107"/>
      <c r="H63" s="109"/>
      <c r="I63" s="107"/>
      <c r="J63" s="107"/>
      <c r="K63" s="107"/>
      <c r="L63" s="107"/>
      <c r="M63" s="106"/>
      <c r="N63" s="141"/>
      <c r="O63" s="133"/>
      <c r="P63" s="106"/>
      <c r="Q63" s="106"/>
      <c r="R63" s="114"/>
      <c r="S63" s="106"/>
      <c r="T63" s="116"/>
      <c r="U63" s="116"/>
      <c r="V63" s="116"/>
      <c r="W63" s="116"/>
      <c r="X63" s="116"/>
      <c r="Y63" s="116"/>
      <c r="Z63" s="32"/>
      <c r="AA63" s="117"/>
      <c r="AB63" s="118"/>
      <c r="AC63" s="118"/>
      <c r="AD63" s="32"/>
      <c r="AE63" s="32"/>
      <c r="AF63" s="32"/>
    </row>
    <row r="64" ht="18.75" customHeight="1">
      <c r="A64" s="119"/>
      <c r="B64" s="196"/>
      <c r="C64" s="119"/>
      <c r="D64" s="119"/>
      <c r="E64" s="120"/>
      <c r="F64" s="121"/>
      <c r="G64" s="122"/>
      <c r="H64" s="197"/>
      <c r="I64" s="149"/>
      <c r="J64" s="170"/>
      <c r="K64" s="198"/>
      <c r="L64" s="120"/>
      <c r="M64" s="119"/>
      <c r="N64" s="142"/>
      <c r="O64" s="126"/>
      <c r="P64" s="119"/>
      <c r="Q64" s="119"/>
      <c r="R64" s="127"/>
      <c r="S64" s="119"/>
      <c r="T64" s="129"/>
      <c r="U64" s="129"/>
      <c r="V64" s="129"/>
      <c r="W64" s="129"/>
      <c r="X64" s="129"/>
      <c r="Y64" s="129"/>
      <c r="Z64" s="199"/>
      <c r="AA64" s="136"/>
      <c r="AB64" s="127"/>
      <c r="AC64" s="127"/>
      <c r="AD64" s="120"/>
      <c r="AE64" s="120"/>
      <c r="AF64" s="120"/>
    </row>
    <row r="65" ht="18.75" customHeight="1">
      <c r="A65" s="106"/>
      <c r="B65" s="106"/>
      <c r="C65" s="106"/>
      <c r="D65" s="106"/>
      <c r="E65" s="107"/>
      <c r="F65" s="108"/>
      <c r="G65" s="109"/>
      <c r="H65" s="109"/>
      <c r="I65" s="108"/>
      <c r="J65" s="200"/>
      <c r="K65" s="111"/>
      <c r="L65" s="107"/>
      <c r="M65" s="106"/>
      <c r="N65" s="141"/>
      <c r="O65" s="153"/>
      <c r="P65" s="106"/>
      <c r="Q65" s="106"/>
      <c r="R65" s="114"/>
      <c r="S65" s="106"/>
      <c r="T65" s="106"/>
      <c r="U65" s="106"/>
      <c r="V65" s="171"/>
      <c r="W65" s="116"/>
      <c r="X65" s="115"/>
      <c r="Y65" s="116"/>
      <c r="Z65" s="32"/>
      <c r="AA65" s="117"/>
      <c r="AB65" s="118"/>
      <c r="AC65" s="118"/>
      <c r="AD65" s="32"/>
      <c r="AE65" s="32"/>
      <c r="AF65" s="32"/>
    </row>
    <row r="66" ht="18.75" customHeight="1">
      <c r="A66" s="119"/>
      <c r="B66" s="119"/>
      <c r="C66" s="119"/>
      <c r="D66" s="119"/>
      <c r="E66" s="120"/>
      <c r="F66" s="121"/>
      <c r="G66" s="122"/>
      <c r="H66" s="122"/>
      <c r="I66" s="195"/>
      <c r="J66" s="170"/>
      <c r="K66" s="124"/>
      <c r="L66" s="120"/>
      <c r="M66" s="119"/>
      <c r="N66" s="142"/>
      <c r="O66" s="170"/>
      <c r="P66" s="119"/>
      <c r="Q66" s="119"/>
      <c r="R66" s="201"/>
      <c r="S66" s="119"/>
      <c r="T66" s="129"/>
      <c r="U66" s="129"/>
      <c r="V66" s="129"/>
      <c r="W66" s="129"/>
      <c r="X66" s="129"/>
      <c r="Y66" s="129"/>
      <c r="Z66" s="130"/>
      <c r="AA66" s="131"/>
      <c r="AB66" s="132"/>
      <c r="AC66" s="132"/>
      <c r="AD66" s="130"/>
      <c r="AE66" s="130"/>
      <c r="AF66" s="130"/>
    </row>
    <row r="67" ht="18.75" customHeight="1">
      <c r="A67" s="202"/>
      <c r="B67" s="203"/>
      <c r="C67" s="106"/>
      <c r="D67" s="106"/>
      <c r="E67" s="107"/>
      <c r="F67" s="108"/>
      <c r="G67" s="109"/>
      <c r="H67" s="109"/>
      <c r="I67" s="108"/>
      <c r="J67" s="182"/>
      <c r="K67" s="204"/>
      <c r="L67" s="107"/>
      <c r="M67" s="106"/>
      <c r="N67" s="141"/>
      <c r="O67" s="133"/>
      <c r="P67" s="106"/>
      <c r="Q67" s="106"/>
      <c r="R67" s="114"/>
      <c r="S67" s="106"/>
      <c r="T67" s="116"/>
      <c r="U67" s="116"/>
      <c r="V67" s="116"/>
      <c r="W67" s="116"/>
      <c r="X67" s="116"/>
      <c r="Y67" s="116"/>
      <c r="Z67" s="140"/>
      <c r="AA67" s="144"/>
      <c r="AB67" s="114"/>
      <c r="AC67" s="114"/>
      <c r="AD67" s="107"/>
      <c r="AE67" s="107"/>
      <c r="AF67" s="107"/>
    </row>
    <row r="68" ht="18.75" customHeight="1">
      <c r="A68" s="119"/>
      <c r="B68" s="119"/>
      <c r="C68" s="119"/>
      <c r="D68" s="119"/>
      <c r="E68" s="120"/>
      <c r="F68" s="121"/>
      <c r="G68" s="122"/>
      <c r="H68" s="122"/>
      <c r="I68" s="121"/>
      <c r="J68" s="157"/>
      <c r="K68" s="205"/>
      <c r="L68" s="120"/>
      <c r="M68" s="119"/>
      <c r="N68" s="142"/>
      <c r="O68" s="157"/>
      <c r="P68" s="119"/>
      <c r="Q68" s="119"/>
      <c r="R68" s="127"/>
      <c r="S68" s="119"/>
      <c r="T68" s="119"/>
      <c r="U68" s="119"/>
      <c r="V68" s="119"/>
      <c r="W68" s="129"/>
      <c r="X68" s="129"/>
      <c r="Y68" s="129"/>
      <c r="Z68" s="130"/>
      <c r="AA68" s="131"/>
      <c r="AB68" s="132"/>
      <c r="AC68" s="132"/>
      <c r="AD68" s="130"/>
      <c r="AE68" s="130"/>
      <c r="AF68" s="130"/>
    </row>
    <row r="69" ht="18.75" customHeight="1">
      <c r="A69" s="106"/>
      <c r="B69" s="106"/>
      <c r="C69" s="106"/>
      <c r="D69" s="106"/>
      <c r="E69" s="107"/>
      <c r="F69" s="108"/>
      <c r="G69" s="206"/>
      <c r="H69" s="206"/>
      <c r="I69" s="189"/>
      <c r="J69" s="207"/>
      <c r="K69" s="208"/>
      <c r="L69" s="107"/>
      <c r="M69" s="106"/>
      <c r="N69" s="141"/>
      <c r="O69" s="207"/>
      <c r="P69" s="106"/>
      <c r="Q69" s="106"/>
      <c r="R69" s="114"/>
      <c r="S69" s="106"/>
      <c r="T69" s="106"/>
      <c r="U69" s="106"/>
      <c r="V69" s="106"/>
      <c r="W69" s="116"/>
      <c r="X69" s="116"/>
      <c r="Y69" s="116"/>
      <c r="Z69" s="32"/>
      <c r="AA69" s="117"/>
      <c r="AB69" s="118"/>
      <c r="AC69" s="118"/>
      <c r="AD69" s="32"/>
      <c r="AE69" s="32"/>
      <c r="AF69" s="32"/>
    </row>
    <row r="70" ht="18.75" customHeight="1">
      <c r="A70" s="119"/>
      <c r="B70" s="119"/>
      <c r="C70" s="119"/>
      <c r="D70" s="119"/>
      <c r="E70" s="120"/>
      <c r="F70" s="121"/>
      <c r="G70" s="122"/>
      <c r="H70" s="197"/>
      <c r="I70" s="121"/>
      <c r="J70" s="157"/>
      <c r="K70" s="205"/>
      <c r="L70" s="120"/>
      <c r="M70" s="119"/>
      <c r="N70" s="142"/>
      <c r="O70" s="157"/>
      <c r="P70" s="119"/>
      <c r="Q70" s="119"/>
      <c r="R70" s="127"/>
      <c r="S70" s="119"/>
      <c r="T70" s="119"/>
      <c r="U70" s="119"/>
      <c r="V70" s="119"/>
      <c r="W70" s="129"/>
      <c r="X70" s="129"/>
      <c r="Y70" s="129"/>
      <c r="Z70" s="130"/>
      <c r="AA70" s="131"/>
      <c r="AB70" s="132"/>
      <c r="AC70" s="132"/>
      <c r="AD70" s="130"/>
      <c r="AE70" s="130"/>
      <c r="AF70" s="130"/>
    </row>
    <row r="71" ht="18.75" customHeight="1">
      <c r="A71" s="106"/>
      <c r="B71" s="106"/>
      <c r="C71" s="106"/>
      <c r="D71" s="106"/>
      <c r="E71" s="107"/>
      <c r="F71" s="108"/>
      <c r="G71" s="109"/>
      <c r="H71" s="206"/>
      <c r="I71" s="189"/>
      <c r="J71" s="207"/>
      <c r="K71" s="111"/>
      <c r="L71" s="107"/>
      <c r="M71" s="106"/>
      <c r="N71" s="141"/>
      <c r="O71" s="207"/>
      <c r="P71" s="106"/>
      <c r="Q71" s="106"/>
      <c r="R71" s="114"/>
      <c r="S71" s="106"/>
      <c r="T71" s="106"/>
      <c r="U71" s="106"/>
      <c r="V71" s="106"/>
      <c r="W71" s="116"/>
      <c r="X71" s="116"/>
      <c r="Y71" s="116"/>
      <c r="Z71" s="140"/>
      <c r="AA71" s="144"/>
      <c r="AB71" s="114"/>
      <c r="AC71" s="114"/>
      <c r="AD71" s="107"/>
      <c r="AE71" s="32"/>
      <c r="AF71" s="107"/>
    </row>
    <row r="72" ht="18.75" customHeight="1">
      <c r="A72" s="119"/>
      <c r="B72" s="119"/>
      <c r="C72" s="119"/>
      <c r="D72" s="119"/>
      <c r="E72" s="120"/>
      <c r="F72" s="209"/>
      <c r="G72" s="122"/>
      <c r="H72" s="122"/>
      <c r="I72" s="209"/>
      <c r="J72" s="157"/>
      <c r="K72" s="124"/>
      <c r="L72" s="120"/>
      <c r="M72" s="119"/>
      <c r="N72" s="142"/>
      <c r="O72" s="157"/>
      <c r="P72" s="119"/>
      <c r="Q72" s="119"/>
      <c r="R72" s="127"/>
      <c r="S72" s="119"/>
      <c r="T72" s="119"/>
      <c r="U72" s="119"/>
      <c r="V72" s="119"/>
      <c r="W72" s="129"/>
      <c r="X72" s="129"/>
      <c r="Y72" s="129"/>
      <c r="Z72" s="130"/>
      <c r="AA72" s="131"/>
      <c r="AB72" s="132"/>
      <c r="AC72" s="132"/>
      <c r="AD72" s="130"/>
      <c r="AE72" s="130"/>
      <c r="AF72" s="130"/>
    </row>
    <row r="73" ht="18.75" customHeight="1">
      <c r="A73" s="106"/>
      <c r="B73" s="106"/>
      <c r="C73" s="106"/>
      <c r="D73" s="106"/>
      <c r="E73" s="107"/>
      <c r="F73" s="108"/>
      <c r="G73" s="109"/>
      <c r="H73" s="109"/>
      <c r="I73" s="192"/>
      <c r="J73" s="182"/>
      <c r="K73" s="210"/>
      <c r="L73" s="107"/>
      <c r="M73" s="106"/>
      <c r="N73" s="141"/>
      <c r="O73" s="207"/>
      <c r="P73" s="106"/>
      <c r="Q73" s="106"/>
      <c r="R73" s="114"/>
      <c r="S73" s="116"/>
      <c r="T73" s="116"/>
      <c r="U73" s="116"/>
      <c r="V73" s="116"/>
      <c r="W73" s="116"/>
      <c r="X73" s="116"/>
      <c r="Y73" s="116"/>
      <c r="Z73" s="32"/>
      <c r="AA73" s="117"/>
      <c r="AB73" s="118"/>
      <c r="AC73" s="118"/>
      <c r="AD73" s="32"/>
      <c r="AE73" s="32"/>
      <c r="AF73" s="32"/>
    </row>
    <row r="74" ht="18.75" customHeight="1">
      <c r="A74" s="119"/>
      <c r="B74" s="119"/>
      <c r="C74" s="119"/>
      <c r="D74" s="119"/>
      <c r="E74" s="120"/>
      <c r="F74" s="121"/>
      <c r="G74" s="122"/>
      <c r="H74" s="122"/>
      <c r="I74" s="121"/>
      <c r="J74" s="170"/>
      <c r="K74" s="124"/>
      <c r="L74" s="120"/>
      <c r="M74" s="119"/>
      <c r="N74" s="142"/>
      <c r="O74" s="126"/>
      <c r="P74" s="119"/>
      <c r="Q74" s="128"/>
      <c r="R74" s="127"/>
      <c r="S74" s="119"/>
      <c r="T74" s="119"/>
      <c r="U74" s="129"/>
      <c r="V74" s="119"/>
      <c r="W74" s="119"/>
      <c r="X74" s="129"/>
      <c r="Y74" s="119"/>
      <c r="Z74" s="130"/>
      <c r="AA74" s="131"/>
      <c r="AB74" s="132"/>
      <c r="AC74" s="132"/>
      <c r="AD74" s="130"/>
      <c r="AE74" s="130"/>
      <c r="AF74" s="130"/>
    </row>
    <row r="75" ht="18.75" customHeight="1">
      <c r="A75" s="211"/>
      <c r="B75" s="160"/>
      <c r="C75" s="211"/>
      <c r="D75" s="106"/>
      <c r="E75" s="212"/>
      <c r="F75" s="160"/>
      <c r="G75" s="160"/>
      <c r="H75" s="213"/>
      <c r="I75" s="160"/>
      <c r="J75" s="200"/>
      <c r="K75" s="118"/>
      <c r="L75" s="107"/>
      <c r="M75" s="160"/>
      <c r="N75" s="141"/>
      <c r="O75" s="153"/>
      <c r="P75" s="106"/>
      <c r="Q75" s="106"/>
      <c r="R75" s="118"/>
      <c r="S75" s="106"/>
      <c r="T75" s="116"/>
      <c r="U75" s="116"/>
      <c r="V75" s="116"/>
      <c r="W75" s="214"/>
      <c r="X75" s="214"/>
      <c r="Y75" s="214"/>
      <c r="Z75" s="215"/>
      <c r="AA75" s="216"/>
      <c r="AB75" s="217"/>
      <c r="AC75" s="217"/>
      <c r="AD75" s="215"/>
      <c r="AE75" s="215"/>
      <c r="AF75" s="215"/>
    </row>
    <row r="76">
      <c r="A76" s="218"/>
      <c r="B76" s="219"/>
      <c r="C76" s="218"/>
      <c r="D76" s="119"/>
      <c r="E76" s="220"/>
      <c r="F76" s="219"/>
      <c r="G76" s="219"/>
      <c r="H76" s="221"/>
      <c r="I76" s="219"/>
      <c r="J76" s="187"/>
      <c r="K76" s="127"/>
      <c r="L76" s="120"/>
      <c r="M76" s="219"/>
      <c r="N76" s="142"/>
      <c r="O76" s="161"/>
      <c r="P76" s="119"/>
      <c r="Q76" s="119"/>
      <c r="R76" s="132"/>
      <c r="S76" s="119"/>
      <c r="T76" s="129"/>
      <c r="U76" s="129"/>
      <c r="V76" s="129"/>
      <c r="W76" s="222"/>
      <c r="X76" s="222"/>
      <c r="Y76" s="222"/>
      <c r="Z76" s="223"/>
      <c r="AA76" s="224"/>
      <c r="AB76" s="225"/>
      <c r="AC76" s="225"/>
      <c r="AD76" s="223"/>
      <c r="AE76" s="223"/>
      <c r="AF76" s="223"/>
    </row>
    <row r="77" ht="18.75" customHeight="1">
      <c r="A77" s="106"/>
      <c r="B77" s="106"/>
      <c r="C77" s="106"/>
      <c r="D77" s="106"/>
      <c r="E77" s="107"/>
      <c r="F77" s="160"/>
      <c r="G77" s="160"/>
      <c r="H77" s="109"/>
      <c r="I77" s="160"/>
      <c r="J77" s="153"/>
      <c r="K77" s="111"/>
      <c r="L77" s="107"/>
      <c r="M77" s="106"/>
      <c r="N77" s="141"/>
      <c r="O77" s="153"/>
      <c r="P77" s="160"/>
      <c r="Q77" s="106"/>
      <c r="R77" s="114"/>
      <c r="S77" s="106"/>
      <c r="T77" s="106"/>
      <c r="U77" s="106"/>
      <c r="V77" s="106"/>
      <c r="W77" s="116"/>
      <c r="X77" s="116"/>
      <c r="Y77" s="116"/>
      <c r="Z77" s="32"/>
      <c r="AA77" s="117"/>
      <c r="AB77" s="118"/>
      <c r="AC77" s="118"/>
      <c r="AD77" s="32"/>
      <c r="AE77" s="32"/>
      <c r="AF77" s="32"/>
    </row>
    <row r="78" ht="18.75" customHeight="1">
      <c r="A78" s="226"/>
      <c r="B78" s="226"/>
      <c r="C78" s="226"/>
      <c r="D78" s="227"/>
      <c r="E78" s="228"/>
      <c r="F78" s="219"/>
      <c r="G78" s="219"/>
      <c r="H78" s="229"/>
      <c r="I78" s="219"/>
      <c r="J78" s="230"/>
      <c r="K78" s="231"/>
      <c r="L78" s="120"/>
      <c r="M78" s="232"/>
      <c r="N78" s="233"/>
      <c r="O78" s="230"/>
      <c r="P78" s="226"/>
      <c r="Q78" s="226"/>
      <c r="R78" s="234"/>
      <c r="S78" s="226"/>
      <c r="T78" s="226"/>
      <c r="U78" s="226"/>
      <c r="V78" s="226"/>
      <c r="W78" s="235"/>
      <c r="X78" s="235"/>
      <c r="Y78" s="235"/>
      <c r="Z78" s="236"/>
      <c r="AA78" s="237"/>
      <c r="AB78" s="238"/>
      <c r="AC78" s="238"/>
      <c r="AD78" s="236"/>
      <c r="AE78" s="236"/>
      <c r="AF78" s="236"/>
    </row>
    <row r="79" ht="18.75" customHeight="1">
      <c r="A79" s="106"/>
      <c r="B79" s="106"/>
      <c r="C79" s="106"/>
      <c r="D79" s="106"/>
      <c r="E79" s="107"/>
      <c r="F79" s="160"/>
      <c r="G79" s="160"/>
      <c r="H79" s="109"/>
      <c r="I79" s="160"/>
      <c r="J79" s="182"/>
      <c r="K79" s="111"/>
      <c r="L79" s="107"/>
      <c r="M79" s="106"/>
      <c r="N79" s="141"/>
      <c r="O79" s="133"/>
      <c r="P79" s="106"/>
      <c r="Q79" s="106"/>
      <c r="R79" s="114"/>
      <c r="S79" s="106"/>
      <c r="T79" s="116"/>
      <c r="U79" s="116"/>
      <c r="V79" s="116"/>
      <c r="W79" s="116"/>
      <c r="X79" s="116"/>
      <c r="Y79" s="116"/>
      <c r="Z79" s="140"/>
      <c r="AA79" s="144"/>
      <c r="AB79" s="114"/>
      <c r="AC79" s="114"/>
      <c r="AD79" s="107"/>
      <c r="AE79" s="107"/>
      <c r="AF79" s="107"/>
    </row>
    <row r="80" ht="18.75" customHeight="1">
      <c r="A80" s="119"/>
      <c r="B80" s="119"/>
      <c r="C80" s="119"/>
      <c r="D80" s="119"/>
      <c r="E80" s="120"/>
      <c r="F80" s="121"/>
      <c r="G80" s="122"/>
      <c r="H80" s="122"/>
      <c r="I80" s="156"/>
      <c r="J80" s="170"/>
      <c r="K80" s="124"/>
      <c r="L80" s="120"/>
      <c r="M80" s="119"/>
      <c r="N80" s="142"/>
      <c r="O80" s="126"/>
      <c r="P80" s="119"/>
      <c r="Q80" s="119"/>
      <c r="R80" s="127"/>
      <c r="S80" s="119"/>
      <c r="T80" s="129"/>
      <c r="U80" s="129"/>
      <c r="V80" s="129"/>
      <c r="W80" s="129"/>
      <c r="X80" s="129"/>
      <c r="Y80" s="129"/>
      <c r="Z80" s="165"/>
      <c r="AA80" s="136"/>
      <c r="AB80" s="127"/>
      <c r="AC80" s="127"/>
      <c r="AD80" s="120"/>
      <c r="AE80" s="120"/>
      <c r="AF80" s="120"/>
    </row>
    <row r="81" ht="18.75" customHeight="1">
      <c r="A81" s="106"/>
      <c r="B81" s="106"/>
      <c r="C81" s="106"/>
      <c r="D81" s="106"/>
      <c r="E81" s="107"/>
      <c r="F81" s="108"/>
      <c r="G81" s="133"/>
      <c r="H81" s="133"/>
      <c r="I81" s="189"/>
      <c r="J81" s="207"/>
      <c r="K81" s="111"/>
      <c r="L81" s="107"/>
      <c r="M81" s="106"/>
      <c r="N81" s="141"/>
      <c r="O81" s="207"/>
      <c r="P81" s="106"/>
      <c r="Q81" s="106"/>
      <c r="R81" s="114"/>
      <c r="S81" s="106"/>
      <c r="T81" s="106"/>
      <c r="U81" s="106"/>
      <c r="V81" s="106"/>
      <c r="W81" s="116"/>
      <c r="X81" s="116"/>
      <c r="Y81" s="116"/>
      <c r="Z81" s="32"/>
      <c r="AA81" s="117"/>
      <c r="AB81" s="118"/>
      <c r="AC81" s="118"/>
      <c r="AD81" s="32"/>
      <c r="AE81" s="32"/>
      <c r="AF81" s="32"/>
    </row>
    <row r="82" ht="18.75" customHeight="1">
      <c r="A82" s="119"/>
      <c r="B82" s="119"/>
      <c r="C82" s="119"/>
      <c r="D82" s="119"/>
      <c r="E82" s="120"/>
      <c r="F82" s="121"/>
      <c r="G82" s="239"/>
      <c r="H82" s="126"/>
      <c r="I82" s="121"/>
      <c r="J82" s="239"/>
      <c r="K82" s="124"/>
      <c r="L82" s="120"/>
      <c r="M82" s="119"/>
      <c r="N82" s="142"/>
      <c r="O82" s="157"/>
      <c r="P82" s="119"/>
      <c r="Q82" s="119"/>
      <c r="R82" s="132"/>
      <c r="S82" s="119"/>
      <c r="T82" s="119"/>
      <c r="U82" s="129"/>
      <c r="V82" s="129"/>
      <c r="W82" s="129"/>
      <c r="X82" s="129"/>
      <c r="Y82" s="129"/>
      <c r="Z82" s="130"/>
      <c r="AA82" s="131"/>
      <c r="AB82" s="127"/>
      <c r="AC82" s="127"/>
      <c r="AD82" s="120"/>
      <c r="AE82" s="120"/>
      <c r="AF82" s="120"/>
    </row>
    <row r="83" ht="18.75" customHeight="1">
      <c r="A83" s="106"/>
      <c r="B83" s="106"/>
      <c r="C83" s="106"/>
      <c r="D83" s="106"/>
      <c r="E83" s="107"/>
      <c r="F83" s="108"/>
      <c r="G83" s="109"/>
      <c r="H83" s="109"/>
      <c r="I83" s="192"/>
      <c r="J83" s="207"/>
      <c r="K83" s="111"/>
      <c r="L83" s="107"/>
      <c r="M83" s="106"/>
      <c r="N83" s="141"/>
      <c r="O83" s="133"/>
      <c r="P83" s="106"/>
      <c r="Q83" s="106"/>
      <c r="R83" s="114"/>
      <c r="S83" s="106"/>
      <c r="T83" s="106"/>
      <c r="U83" s="106"/>
      <c r="V83" s="106"/>
      <c r="W83" s="116"/>
      <c r="X83" s="116"/>
      <c r="Y83" s="116"/>
      <c r="Z83" s="32"/>
      <c r="AA83" s="117"/>
      <c r="AB83" s="118"/>
      <c r="AC83" s="118"/>
      <c r="AD83" s="32"/>
      <c r="AE83" s="32"/>
      <c r="AF83" s="32"/>
    </row>
    <row r="84" ht="18.75" customHeight="1">
      <c r="A84" s="119"/>
      <c r="B84" s="119"/>
      <c r="C84" s="119"/>
      <c r="D84" s="119"/>
      <c r="E84" s="120"/>
      <c r="F84" s="121"/>
      <c r="G84" s="122"/>
      <c r="H84" s="122"/>
      <c r="I84" s="121"/>
      <c r="J84" s="161"/>
      <c r="K84" s="124"/>
      <c r="L84" s="120"/>
      <c r="M84" s="119"/>
      <c r="N84" s="142"/>
      <c r="O84" s="161"/>
      <c r="P84" s="119"/>
      <c r="Q84" s="119"/>
      <c r="R84" s="127"/>
      <c r="S84" s="119"/>
      <c r="T84" s="129"/>
      <c r="U84" s="129"/>
      <c r="V84" s="129"/>
      <c r="W84" s="129"/>
      <c r="X84" s="129"/>
      <c r="Y84" s="129"/>
      <c r="Z84" s="130"/>
      <c r="AA84" s="131"/>
      <c r="AB84" s="132"/>
      <c r="AC84" s="132"/>
      <c r="AD84" s="130"/>
      <c r="AE84" s="130"/>
      <c r="AF84" s="130"/>
    </row>
    <row r="85" ht="18.75" customHeight="1">
      <c r="A85" s="106"/>
      <c r="B85" s="106"/>
      <c r="C85" s="106"/>
      <c r="D85" s="106"/>
      <c r="E85" s="107"/>
      <c r="F85" s="108"/>
      <c r="G85" s="109"/>
      <c r="H85" s="109"/>
      <c r="I85" s="108"/>
      <c r="J85" s="153"/>
      <c r="K85" s="111"/>
      <c r="L85" s="107"/>
      <c r="M85" s="106"/>
      <c r="N85" s="141"/>
      <c r="O85" s="153"/>
      <c r="P85" s="160"/>
      <c r="Q85" s="106"/>
      <c r="R85" s="114"/>
      <c r="S85" s="106"/>
      <c r="T85" s="106"/>
      <c r="U85" s="116"/>
      <c r="V85" s="116"/>
      <c r="W85" s="116"/>
      <c r="X85" s="116"/>
      <c r="Y85" s="116"/>
      <c r="Z85" s="32"/>
      <c r="AA85" s="117"/>
      <c r="AB85" s="118"/>
      <c r="AC85" s="118"/>
      <c r="AD85" s="32"/>
      <c r="AE85" s="32"/>
      <c r="AF85" s="32"/>
    </row>
    <row r="86" ht="18.75" customHeight="1">
      <c r="A86" s="119"/>
      <c r="B86" s="119"/>
      <c r="C86" s="119"/>
      <c r="D86" s="119"/>
      <c r="E86" s="120"/>
      <c r="F86" s="121"/>
      <c r="G86" s="122"/>
      <c r="H86" s="122"/>
      <c r="I86" s="195"/>
      <c r="J86" s="170"/>
      <c r="K86" s="124"/>
      <c r="L86" s="120"/>
      <c r="M86" s="119"/>
      <c r="N86" s="142"/>
      <c r="O86" s="126"/>
      <c r="P86" s="119"/>
      <c r="Q86" s="119"/>
      <c r="R86" s="127"/>
      <c r="S86" s="119"/>
      <c r="T86" s="129"/>
      <c r="U86" s="129"/>
      <c r="V86" s="129"/>
      <c r="W86" s="129"/>
      <c r="X86" s="129"/>
      <c r="Y86" s="129"/>
      <c r="Z86" s="165"/>
      <c r="AA86" s="136"/>
      <c r="AB86" s="127"/>
      <c r="AC86" s="127"/>
      <c r="AD86" s="120"/>
      <c r="AE86" s="120"/>
      <c r="AF86" s="120"/>
    </row>
    <row r="87" ht="18.75" customHeight="1">
      <c r="A87" s="106"/>
      <c r="B87" s="106"/>
      <c r="C87" s="106"/>
      <c r="D87" s="106"/>
      <c r="E87" s="107"/>
      <c r="F87" s="108"/>
      <c r="G87" s="109"/>
      <c r="H87" s="109"/>
      <c r="I87" s="108"/>
      <c r="J87" s="207"/>
      <c r="K87" s="111"/>
      <c r="L87" s="107"/>
      <c r="M87" s="106"/>
      <c r="N87" s="141"/>
      <c r="O87" s="207"/>
      <c r="P87" s="106"/>
      <c r="Q87" s="106"/>
      <c r="R87" s="240"/>
      <c r="S87" s="106"/>
      <c r="T87" s="116"/>
      <c r="U87" s="116"/>
      <c r="V87" s="106"/>
      <c r="W87" s="116"/>
      <c r="X87" s="116"/>
      <c r="Y87" s="116"/>
      <c r="Z87" s="32"/>
      <c r="AA87" s="117"/>
      <c r="AB87" s="118"/>
      <c r="AC87" s="118"/>
      <c r="AD87" s="32"/>
      <c r="AE87" s="32"/>
      <c r="AF87" s="32"/>
    </row>
    <row r="88" ht="18.75" customHeight="1">
      <c r="A88" s="119"/>
      <c r="B88" s="119"/>
      <c r="C88" s="119"/>
      <c r="D88" s="119"/>
      <c r="E88" s="120"/>
      <c r="F88" s="121"/>
      <c r="G88" s="122"/>
      <c r="H88" s="122"/>
      <c r="I88" s="121"/>
      <c r="J88" s="122"/>
      <c r="K88" s="241"/>
      <c r="L88" s="120"/>
      <c r="M88" s="119"/>
      <c r="N88" s="142"/>
      <c r="O88" s="157"/>
      <c r="P88" s="119"/>
      <c r="Q88" s="242"/>
      <c r="R88" s="243"/>
      <c r="S88" s="119"/>
      <c r="T88" s="129"/>
      <c r="U88" s="129"/>
      <c r="V88" s="129"/>
      <c r="W88" s="129"/>
      <c r="X88" s="129"/>
      <c r="Y88" s="129"/>
      <c r="Z88" s="130"/>
      <c r="AA88" s="136"/>
      <c r="AB88" s="132"/>
      <c r="AC88" s="132"/>
      <c r="AD88" s="130"/>
      <c r="AE88" s="130"/>
      <c r="AF88" s="130"/>
    </row>
    <row r="89" ht="18.75" customHeight="1">
      <c r="A89" s="106"/>
      <c r="B89" s="106"/>
      <c r="C89" s="106"/>
      <c r="D89" s="106"/>
      <c r="E89" s="107"/>
      <c r="F89" s="108"/>
      <c r="G89" s="109"/>
      <c r="H89" s="109"/>
      <c r="I89" s="108"/>
      <c r="J89" s="153"/>
      <c r="K89" s="111"/>
      <c r="L89" s="107"/>
      <c r="M89" s="106"/>
      <c r="N89" s="141"/>
      <c r="O89" s="153"/>
      <c r="P89" s="106"/>
      <c r="Q89" s="106"/>
      <c r="R89" s="114"/>
      <c r="S89" s="106"/>
      <c r="T89" s="116"/>
      <c r="U89" s="116"/>
      <c r="V89" s="116"/>
      <c r="W89" s="116"/>
      <c r="X89" s="116"/>
      <c r="Y89" s="116"/>
      <c r="Z89" s="32"/>
      <c r="AA89" s="117"/>
      <c r="AB89" s="118"/>
      <c r="AC89" s="118"/>
      <c r="AD89" s="32"/>
      <c r="AE89" s="32"/>
      <c r="AF89" s="32"/>
    </row>
    <row r="90" ht="18.75" customHeight="1">
      <c r="A90" s="119"/>
      <c r="B90" s="119"/>
      <c r="C90" s="119"/>
      <c r="D90" s="119"/>
      <c r="E90" s="120"/>
      <c r="F90" s="121"/>
      <c r="G90" s="122"/>
      <c r="H90" s="122"/>
      <c r="I90" s="121"/>
      <c r="J90" s="161"/>
      <c r="K90" s="124"/>
      <c r="L90" s="120"/>
      <c r="M90" s="119"/>
      <c r="N90" s="142"/>
      <c r="O90" s="161"/>
      <c r="P90" s="119"/>
      <c r="Q90" s="119"/>
      <c r="R90" s="127"/>
      <c r="S90" s="119"/>
      <c r="T90" s="129"/>
      <c r="U90" s="129"/>
      <c r="V90" s="129"/>
      <c r="W90" s="129"/>
      <c r="X90" s="129"/>
      <c r="Y90" s="129"/>
      <c r="Z90" s="130"/>
      <c r="AA90" s="131"/>
      <c r="AB90" s="132"/>
      <c r="AC90" s="132"/>
      <c r="AD90" s="130"/>
      <c r="AE90" s="130"/>
      <c r="AF90" s="130"/>
    </row>
    <row r="91" ht="18.75" customHeight="1">
      <c r="A91" s="106"/>
      <c r="B91" s="106"/>
      <c r="C91" s="106"/>
      <c r="D91" s="106"/>
      <c r="E91" s="107"/>
      <c r="F91" s="108"/>
      <c r="G91" s="109"/>
      <c r="H91" s="206"/>
      <c r="I91" s="185"/>
      <c r="J91" s="153"/>
      <c r="K91" s="111"/>
      <c r="L91" s="107"/>
      <c r="M91" s="106"/>
      <c r="N91" s="141"/>
      <c r="O91" s="153"/>
      <c r="P91" s="160"/>
      <c r="Q91" s="106"/>
      <c r="R91" s="240"/>
      <c r="S91" s="106"/>
      <c r="T91" s="116"/>
      <c r="U91" s="116"/>
      <c r="V91" s="116"/>
      <c r="W91" s="116"/>
      <c r="X91" s="116"/>
      <c r="Y91" s="116"/>
      <c r="Z91" s="32"/>
      <c r="AA91" s="144"/>
      <c r="AB91" s="118"/>
      <c r="AC91" s="118"/>
      <c r="AD91" s="32"/>
      <c r="AE91" s="32"/>
      <c r="AF91" s="32"/>
    </row>
    <row r="92" ht="18.75" customHeight="1">
      <c r="A92" s="119"/>
      <c r="B92" s="119"/>
      <c r="C92" s="119"/>
      <c r="D92" s="119"/>
      <c r="E92" s="120"/>
      <c r="F92" s="220"/>
      <c r="G92" s="197"/>
      <c r="H92" s="197"/>
      <c r="I92" s="120"/>
      <c r="J92" s="161"/>
      <c r="K92" s="205"/>
      <c r="L92" s="120"/>
      <c r="M92" s="119"/>
      <c r="N92" s="142"/>
      <c r="O92" s="161"/>
      <c r="P92" s="119"/>
      <c r="Q92" s="119"/>
      <c r="R92" s="127"/>
      <c r="S92" s="119"/>
      <c r="T92" s="129"/>
      <c r="U92" s="129"/>
      <c r="V92" s="129"/>
      <c r="W92" s="129"/>
      <c r="X92" s="129"/>
      <c r="Y92" s="129"/>
      <c r="Z92" s="130"/>
      <c r="AA92" s="131"/>
      <c r="AB92" s="132"/>
      <c r="AC92" s="132"/>
      <c r="AD92" s="130"/>
      <c r="AE92" s="130"/>
      <c r="AF92" s="130"/>
    </row>
    <row r="93" ht="18.75" customHeight="1">
      <c r="A93" s="211"/>
      <c r="B93" s="160"/>
      <c r="C93" s="211"/>
      <c r="D93" s="106"/>
      <c r="E93" s="212"/>
      <c r="F93" s="244"/>
      <c r="G93" s="245"/>
      <c r="H93" s="213"/>
      <c r="I93" s="244"/>
      <c r="J93" s="200"/>
      <c r="K93" s="114"/>
      <c r="L93" s="107"/>
      <c r="M93" s="160"/>
      <c r="N93" s="141"/>
      <c r="O93" s="153"/>
      <c r="P93" s="106"/>
      <c r="Q93" s="106"/>
      <c r="R93" s="118"/>
      <c r="S93" s="106"/>
      <c r="T93" s="116"/>
      <c r="U93" s="116"/>
      <c r="V93" s="116"/>
      <c r="W93" s="214"/>
      <c r="X93" s="214"/>
      <c r="Y93" s="214"/>
      <c r="Z93" s="215"/>
      <c r="AA93" s="216"/>
      <c r="AB93" s="217"/>
      <c r="AC93" s="217"/>
      <c r="AD93" s="215"/>
      <c r="AE93" s="215"/>
      <c r="AF93" s="215"/>
    </row>
    <row r="94" ht="18.75" customHeight="1">
      <c r="A94" s="119"/>
      <c r="B94" s="119"/>
      <c r="C94" s="119"/>
      <c r="D94" s="119"/>
      <c r="E94" s="120"/>
      <c r="F94" s="121"/>
      <c r="G94" s="122"/>
      <c r="H94" s="122"/>
      <c r="I94" s="121"/>
      <c r="J94" s="246"/>
      <c r="K94" s="124"/>
      <c r="L94" s="120"/>
      <c r="M94" s="119"/>
      <c r="N94" s="142"/>
      <c r="O94" s="126"/>
      <c r="P94" s="119"/>
      <c r="Q94" s="119"/>
      <c r="R94" s="127"/>
      <c r="S94" s="119"/>
      <c r="T94" s="129"/>
      <c r="U94" s="129"/>
      <c r="V94" s="129"/>
      <c r="W94" s="129"/>
      <c r="X94" s="129"/>
      <c r="Y94" s="129"/>
      <c r="Z94" s="165"/>
      <c r="AA94" s="136"/>
      <c r="AB94" s="127"/>
      <c r="AC94" s="127"/>
      <c r="AD94" s="120"/>
      <c r="AE94" s="120"/>
      <c r="AF94" s="120"/>
    </row>
    <row r="95" ht="18.75" customHeight="1">
      <c r="A95" s="106"/>
      <c r="B95" s="106"/>
      <c r="C95" s="106"/>
      <c r="D95" s="106"/>
      <c r="E95" s="107"/>
      <c r="F95" s="247"/>
      <c r="G95" s="247"/>
      <c r="H95" s="206"/>
      <c r="I95" s="247"/>
      <c r="J95" s="247"/>
      <c r="K95" s="247"/>
      <c r="L95" s="107"/>
      <c r="M95" s="247"/>
      <c r="N95" s="141"/>
      <c r="O95" s="133"/>
      <c r="P95" s="160"/>
      <c r="Q95" s="106"/>
      <c r="R95" s="114"/>
      <c r="S95" s="106"/>
      <c r="T95" s="116"/>
      <c r="U95" s="116"/>
      <c r="V95" s="116"/>
      <c r="W95" s="116"/>
      <c r="X95" s="116"/>
      <c r="Y95" s="116"/>
      <c r="Z95" s="32"/>
      <c r="AA95" s="117"/>
      <c r="AB95" s="118"/>
      <c r="AC95" s="118"/>
      <c r="AD95" s="32"/>
      <c r="AE95" s="32"/>
      <c r="AF95" s="32"/>
    </row>
    <row r="96" ht="18.75" customHeight="1">
      <c r="A96" s="135"/>
      <c r="B96" s="135"/>
      <c r="C96" s="135"/>
      <c r="D96" s="135"/>
      <c r="E96" s="188"/>
      <c r="F96" s="195"/>
      <c r="G96" s="166"/>
      <c r="H96" s="166"/>
      <c r="I96" s="195"/>
      <c r="J96" s="193"/>
      <c r="K96" s="248"/>
      <c r="L96" s="188"/>
      <c r="M96" s="135"/>
      <c r="N96" s="142"/>
      <c r="O96" s="249"/>
      <c r="P96" s="135"/>
      <c r="Q96" s="135"/>
      <c r="R96" s="159"/>
      <c r="S96" s="135"/>
      <c r="T96" s="250"/>
      <c r="U96" s="250"/>
      <c r="V96" s="250"/>
      <c r="W96" s="250"/>
      <c r="X96" s="250"/>
      <c r="Y96" s="250"/>
      <c r="Z96" s="251"/>
      <c r="AA96" s="252"/>
      <c r="AB96" s="253"/>
      <c r="AC96" s="253"/>
      <c r="AD96" s="251"/>
      <c r="AE96" s="251"/>
      <c r="AF96" s="251"/>
    </row>
    <row r="97" ht="18.75" customHeight="1">
      <c r="A97" s="106"/>
      <c r="B97" s="106"/>
      <c r="C97" s="106"/>
      <c r="D97" s="106"/>
      <c r="E97" s="107"/>
      <c r="F97" s="108"/>
      <c r="G97" s="109"/>
      <c r="H97" s="206"/>
      <c r="I97" s="108"/>
      <c r="J97" s="109"/>
      <c r="K97" s="208"/>
      <c r="L97" s="107"/>
      <c r="M97" s="106"/>
      <c r="N97" s="141"/>
      <c r="O97" s="133"/>
      <c r="P97" s="106"/>
      <c r="Q97" s="106"/>
      <c r="R97" s="114"/>
      <c r="S97" s="106"/>
      <c r="T97" s="116"/>
      <c r="U97" s="116"/>
      <c r="V97" s="116"/>
      <c r="W97" s="116"/>
      <c r="X97" s="116"/>
      <c r="Y97" s="116"/>
      <c r="Z97" s="32"/>
      <c r="AA97" s="117"/>
      <c r="AB97" s="118"/>
      <c r="AC97" s="118"/>
      <c r="AD97" s="32"/>
      <c r="AE97" s="32"/>
      <c r="AF97" s="32"/>
    </row>
    <row r="98" ht="18.75" customHeight="1">
      <c r="A98" s="119"/>
      <c r="B98" s="119"/>
      <c r="C98" s="119"/>
      <c r="D98" s="119"/>
      <c r="E98" s="120"/>
      <c r="F98" s="242"/>
      <c r="G98" s="242"/>
      <c r="H98" s="197"/>
      <c r="I98" s="242"/>
      <c r="J98" s="242"/>
      <c r="K98" s="242"/>
      <c r="L98" s="120"/>
      <c r="M98" s="242"/>
      <c r="N98" s="142"/>
      <c r="O98" s="126"/>
      <c r="P98" s="219"/>
      <c r="Q98" s="119"/>
      <c r="R98" s="127"/>
      <c r="S98" s="119"/>
      <c r="T98" s="129"/>
      <c r="U98" s="129"/>
      <c r="V98" s="129"/>
      <c r="W98" s="129"/>
      <c r="X98" s="129"/>
      <c r="Y98" s="129"/>
      <c r="Z98" s="130"/>
      <c r="AA98" s="131"/>
      <c r="AB98" s="132"/>
      <c r="AC98" s="132"/>
      <c r="AD98" s="130"/>
      <c r="AE98" s="130"/>
      <c r="AF98" s="130"/>
    </row>
    <row r="99" ht="18.75" customHeight="1">
      <c r="A99" s="171"/>
      <c r="B99" s="171"/>
      <c r="C99" s="171"/>
      <c r="D99" s="171"/>
      <c r="E99" s="172"/>
      <c r="F99" s="185"/>
      <c r="G99" s="162"/>
      <c r="H99" s="162"/>
      <c r="I99" s="185"/>
      <c r="J99" s="254"/>
      <c r="K99" s="255"/>
      <c r="L99" s="172"/>
      <c r="M99" s="171"/>
      <c r="N99" s="141"/>
      <c r="O99" s="174"/>
      <c r="P99" s="171"/>
      <c r="Q99" s="171"/>
      <c r="R99" s="148"/>
      <c r="S99" s="171"/>
      <c r="T99" s="176"/>
      <c r="U99" s="176"/>
      <c r="V99" s="176"/>
      <c r="W99" s="176"/>
      <c r="X99" s="176"/>
      <c r="Y99" s="176"/>
      <c r="Z99" s="179"/>
      <c r="AA99" s="180"/>
      <c r="AB99" s="181"/>
      <c r="AC99" s="181"/>
      <c r="AD99" s="179"/>
      <c r="AE99" s="179"/>
      <c r="AF99" s="179"/>
    </row>
    <row r="100" ht="18.75" customHeight="1">
      <c r="A100" s="119"/>
      <c r="B100" s="119"/>
      <c r="C100" s="119"/>
      <c r="D100" s="119"/>
      <c r="E100" s="120"/>
      <c r="F100" s="220"/>
      <c r="G100" s="197"/>
      <c r="H100" s="197"/>
      <c r="I100" s="121"/>
      <c r="J100" s="161"/>
      <c r="K100" s="124"/>
      <c r="L100" s="120"/>
      <c r="M100" s="119"/>
      <c r="N100" s="142"/>
      <c r="O100" s="161"/>
      <c r="P100" s="119"/>
      <c r="Q100" s="119"/>
      <c r="R100" s="127"/>
      <c r="S100" s="119"/>
      <c r="T100" s="129"/>
      <c r="U100" s="129"/>
      <c r="V100" s="129"/>
      <c r="W100" s="129"/>
      <c r="X100" s="129"/>
      <c r="Y100" s="129"/>
      <c r="Z100" s="130"/>
      <c r="AA100" s="131"/>
      <c r="AB100" s="132"/>
      <c r="AC100" s="132"/>
      <c r="AD100" s="130"/>
      <c r="AE100" s="130"/>
      <c r="AF100" s="130"/>
    </row>
    <row r="101" ht="18.75" customHeight="1">
      <c r="A101" s="106"/>
      <c r="B101" s="256"/>
      <c r="C101" s="106"/>
      <c r="D101" s="106"/>
      <c r="E101" s="107"/>
      <c r="F101" s="108"/>
      <c r="G101" s="109"/>
      <c r="H101" s="206"/>
      <c r="I101" s="108"/>
      <c r="J101" s="153"/>
      <c r="K101" s="208"/>
      <c r="L101" s="107"/>
      <c r="M101" s="116"/>
      <c r="N101" s="257"/>
      <c r="O101" s="153"/>
      <c r="P101" s="106"/>
      <c r="Q101" s="106"/>
      <c r="R101" s="114"/>
      <c r="S101" s="106"/>
      <c r="T101" s="116"/>
      <c r="U101" s="116"/>
      <c r="V101" s="116"/>
      <c r="W101" s="116"/>
      <c r="X101" s="116"/>
      <c r="Y101" s="116"/>
      <c r="Z101" s="32"/>
      <c r="AA101" s="117"/>
      <c r="AB101" s="118"/>
      <c r="AC101" s="118"/>
      <c r="AD101" s="32"/>
      <c r="AE101" s="32"/>
      <c r="AF101" s="32"/>
    </row>
    <row r="102">
      <c r="A102" s="119"/>
      <c r="B102" s="119"/>
      <c r="C102" s="119"/>
      <c r="D102" s="119"/>
      <c r="E102" s="120"/>
      <c r="F102" s="258"/>
      <c r="G102" s="259"/>
      <c r="H102" s="219"/>
      <c r="I102" s="258"/>
      <c r="J102" s="161"/>
      <c r="K102" s="219"/>
      <c r="L102" s="120"/>
      <c r="M102" s="222"/>
      <c r="N102" s="222"/>
      <c r="O102" s="161"/>
      <c r="P102" s="219"/>
      <c r="Q102" s="219"/>
      <c r="R102" s="127"/>
      <c r="S102" s="119"/>
      <c r="T102" s="222"/>
      <c r="U102" s="219"/>
      <c r="V102" s="119"/>
      <c r="W102" s="222"/>
      <c r="X102" s="222"/>
      <c r="Y102" s="222"/>
      <c r="Z102" s="223"/>
      <c r="AA102" s="223"/>
      <c r="AB102" s="225"/>
      <c r="AC102" s="223"/>
      <c r="AD102" s="223"/>
      <c r="AE102" s="223"/>
      <c r="AF102" s="223"/>
    </row>
    <row r="103" ht="18.75" customHeight="1">
      <c r="A103" s="106"/>
      <c r="B103" s="106"/>
      <c r="C103" s="106"/>
      <c r="D103" s="106"/>
      <c r="E103" s="107"/>
      <c r="F103" s="108"/>
      <c r="G103" s="153"/>
      <c r="H103" s="109"/>
      <c r="I103" s="108"/>
      <c r="J103" s="153"/>
      <c r="K103" s="111"/>
      <c r="L103" s="107"/>
      <c r="M103" s="116"/>
      <c r="N103" s="257"/>
      <c r="O103" s="153"/>
      <c r="P103" s="106"/>
      <c r="Q103" s="106"/>
      <c r="R103" s="114"/>
      <c r="S103" s="106"/>
      <c r="T103" s="116"/>
      <c r="U103" s="116"/>
      <c r="V103" s="116"/>
      <c r="W103" s="116"/>
      <c r="X103" s="116"/>
      <c r="Y103" s="116"/>
      <c r="Z103" s="32"/>
      <c r="AA103" s="117"/>
      <c r="AB103" s="118"/>
      <c r="AC103" s="118"/>
      <c r="AD103" s="32"/>
      <c r="AE103" s="32"/>
      <c r="AF103" s="32"/>
    </row>
    <row r="104" ht="18.75" customHeight="1">
      <c r="A104" s="119"/>
      <c r="B104" s="119"/>
      <c r="C104" s="119"/>
      <c r="D104" s="119"/>
      <c r="E104" s="120"/>
      <c r="F104" s="165"/>
      <c r="G104" s="161"/>
      <c r="H104" s="122"/>
      <c r="I104" s="165"/>
      <c r="J104" s="161"/>
      <c r="K104" s="205"/>
      <c r="L104" s="120"/>
      <c r="M104" s="129"/>
      <c r="N104" s="260"/>
      <c r="O104" s="161"/>
      <c r="P104" s="119"/>
      <c r="Q104" s="119"/>
      <c r="R104" s="127"/>
      <c r="S104" s="119"/>
      <c r="T104" s="129"/>
      <c r="U104" s="129"/>
      <c r="V104" s="129"/>
      <c r="W104" s="129"/>
      <c r="X104" s="129"/>
      <c r="Y104" s="129"/>
      <c r="Z104" s="130"/>
      <c r="AA104" s="131"/>
      <c r="AB104" s="132"/>
      <c r="AC104" s="132"/>
      <c r="AD104" s="130"/>
      <c r="AE104" s="130"/>
      <c r="AF104" s="130"/>
    </row>
    <row r="105" ht="34.5" customHeight="1">
      <c r="A105" s="106"/>
      <c r="B105" s="106"/>
      <c r="C105" s="106"/>
      <c r="D105" s="106"/>
      <c r="E105" s="107"/>
      <c r="F105" s="108"/>
      <c r="G105" s="109"/>
      <c r="H105" s="109"/>
      <c r="I105" s="108"/>
      <c r="J105" s="109"/>
      <c r="K105" s="111"/>
      <c r="L105" s="107"/>
      <c r="M105" s="116"/>
      <c r="N105" s="257"/>
      <c r="O105" s="109"/>
      <c r="P105" s="106"/>
      <c r="Q105" s="106"/>
      <c r="R105" s="114"/>
      <c r="S105" s="106"/>
      <c r="T105" s="116"/>
      <c r="U105" s="116"/>
      <c r="V105" s="116"/>
      <c r="W105" s="116"/>
      <c r="X105" s="116"/>
      <c r="Y105" s="116"/>
      <c r="Z105" s="32"/>
      <c r="AA105" s="117"/>
      <c r="AB105" s="118"/>
      <c r="AC105" s="118"/>
      <c r="AD105" s="32"/>
      <c r="AE105" s="32"/>
      <c r="AF105" s="32"/>
    </row>
    <row r="106" ht="18.75" customHeight="1">
      <c r="A106" s="129"/>
      <c r="B106" s="129"/>
      <c r="C106" s="129"/>
      <c r="D106" s="129"/>
      <c r="E106" s="220"/>
      <c r="F106" s="220"/>
      <c r="G106" s="197"/>
      <c r="H106" s="197"/>
      <c r="I106" s="220"/>
      <c r="J106" s="129"/>
      <c r="K106" s="205"/>
      <c r="L106" s="130"/>
      <c r="M106" s="129"/>
      <c r="N106" s="260"/>
      <c r="O106" s="261"/>
      <c r="P106" s="129"/>
      <c r="Q106" s="129"/>
      <c r="R106" s="132"/>
      <c r="S106" s="119"/>
      <c r="T106" s="129"/>
      <c r="U106" s="129"/>
      <c r="V106" s="129"/>
      <c r="W106" s="129"/>
      <c r="X106" s="129"/>
      <c r="Y106" s="129"/>
      <c r="Z106" s="130"/>
      <c r="AA106" s="131"/>
      <c r="AB106" s="132"/>
      <c r="AC106" s="132"/>
      <c r="AD106" s="130"/>
      <c r="AE106" s="130"/>
      <c r="AF106" s="130"/>
    </row>
    <row r="107" ht="18.75" customHeight="1">
      <c r="A107" s="116"/>
      <c r="B107" s="116"/>
      <c r="C107" s="116"/>
      <c r="D107" s="116"/>
      <c r="E107" s="212"/>
      <c r="F107" s="212"/>
      <c r="G107" s="206"/>
      <c r="H107" s="206"/>
      <c r="I107" s="212"/>
      <c r="J107" s="116"/>
      <c r="K107" s="208"/>
      <c r="L107" s="32"/>
      <c r="M107" s="116"/>
      <c r="N107" s="257"/>
      <c r="O107" s="262"/>
      <c r="P107" s="116"/>
      <c r="Q107" s="116"/>
      <c r="R107" s="118"/>
      <c r="S107" s="116"/>
      <c r="T107" s="116"/>
      <c r="U107" s="116"/>
      <c r="V107" s="116"/>
      <c r="W107" s="116"/>
      <c r="X107" s="116"/>
      <c r="Y107" s="116"/>
      <c r="Z107" s="32"/>
      <c r="AA107" s="117"/>
      <c r="AB107" s="118"/>
      <c r="AC107" s="118"/>
      <c r="AD107" s="32"/>
      <c r="AE107" s="32"/>
      <c r="AF107" s="32"/>
    </row>
    <row r="108" ht="18.75" customHeight="1">
      <c r="A108" s="129"/>
      <c r="B108" s="129"/>
      <c r="C108" s="129"/>
      <c r="D108" s="129"/>
      <c r="E108" s="220"/>
      <c r="F108" s="220"/>
      <c r="G108" s="197"/>
      <c r="H108" s="197"/>
      <c r="I108" s="220"/>
      <c r="J108" s="129"/>
      <c r="K108" s="205"/>
      <c r="L108" s="130"/>
      <c r="M108" s="129"/>
      <c r="N108" s="260"/>
      <c r="O108" s="261"/>
      <c r="P108" s="129"/>
      <c r="Q108" s="129"/>
      <c r="R108" s="132"/>
      <c r="S108" s="129"/>
      <c r="T108" s="129"/>
      <c r="U108" s="129"/>
      <c r="V108" s="129"/>
      <c r="W108" s="129"/>
      <c r="X108" s="129"/>
      <c r="Y108" s="129"/>
      <c r="Z108" s="130"/>
      <c r="AA108" s="131"/>
      <c r="AB108" s="132"/>
      <c r="AC108" s="132"/>
      <c r="AD108" s="130"/>
      <c r="AE108" s="130"/>
      <c r="AF108" s="130"/>
    </row>
    <row r="109" ht="18.75" customHeight="1">
      <c r="A109" s="116"/>
      <c r="B109" s="116"/>
      <c r="C109" s="116"/>
      <c r="D109" s="116"/>
      <c r="E109" s="212"/>
      <c r="F109" s="212"/>
      <c r="G109" s="206"/>
      <c r="H109" s="206"/>
      <c r="I109" s="212"/>
      <c r="J109" s="116"/>
      <c r="K109" s="208"/>
      <c r="L109" s="32"/>
      <c r="M109" s="116"/>
      <c r="N109" s="257"/>
      <c r="O109" s="262"/>
      <c r="P109" s="116"/>
      <c r="Q109" s="116"/>
      <c r="R109" s="118"/>
      <c r="S109" s="116"/>
      <c r="T109" s="116"/>
      <c r="U109" s="116"/>
      <c r="V109" s="116"/>
      <c r="W109" s="116"/>
      <c r="X109" s="116"/>
      <c r="Y109" s="116"/>
      <c r="Z109" s="32"/>
      <c r="AA109" s="117"/>
      <c r="AB109" s="118"/>
      <c r="AC109" s="118"/>
      <c r="AD109" s="32"/>
      <c r="AE109" s="32"/>
      <c r="AF109" s="32"/>
    </row>
    <row r="110" ht="18.75" customHeight="1">
      <c r="A110" s="129"/>
      <c r="B110" s="129"/>
      <c r="C110" s="129"/>
      <c r="D110" s="129"/>
      <c r="E110" s="220"/>
      <c r="F110" s="220"/>
      <c r="G110" s="197"/>
      <c r="H110" s="197"/>
      <c r="I110" s="220"/>
      <c r="J110" s="129"/>
      <c r="K110" s="205"/>
      <c r="L110" s="130"/>
      <c r="M110" s="129"/>
      <c r="N110" s="260"/>
      <c r="O110" s="261"/>
      <c r="P110" s="129"/>
      <c r="Q110" s="129"/>
      <c r="R110" s="132"/>
      <c r="S110" s="129"/>
      <c r="T110" s="129"/>
      <c r="U110" s="129"/>
      <c r="V110" s="129"/>
      <c r="W110" s="129"/>
      <c r="X110" s="129"/>
      <c r="Y110" s="129"/>
      <c r="Z110" s="130"/>
      <c r="AA110" s="131"/>
      <c r="AB110" s="132"/>
      <c r="AC110" s="132"/>
      <c r="AD110" s="130"/>
      <c r="AE110" s="130"/>
      <c r="AF110" s="130"/>
    </row>
    <row r="111" ht="18.75" customHeight="1">
      <c r="A111" s="116"/>
      <c r="B111" s="116"/>
      <c r="C111" s="116"/>
      <c r="D111" s="116"/>
      <c r="E111" s="212"/>
      <c r="F111" s="212"/>
      <c r="G111" s="206"/>
      <c r="H111" s="206"/>
      <c r="I111" s="212"/>
      <c r="J111" s="116"/>
      <c r="K111" s="208"/>
      <c r="L111" s="32"/>
      <c r="M111" s="116"/>
      <c r="N111" s="257"/>
      <c r="O111" s="262"/>
      <c r="P111" s="116"/>
      <c r="Q111" s="116"/>
      <c r="R111" s="118"/>
      <c r="S111" s="116"/>
      <c r="T111" s="116"/>
      <c r="U111" s="116"/>
      <c r="V111" s="116"/>
      <c r="W111" s="116"/>
      <c r="X111" s="116"/>
      <c r="Y111" s="116"/>
      <c r="Z111" s="32"/>
      <c r="AA111" s="117"/>
      <c r="AB111" s="118"/>
      <c r="AC111" s="118"/>
      <c r="AD111" s="32"/>
      <c r="AE111" s="32"/>
      <c r="AF111" s="32"/>
    </row>
    <row r="112" ht="18.75" customHeight="1">
      <c r="A112" s="129"/>
      <c r="B112" s="129"/>
      <c r="C112" s="129"/>
      <c r="D112" s="129"/>
      <c r="E112" s="220"/>
      <c r="F112" s="220"/>
      <c r="G112" s="197"/>
      <c r="H112" s="197"/>
      <c r="I112" s="220"/>
      <c r="J112" s="129"/>
      <c r="K112" s="205"/>
      <c r="L112" s="130"/>
      <c r="M112" s="129"/>
      <c r="N112" s="260"/>
      <c r="O112" s="261"/>
      <c r="P112" s="129"/>
      <c r="Q112" s="129"/>
      <c r="R112" s="132"/>
      <c r="S112" s="129"/>
      <c r="T112" s="129"/>
      <c r="U112" s="129"/>
      <c r="V112" s="129"/>
      <c r="W112" s="129"/>
      <c r="X112" s="129"/>
      <c r="Y112" s="129"/>
      <c r="Z112" s="130"/>
      <c r="AA112" s="131"/>
      <c r="AB112" s="132"/>
      <c r="AC112" s="132"/>
      <c r="AD112" s="130"/>
      <c r="AE112" s="130"/>
      <c r="AF112" s="130"/>
    </row>
    <row r="113" ht="18.75" customHeight="1">
      <c r="A113" s="116"/>
      <c r="B113" s="116"/>
      <c r="C113" s="116"/>
      <c r="D113" s="116"/>
      <c r="E113" s="212"/>
      <c r="F113" s="212"/>
      <c r="G113" s="206"/>
      <c r="H113" s="206"/>
      <c r="I113" s="212"/>
      <c r="J113" s="116"/>
      <c r="K113" s="208"/>
      <c r="L113" s="32"/>
      <c r="M113" s="116"/>
      <c r="N113" s="257"/>
      <c r="O113" s="262"/>
      <c r="P113" s="116"/>
      <c r="Q113" s="116"/>
      <c r="R113" s="118"/>
      <c r="S113" s="116"/>
      <c r="T113" s="116"/>
      <c r="U113" s="116"/>
      <c r="V113" s="116"/>
      <c r="W113" s="116"/>
      <c r="X113" s="116"/>
      <c r="Y113" s="116"/>
      <c r="Z113" s="32"/>
      <c r="AA113" s="117"/>
      <c r="AB113" s="118"/>
      <c r="AC113" s="118"/>
      <c r="AD113" s="32"/>
      <c r="AE113" s="32"/>
      <c r="AF113" s="32"/>
    </row>
    <row r="114" ht="18.75" customHeight="1">
      <c r="A114" s="129"/>
      <c r="B114" s="129"/>
      <c r="C114" s="129"/>
      <c r="D114" s="129"/>
      <c r="E114" s="220"/>
      <c r="F114" s="220"/>
      <c r="G114" s="197"/>
      <c r="H114" s="197"/>
      <c r="I114" s="220"/>
      <c r="J114" s="129"/>
      <c r="K114" s="205"/>
      <c r="L114" s="130"/>
      <c r="M114" s="129"/>
      <c r="N114" s="260"/>
      <c r="O114" s="261"/>
      <c r="P114" s="129"/>
      <c r="Q114" s="129"/>
      <c r="R114" s="132"/>
      <c r="S114" s="129"/>
      <c r="T114" s="129"/>
      <c r="U114" s="129"/>
      <c r="V114" s="129"/>
      <c r="W114" s="129"/>
      <c r="X114" s="129"/>
      <c r="Y114" s="129"/>
      <c r="Z114" s="130"/>
      <c r="AA114" s="131"/>
      <c r="AB114" s="132"/>
      <c r="AC114" s="132"/>
      <c r="AD114" s="130"/>
      <c r="AE114" s="130"/>
      <c r="AF114" s="130"/>
    </row>
    <row r="115" ht="18.75" customHeight="1">
      <c r="A115" s="116"/>
      <c r="B115" s="116"/>
      <c r="C115" s="116"/>
      <c r="D115" s="116"/>
      <c r="E115" s="212"/>
      <c r="F115" s="212"/>
      <c r="G115" s="206"/>
      <c r="H115" s="206"/>
      <c r="I115" s="212"/>
      <c r="J115" s="116"/>
      <c r="K115" s="208"/>
      <c r="L115" s="32"/>
      <c r="M115" s="116"/>
      <c r="N115" s="257"/>
      <c r="O115" s="262"/>
      <c r="P115" s="116"/>
      <c r="Q115" s="116"/>
      <c r="R115" s="118"/>
      <c r="S115" s="116"/>
      <c r="T115" s="116"/>
      <c r="U115" s="116"/>
      <c r="V115" s="116"/>
      <c r="W115" s="116"/>
      <c r="X115" s="116"/>
      <c r="Y115" s="116"/>
      <c r="Z115" s="32"/>
      <c r="AA115" s="117"/>
      <c r="AB115" s="118"/>
      <c r="AC115" s="118"/>
      <c r="AD115" s="32"/>
      <c r="AE115" s="32"/>
      <c r="AF115" s="32"/>
    </row>
    <row r="116" ht="18.75" customHeight="1">
      <c r="A116" s="129"/>
      <c r="B116" s="129"/>
      <c r="C116" s="129"/>
      <c r="D116" s="129"/>
      <c r="E116" s="220"/>
      <c r="F116" s="220"/>
      <c r="G116" s="197"/>
      <c r="H116" s="197"/>
      <c r="I116" s="220"/>
      <c r="J116" s="129"/>
      <c r="K116" s="205"/>
      <c r="L116" s="130"/>
      <c r="M116" s="129"/>
      <c r="N116" s="260"/>
      <c r="O116" s="261"/>
      <c r="P116" s="129"/>
      <c r="Q116" s="129"/>
      <c r="R116" s="132"/>
      <c r="S116" s="129"/>
      <c r="T116" s="129"/>
      <c r="U116" s="129"/>
      <c r="V116" s="129"/>
      <c r="W116" s="129"/>
      <c r="X116" s="129"/>
      <c r="Y116" s="129"/>
      <c r="Z116" s="130"/>
      <c r="AA116" s="131"/>
      <c r="AB116" s="132"/>
      <c r="AC116" s="132"/>
      <c r="AD116" s="130"/>
      <c r="AE116" s="130"/>
      <c r="AF116" s="130"/>
    </row>
    <row r="117" ht="18.75" customHeight="1">
      <c r="A117" s="116"/>
      <c r="B117" s="116"/>
      <c r="C117" s="116"/>
      <c r="D117" s="116"/>
      <c r="E117" s="212"/>
      <c r="F117" s="212"/>
      <c r="G117" s="206"/>
      <c r="H117" s="206"/>
      <c r="I117" s="212"/>
      <c r="J117" s="116"/>
      <c r="K117" s="208"/>
      <c r="L117" s="32"/>
      <c r="M117" s="116"/>
      <c r="N117" s="257"/>
      <c r="O117" s="262"/>
      <c r="P117" s="116"/>
      <c r="Q117" s="116"/>
      <c r="R117" s="118"/>
      <c r="S117" s="116"/>
      <c r="T117" s="116"/>
      <c r="U117" s="116"/>
      <c r="V117" s="116"/>
      <c r="W117" s="116"/>
      <c r="X117" s="116"/>
      <c r="Y117" s="116"/>
      <c r="Z117" s="32"/>
      <c r="AA117" s="117"/>
      <c r="AB117" s="118"/>
      <c r="AC117" s="118"/>
      <c r="AD117" s="32"/>
      <c r="AE117" s="32"/>
      <c r="AF117" s="32"/>
    </row>
    <row r="118" ht="18.75" customHeight="1">
      <c r="A118" s="129"/>
      <c r="B118" s="129"/>
      <c r="C118" s="129"/>
      <c r="D118" s="129"/>
      <c r="E118" s="220"/>
      <c r="F118" s="220"/>
      <c r="G118" s="197"/>
      <c r="H118" s="197"/>
      <c r="I118" s="220"/>
      <c r="J118" s="129"/>
      <c r="K118" s="205"/>
      <c r="L118" s="130"/>
      <c r="M118" s="129"/>
      <c r="N118" s="260"/>
      <c r="O118" s="261"/>
      <c r="P118" s="129"/>
      <c r="Q118" s="129"/>
      <c r="R118" s="132"/>
      <c r="S118" s="129"/>
      <c r="T118" s="129"/>
      <c r="U118" s="129"/>
      <c r="V118" s="129"/>
      <c r="W118" s="129"/>
      <c r="X118" s="129"/>
      <c r="Y118" s="129"/>
      <c r="Z118" s="130"/>
      <c r="AA118" s="131"/>
      <c r="AB118" s="132"/>
      <c r="AC118" s="132"/>
      <c r="AD118" s="130"/>
      <c r="AE118" s="130"/>
      <c r="AF118" s="130"/>
    </row>
    <row r="119" ht="18.75" customHeight="1">
      <c r="A119" s="116"/>
      <c r="B119" s="116"/>
      <c r="C119" s="116"/>
      <c r="D119" s="116"/>
      <c r="E119" s="212"/>
      <c r="F119" s="212"/>
      <c r="G119" s="206"/>
      <c r="H119" s="206"/>
      <c r="I119" s="212"/>
      <c r="J119" s="116"/>
      <c r="K119" s="208"/>
      <c r="L119" s="32"/>
      <c r="M119" s="116"/>
      <c r="N119" s="257"/>
      <c r="O119" s="262"/>
      <c r="P119" s="116"/>
      <c r="Q119" s="116"/>
      <c r="R119" s="118"/>
      <c r="S119" s="116"/>
      <c r="T119" s="116"/>
      <c r="U119" s="116"/>
      <c r="V119" s="116"/>
      <c r="W119" s="116"/>
      <c r="X119" s="116"/>
      <c r="Y119" s="116"/>
      <c r="Z119" s="32"/>
      <c r="AA119" s="117"/>
      <c r="AB119" s="118"/>
      <c r="AC119" s="118"/>
      <c r="AD119" s="32"/>
      <c r="AE119" s="32"/>
      <c r="AF119" s="32"/>
    </row>
    <row r="120" ht="18.75" customHeight="1">
      <c r="A120" s="129"/>
      <c r="B120" s="129"/>
      <c r="C120" s="129"/>
      <c r="D120" s="129"/>
      <c r="E120" s="220"/>
      <c r="F120" s="220"/>
      <c r="G120" s="197"/>
      <c r="H120" s="197"/>
      <c r="I120" s="220"/>
      <c r="J120" s="129"/>
      <c r="K120" s="205"/>
      <c r="L120" s="130"/>
      <c r="M120" s="129"/>
      <c r="N120" s="260"/>
      <c r="O120" s="261"/>
      <c r="P120" s="129"/>
      <c r="Q120" s="129"/>
      <c r="R120" s="132"/>
      <c r="S120" s="129"/>
      <c r="T120" s="129"/>
      <c r="U120" s="129"/>
      <c r="V120" s="129"/>
      <c r="W120" s="129"/>
      <c r="X120" s="129"/>
      <c r="Y120" s="129"/>
      <c r="Z120" s="130"/>
      <c r="AA120" s="131"/>
      <c r="AB120" s="132"/>
      <c r="AC120" s="132"/>
      <c r="AD120" s="130"/>
      <c r="AE120" s="130"/>
      <c r="AF120" s="130"/>
    </row>
    <row r="121" ht="18.75" customHeight="1">
      <c r="A121" s="116"/>
      <c r="B121" s="116"/>
      <c r="C121" s="116"/>
      <c r="D121" s="116"/>
      <c r="E121" s="212"/>
      <c r="F121" s="212"/>
      <c r="G121" s="206"/>
      <c r="H121" s="206"/>
      <c r="I121" s="212"/>
      <c r="J121" s="116"/>
      <c r="K121" s="208"/>
      <c r="L121" s="32"/>
      <c r="M121" s="116"/>
      <c r="N121" s="257"/>
      <c r="O121" s="262"/>
      <c r="P121" s="116"/>
      <c r="Q121" s="116"/>
      <c r="R121" s="118"/>
      <c r="S121" s="116"/>
      <c r="T121" s="116"/>
      <c r="U121" s="116"/>
      <c r="V121" s="116"/>
      <c r="W121" s="116"/>
      <c r="X121" s="116"/>
      <c r="Y121" s="116"/>
      <c r="Z121" s="32"/>
      <c r="AA121" s="117"/>
      <c r="AB121" s="118"/>
      <c r="AC121" s="118"/>
      <c r="AD121" s="32"/>
      <c r="AE121" s="32"/>
      <c r="AF121" s="32"/>
    </row>
    <row r="122" ht="18.75" customHeight="1">
      <c r="A122" s="129"/>
      <c r="B122" s="129"/>
      <c r="C122" s="129"/>
      <c r="D122" s="129"/>
      <c r="E122" s="220"/>
      <c r="F122" s="220"/>
      <c r="G122" s="197"/>
      <c r="H122" s="197"/>
      <c r="I122" s="220"/>
      <c r="J122" s="129"/>
      <c r="K122" s="205"/>
      <c r="L122" s="130"/>
      <c r="M122" s="129"/>
      <c r="N122" s="260"/>
      <c r="O122" s="261"/>
      <c r="P122" s="129"/>
      <c r="Q122" s="129"/>
      <c r="R122" s="132"/>
      <c r="S122" s="129"/>
      <c r="T122" s="129"/>
      <c r="U122" s="129"/>
      <c r="V122" s="129"/>
      <c r="W122" s="129"/>
      <c r="X122" s="129"/>
      <c r="Y122" s="129"/>
      <c r="Z122" s="130"/>
      <c r="AA122" s="131"/>
      <c r="AB122" s="132"/>
      <c r="AC122" s="132"/>
      <c r="AD122" s="130"/>
      <c r="AE122" s="130"/>
      <c r="AF122" s="130"/>
    </row>
    <row r="123" ht="18.75" customHeight="1">
      <c r="A123" s="116"/>
      <c r="B123" s="116"/>
      <c r="C123" s="116"/>
      <c r="D123" s="116"/>
      <c r="E123" s="212"/>
      <c r="F123" s="212"/>
      <c r="G123" s="206"/>
      <c r="H123" s="206"/>
      <c r="I123" s="212"/>
      <c r="J123" s="116"/>
      <c r="K123" s="208"/>
      <c r="L123" s="32"/>
      <c r="M123" s="116"/>
      <c r="N123" s="257"/>
      <c r="O123" s="262"/>
      <c r="P123" s="116"/>
      <c r="Q123" s="116"/>
      <c r="R123" s="118"/>
      <c r="S123" s="116"/>
      <c r="T123" s="116"/>
      <c r="U123" s="116"/>
      <c r="V123" s="116"/>
      <c r="W123" s="116"/>
      <c r="X123" s="116"/>
      <c r="Y123" s="116"/>
      <c r="Z123" s="32"/>
      <c r="AA123" s="117"/>
      <c r="AB123" s="118"/>
      <c r="AC123" s="118"/>
      <c r="AD123" s="32"/>
      <c r="AE123" s="32"/>
      <c r="AF123" s="32"/>
    </row>
    <row r="124" ht="18.75" customHeight="1">
      <c r="A124" s="129"/>
      <c r="B124" s="129"/>
      <c r="C124" s="129"/>
      <c r="D124" s="129"/>
      <c r="E124" s="220"/>
      <c r="F124" s="220"/>
      <c r="G124" s="197"/>
      <c r="H124" s="197"/>
      <c r="I124" s="220"/>
      <c r="J124" s="129"/>
      <c r="K124" s="205"/>
      <c r="L124" s="130"/>
      <c r="M124" s="129"/>
      <c r="N124" s="260"/>
      <c r="O124" s="261"/>
      <c r="P124" s="129"/>
      <c r="Q124" s="129"/>
      <c r="R124" s="132"/>
      <c r="S124" s="129"/>
      <c r="T124" s="129"/>
      <c r="U124" s="129"/>
      <c r="V124" s="129"/>
      <c r="W124" s="129"/>
      <c r="X124" s="129"/>
      <c r="Y124" s="129"/>
      <c r="Z124" s="130"/>
      <c r="AA124" s="131"/>
      <c r="AB124" s="132"/>
      <c r="AC124" s="132"/>
      <c r="AD124" s="130"/>
      <c r="AE124" s="130"/>
      <c r="AF124" s="130"/>
    </row>
    <row r="125" ht="18.75" customHeight="1">
      <c r="A125" s="116"/>
      <c r="B125" s="116"/>
      <c r="C125" s="116"/>
      <c r="D125" s="116"/>
      <c r="E125" s="212"/>
      <c r="F125" s="212"/>
      <c r="G125" s="206"/>
      <c r="H125" s="206"/>
      <c r="I125" s="212"/>
      <c r="J125" s="116"/>
      <c r="K125" s="208"/>
      <c r="L125" s="32"/>
      <c r="M125" s="116"/>
      <c r="N125" s="257"/>
      <c r="O125" s="262"/>
      <c r="P125" s="116"/>
      <c r="Q125" s="116"/>
      <c r="R125" s="118"/>
      <c r="S125" s="116"/>
      <c r="T125" s="116"/>
      <c r="U125" s="116"/>
      <c r="V125" s="116"/>
      <c r="W125" s="116"/>
      <c r="X125" s="116"/>
      <c r="Y125" s="116"/>
      <c r="Z125" s="32"/>
      <c r="AA125" s="117"/>
      <c r="AB125" s="118"/>
      <c r="AC125" s="118"/>
      <c r="AD125" s="32"/>
      <c r="AE125" s="32"/>
      <c r="AF125" s="32"/>
    </row>
    <row r="126" ht="18.75" customHeight="1">
      <c r="A126" s="129"/>
      <c r="B126" s="129"/>
      <c r="C126" s="129"/>
      <c r="D126" s="129"/>
      <c r="E126" s="220"/>
      <c r="F126" s="220"/>
      <c r="G126" s="197"/>
      <c r="H126" s="197"/>
      <c r="I126" s="220"/>
      <c r="J126" s="129"/>
      <c r="K126" s="205"/>
      <c r="L126" s="130"/>
      <c r="M126" s="129"/>
      <c r="N126" s="260"/>
      <c r="O126" s="261"/>
      <c r="P126" s="129"/>
      <c r="Q126" s="129"/>
      <c r="R126" s="132"/>
      <c r="S126" s="129"/>
      <c r="T126" s="129"/>
      <c r="U126" s="129"/>
      <c r="V126" s="129"/>
      <c r="W126" s="129"/>
      <c r="X126" s="129"/>
      <c r="Y126" s="129"/>
      <c r="Z126" s="130"/>
      <c r="AA126" s="131"/>
      <c r="AB126" s="132"/>
      <c r="AC126" s="132"/>
      <c r="AD126" s="130"/>
      <c r="AE126" s="130"/>
      <c r="AF126" s="130"/>
    </row>
    <row r="127" ht="18.75" customHeight="1">
      <c r="A127" s="116"/>
      <c r="B127" s="116"/>
      <c r="C127" s="116"/>
      <c r="D127" s="116"/>
      <c r="E127" s="212"/>
      <c r="F127" s="212"/>
      <c r="G127" s="206"/>
      <c r="H127" s="206"/>
      <c r="I127" s="212"/>
      <c r="J127" s="116"/>
      <c r="K127" s="208"/>
      <c r="L127" s="32"/>
      <c r="M127" s="116"/>
      <c r="N127" s="257"/>
      <c r="O127" s="262"/>
      <c r="P127" s="116"/>
      <c r="Q127" s="116"/>
      <c r="R127" s="118"/>
      <c r="S127" s="116"/>
      <c r="T127" s="116"/>
      <c r="U127" s="116"/>
      <c r="V127" s="116"/>
      <c r="W127" s="116"/>
      <c r="X127" s="116"/>
      <c r="Y127" s="116"/>
      <c r="Z127" s="32"/>
      <c r="AA127" s="117"/>
      <c r="AB127" s="118"/>
      <c r="AC127" s="118"/>
      <c r="AD127" s="32"/>
      <c r="AE127" s="32"/>
      <c r="AF127" s="32"/>
    </row>
    <row r="128" ht="18.75" customHeight="1">
      <c r="A128" s="129"/>
      <c r="B128" s="129"/>
      <c r="C128" s="129"/>
      <c r="D128" s="129"/>
      <c r="E128" s="220"/>
      <c r="F128" s="220"/>
      <c r="G128" s="197"/>
      <c r="H128" s="197"/>
      <c r="I128" s="220"/>
      <c r="J128" s="129"/>
      <c r="K128" s="205"/>
      <c r="L128" s="130"/>
      <c r="M128" s="129"/>
      <c r="N128" s="260"/>
      <c r="O128" s="261"/>
      <c r="P128" s="129"/>
      <c r="Q128" s="129"/>
      <c r="R128" s="132"/>
      <c r="S128" s="129"/>
      <c r="T128" s="129"/>
      <c r="U128" s="129"/>
      <c r="V128" s="129"/>
      <c r="W128" s="129"/>
      <c r="X128" s="129"/>
      <c r="Y128" s="129"/>
      <c r="Z128" s="130"/>
      <c r="AA128" s="131"/>
      <c r="AB128" s="132"/>
      <c r="AC128" s="132"/>
      <c r="AD128" s="130"/>
      <c r="AE128" s="130"/>
      <c r="AF128" s="130"/>
    </row>
    <row r="129" ht="18.75" customHeight="1">
      <c r="A129" s="116"/>
      <c r="B129" s="116"/>
      <c r="C129" s="116"/>
      <c r="D129" s="116"/>
      <c r="E129" s="212"/>
      <c r="F129" s="212"/>
      <c r="G129" s="206"/>
      <c r="H129" s="206"/>
      <c r="I129" s="212"/>
      <c r="J129" s="116"/>
      <c r="K129" s="208"/>
      <c r="L129" s="32"/>
      <c r="M129" s="116"/>
      <c r="N129" s="257"/>
      <c r="O129" s="262"/>
      <c r="P129" s="116"/>
      <c r="Q129" s="116"/>
      <c r="R129" s="118"/>
      <c r="S129" s="116"/>
      <c r="T129" s="116"/>
      <c r="U129" s="116"/>
      <c r="V129" s="116"/>
      <c r="W129" s="116"/>
      <c r="X129" s="116"/>
      <c r="Y129" s="116"/>
      <c r="Z129" s="32"/>
      <c r="AA129" s="117"/>
      <c r="AB129" s="118"/>
      <c r="AC129" s="118"/>
      <c r="AD129" s="32"/>
      <c r="AE129" s="32"/>
      <c r="AF129" s="32"/>
    </row>
  </sheetData>
  <mergeCells count="9">
    <mergeCell ref="G27:G28"/>
    <mergeCell ref="M33:S33"/>
    <mergeCell ref="A1:D1"/>
    <mergeCell ref="E1:G1"/>
    <mergeCell ref="I1:K1"/>
    <mergeCell ref="L1:S1"/>
    <mergeCell ref="T1:Y1"/>
    <mergeCell ref="Z1:AD1"/>
    <mergeCell ref="F27:F28"/>
  </mergeCells>
  <dataValidations>
    <dataValidation type="list" allowBlank="1" sqref="L3:L129">
      <formula1>"收據,發票"</formula1>
    </dataValidation>
    <dataValidation type="list" allowBlank="1" sqref="E4:E129">
      <formula1>"台幣帳戶,外幣帳戶,去年帳戶"</formula1>
    </dataValidation>
    <dataValidation type="list" allowBlank="1" sqref="D4:D129">
      <formula1>"彩虹市集-一般攤商,彩虹市集-NGO攤商,花車路權,友善飯店,各類廣告,其它"</formula1>
    </dataValidation>
  </dataValidations>
  <hyperlinks>
    <hyperlink r:id="rId2" ref="Y3"/>
  </hyperlin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13"/>
  </cols>
  <sheetData>
    <row r="1">
      <c r="A1" s="263">
        <f t="shared" ref="A1:B1" si="1">COUNTA(A3:A525)</f>
        <v>2</v>
      </c>
      <c r="B1" s="264">
        <f t="shared" si="1"/>
        <v>38</v>
      </c>
    </row>
    <row r="2">
      <c r="A2" s="263" t="s">
        <v>63</v>
      </c>
      <c r="B2" s="264" t="s">
        <v>67</v>
      </c>
    </row>
    <row r="3">
      <c r="A3" s="265" t="str">
        <f>IFERROR(__xludf.DUMMYFUNCTION("QUERY(TRANSPOSE({'31業務統計總表'!B3:J3;'31業務統計總表'!B62:J62}), ""SELECT Col1 WHERE Col2 LIKE '0. %'"", 0)"),"GSK")</f>
        <v>GSK</v>
      </c>
      <c r="B3" s="265" t="str">
        <f>IFERROR(__xludf.DUMMYFUNCTION("QUERY(TRANSPOSE({'31業務統計總表'!B3:J3;'31業務統計總表'!B62:J62}), ""SELECT Col1 WHERE Col2 LIKE '1. %'"", 0)"),"波士頓科技")</f>
        <v>波士頓科技</v>
      </c>
    </row>
    <row r="4">
      <c r="A4" s="265" t="str">
        <f>IFERROR(__xludf.DUMMYFUNCTION("""COMPUTED_VALUE"""),"必勝客")</f>
        <v>必勝客</v>
      </c>
      <c r="B4" s="265" t="str">
        <f>IFERROR(__xludf.DUMMYFUNCTION("""COMPUTED_VALUE"""),"諾億保經")</f>
        <v>諾億保經</v>
      </c>
    </row>
    <row r="5">
      <c r="A5" s="265"/>
      <c r="B5" s="265" t="str">
        <f>IFERROR(__xludf.DUMMYFUNCTION("""COMPUTED_VALUE"""),"台灣美光")</f>
        <v>台灣美光</v>
      </c>
    </row>
    <row r="6">
      <c r="A6" s="265"/>
      <c r="B6" s="265" t="str">
        <f>IFERROR(__xludf.DUMMYFUNCTION("""COMPUTED_VALUE"""),"JINS")</f>
        <v>JINS</v>
      </c>
    </row>
    <row r="7">
      <c r="A7" s="265"/>
      <c r="B7" s="265" t="str">
        <f>IFERROR(__xludf.DUMMYFUNCTION("""COMPUTED_VALUE"""),"Google")</f>
        <v>Google</v>
      </c>
    </row>
    <row r="8">
      <c r="A8" s="265"/>
      <c r="B8" s="265" t="str">
        <f>IFERROR(__xludf.DUMMYFUNCTION("""COMPUTED_VALUE"""),"LifeWonders")</f>
        <v>LifeWonders</v>
      </c>
    </row>
    <row r="9">
      <c r="A9" s="265"/>
      <c r="B9" s="265" t="str">
        <f>IFERROR(__xludf.DUMMYFUNCTION("""COMPUTED_VALUE"""),"Gstar")</f>
        <v>Gstar</v>
      </c>
    </row>
    <row r="10">
      <c r="A10" s="265"/>
      <c r="B10" s="265" t="str">
        <f>IFERROR(__xludf.DUMMYFUNCTION("""COMPUTED_VALUE"""),"聯合利華")</f>
        <v>聯合利華</v>
      </c>
    </row>
    <row r="11">
      <c r="A11" s="265"/>
      <c r="B11" s="265" t="str">
        <f>IFERROR(__xludf.DUMMYFUNCTION("""COMPUTED_VALUE"""),"Johnnie Walker ")</f>
        <v>Johnnie Walker </v>
      </c>
    </row>
    <row r="12">
      <c r="A12" s="265"/>
      <c r="B12" s="265" t="str">
        <f>IFERROR(__xludf.DUMMYFUNCTION("""COMPUTED_VALUE"""),"Tapestry")</f>
        <v>Tapestry</v>
      </c>
    </row>
    <row r="13">
      <c r="A13" s="265"/>
      <c r="B13" s="265" t="str">
        <f>IFERROR(__xludf.DUMMYFUNCTION("""COMPUTED_VALUE"""),"臺虎精釀")</f>
        <v>臺虎精釀</v>
      </c>
    </row>
    <row r="14">
      <c r="A14" s="265"/>
      <c r="B14" s="265" t="str">
        <f>IFERROR(__xludf.DUMMYFUNCTION("""COMPUTED_VALUE"""),"Lespark")</f>
        <v>Lespark</v>
      </c>
    </row>
    <row r="15">
      <c r="A15" s="265"/>
      <c r="B15" s="265" t="str">
        <f>IFERROR(__xludf.DUMMYFUNCTION("""COMPUTED_VALUE"""),"吉利亞醫藥")</f>
        <v>吉利亞醫藥</v>
      </c>
    </row>
    <row r="16">
      <c r="A16" s="265"/>
      <c r="B16" s="265" t="str">
        <f>IFERROR(__xludf.DUMMYFUNCTION("""COMPUTED_VALUE"""),"AZ")</f>
        <v>AZ</v>
      </c>
    </row>
    <row r="17">
      <c r="A17" s="265"/>
      <c r="B17" s="265" t="str">
        <f>IFERROR(__xludf.DUMMYFUNCTION("""COMPUTED_VALUE"""),"犀牛盾")</f>
        <v>犀牛盾</v>
      </c>
    </row>
    <row r="18">
      <c r="A18" s="266"/>
      <c r="B18" s="265" t="str">
        <f>IFERROR(__xludf.DUMMYFUNCTION("""COMPUTED_VALUE"""),"默沙東")</f>
        <v>默沙東</v>
      </c>
    </row>
    <row r="19">
      <c r="A19" s="265"/>
      <c r="B19" s="265" t="str">
        <f>IFERROR(__xludf.DUMMYFUNCTION("""COMPUTED_VALUE"""),"TFC 
臺北婦產科診所")</f>
        <v>TFC 
臺北婦產科診所</v>
      </c>
    </row>
    <row r="20">
      <c r="A20" s="265"/>
      <c r="B20" s="265" t="str">
        <f>IFERROR(__xludf.DUMMYFUNCTION("""COMPUTED_VALUE"""),"Hyve")</f>
        <v>Hyve</v>
      </c>
    </row>
    <row r="21">
      <c r="A21" s="265"/>
      <c r="B21" s="265" t="str">
        <f>IFERROR(__xludf.DUMMYFUNCTION("""COMPUTED_VALUE"""),"疾管署")</f>
        <v>疾管署</v>
      </c>
    </row>
    <row r="22">
      <c r="A22" s="265"/>
      <c r="B22" s="265" t="str">
        <f>IFERROR(__xludf.DUMMYFUNCTION("""COMPUTED_VALUE"""),"彩虹酷兒")</f>
        <v>彩虹酷兒</v>
      </c>
    </row>
    <row r="23">
      <c r="A23" s="265"/>
      <c r="B23" s="265" t="str">
        <f>IFERROR(__xludf.DUMMYFUNCTION("""COMPUTED_VALUE"""),"渣打銀行")</f>
        <v>渣打銀行</v>
      </c>
    </row>
    <row r="24">
      <c r="A24" s="265"/>
      <c r="B24" s="265" t="str">
        <f>IFERROR(__xludf.DUMMYFUNCTION("""COMPUTED_VALUE"""),"VERVE")</f>
        <v>VERVE</v>
      </c>
    </row>
    <row r="25">
      <c r="A25" s="265"/>
      <c r="B25" s="265" t="str">
        <f>IFERROR(__xludf.DUMMYFUNCTION("""COMPUTED_VALUE"""),"IM Adult")</f>
        <v>IM Adult</v>
      </c>
    </row>
    <row r="26">
      <c r="A26" s="265"/>
      <c r="B26" s="265" t="str">
        <f>IFERROR(__xludf.DUMMYFUNCTION("""COMPUTED_VALUE"""),"GAP")</f>
        <v>GAP</v>
      </c>
    </row>
    <row r="27">
      <c r="A27" s="265"/>
      <c r="B27" s="265" t="str">
        <f>IFERROR(__xludf.DUMMYFUNCTION("""COMPUTED_VALUE"""),"Uber
Eats")</f>
        <v>Uber
Eats</v>
      </c>
    </row>
    <row r="28">
      <c r="A28" s="265"/>
      <c r="B28" s="265" t="str">
        <f>IFERROR(__xludf.DUMMYFUNCTION("""COMPUTED_VALUE"""),"NIKE")</f>
        <v>NIKE</v>
      </c>
    </row>
    <row r="29">
      <c r="A29" s="265"/>
      <c r="B29" s="265" t="str">
        <f>IFERROR(__xludf.DUMMYFUNCTION("""COMPUTED_VALUE"""),"TSMC")</f>
        <v>TSMC</v>
      </c>
    </row>
    <row r="30">
      <c r="A30" s="265"/>
      <c r="B30" s="265" t="str">
        <f>IFERROR(__xludf.DUMMYFUNCTION("""COMPUTED_VALUE"""),"FNF")</f>
        <v>FNF</v>
      </c>
    </row>
    <row r="31">
      <c r="A31" s="265"/>
      <c r="B31" s="265" t="str">
        <f>IFERROR(__xludf.DUMMYFUNCTION("""COMPUTED_VALUE"""),"可口可樂")</f>
        <v>可口可樂</v>
      </c>
    </row>
    <row r="32">
      <c r="A32" s="265"/>
      <c r="B32" s="265" t="str">
        <f>IFERROR(__xludf.DUMMYFUNCTION("""COMPUTED_VALUE"""),"新思科技")</f>
        <v>新思科技</v>
      </c>
    </row>
    <row r="33">
      <c r="A33" s="265"/>
      <c r="B33" s="265" t="str">
        <f>IFERROR(__xludf.DUMMYFUNCTION("""COMPUTED_VALUE"""),"愛群婦產科")</f>
        <v>愛群婦產科</v>
      </c>
    </row>
    <row r="34">
      <c r="A34" s="265"/>
      <c r="B34" s="265" t="str">
        <f>IFERROR(__xludf.DUMMYFUNCTION("""COMPUTED_VALUE"""),"辻利茶舖")</f>
        <v>辻利茶舖</v>
      </c>
    </row>
    <row r="35">
      <c r="A35" s="265"/>
      <c r="B35" s="265" t="str">
        <f>IFERROR(__xludf.DUMMYFUNCTION("""COMPUTED_VALUE"""),"Sagami")</f>
        <v>Sagami</v>
      </c>
    </row>
    <row r="36">
      <c r="A36" s="265"/>
      <c r="B36" s="265" t="str">
        <f>IFERROR(__xludf.DUMMYFUNCTION("""COMPUTED_VALUE"""),"台灣百健")</f>
        <v>台灣百健</v>
      </c>
    </row>
    <row r="37">
      <c r="A37" s="265"/>
      <c r="B37" s="265" t="str">
        <f>IFERROR(__xludf.DUMMYFUNCTION("""COMPUTED_VALUE"""),"華納兄弟")</f>
        <v>華納兄弟</v>
      </c>
    </row>
    <row r="38">
      <c r="A38" s="265"/>
      <c r="B38" s="265" t="str">
        <f>IFERROR(__xludf.DUMMYFUNCTION("""COMPUTED_VALUE"""),"聯名商品")</f>
        <v>聯名商品</v>
      </c>
    </row>
    <row r="39">
      <c r="A39" s="265"/>
      <c r="B39" s="265" t="str">
        <f>IFERROR(__xludf.DUMMYFUNCTION("""COMPUTED_VALUE"""),"君悅飯店")</f>
        <v>君悅飯店</v>
      </c>
    </row>
    <row r="40">
      <c r="A40" s="265"/>
      <c r="B40" s="265" t="str">
        <f>IFERROR(__xludf.DUMMYFUNCTION("""COMPUTED_VALUE"""),"小鹿文娛")</f>
        <v>小鹿文娛</v>
      </c>
    </row>
    <row r="41">
      <c r="A41" s="265"/>
      <c r="B41" s="265"/>
    </row>
    <row r="42">
      <c r="A42" s="265"/>
      <c r="B42" s="265"/>
    </row>
    <row r="43">
      <c r="A43" s="265"/>
      <c r="B43" s="265"/>
    </row>
    <row r="44">
      <c r="A44" s="265"/>
      <c r="B44" s="265"/>
    </row>
    <row r="45">
      <c r="A45" s="265"/>
      <c r="B45" s="265"/>
    </row>
    <row r="46">
      <c r="A46" s="265"/>
      <c r="B46" s="265"/>
    </row>
    <row r="47">
      <c r="A47" s="265"/>
      <c r="B47" s="265"/>
    </row>
    <row r="48">
      <c r="A48" s="265"/>
      <c r="B48" s="265"/>
    </row>
    <row r="49">
      <c r="A49" s="265"/>
      <c r="B49" s="265"/>
    </row>
    <row r="50">
      <c r="A50" s="265"/>
      <c r="B50" s="265"/>
    </row>
    <row r="51">
      <c r="A51" s="265"/>
      <c r="B51" s="265"/>
    </row>
    <row r="52">
      <c r="A52" s="265"/>
      <c r="B52" s="265"/>
    </row>
    <row r="53">
      <c r="A53" s="265"/>
      <c r="B53" s="265"/>
    </row>
    <row r="54">
      <c r="A54" s="265"/>
      <c r="B54" s="265"/>
    </row>
    <row r="55">
      <c r="A55" s="265"/>
      <c r="B55" s="265"/>
    </row>
    <row r="56">
      <c r="A56" s="265"/>
      <c r="B56" s="265"/>
    </row>
    <row r="57">
      <c r="A57" s="265"/>
      <c r="B57" s="265"/>
    </row>
    <row r="58">
      <c r="A58" s="265"/>
      <c r="B58" s="265"/>
    </row>
    <row r="59">
      <c r="A59" s="265"/>
      <c r="B59" s="265"/>
    </row>
    <row r="60">
      <c r="A60" s="265"/>
      <c r="B60" s="265"/>
    </row>
    <row r="61">
      <c r="A61" s="265"/>
      <c r="B61" s="265"/>
    </row>
    <row r="62">
      <c r="A62" s="265"/>
      <c r="B62" s="265"/>
    </row>
    <row r="63">
      <c r="A63" s="265"/>
      <c r="B63" s="265"/>
    </row>
    <row r="64">
      <c r="A64" s="265"/>
      <c r="B64" s="265"/>
    </row>
    <row r="65">
      <c r="A65" s="265"/>
      <c r="B65" s="265"/>
    </row>
    <row r="66">
      <c r="A66" s="265"/>
      <c r="B66" s="265"/>
    </row>
    <row r="67">
      <c r="A67" s="265"/>
      <c r="B67" s="265"/>
    </row>
    <row r="68">
      <c r="A68" s="265"/>
      <c r="B68" s="265"/>
    </row>
    <row r="69">
      <c r="A69" s="265"/>
      <c r="B69" s="265"/>
    </row>
    <row r="70">
      <c r="A70" s="265"/>
      <c r="B70" s="265"/>
    </row>
    <row r="71">
      <c r="A71" s="265"/>
      <c r="B71" s="265"/>
    </row>
    <row r="72">
      <c r="A72" s="265"/>
      <c r="B72" s="265"/>
    </row>
    <row r="73">
      <c r="A73" s="265"/>
      <c r="B73" s="265"/>
    </row>
    <row r="74">
      <c r="A74" s="265"/>
      <c r="B74" s="265"/>
    </row>
    <row r="75">
      <c r="A75" s="265"/>
      <c r="B75" s="265"/>
    </row>
    <row r="76">
      <c r="A76" s="265"/>
      <c r="B76" s="265"/>
    </row>
    <row r="77">
      <c r="A77" s="265"/>
      <c r="B77" s="265"/>
    </row>
    <row r="78">
      <c r="A78" s="265"/>
      <c r="B78" s="265"/>
    </row>
    <row r="79">
      <c r="A79" s="265"/>
      <c r="B79" s="265"/>
    </row>
    <row r="80">
      <c r="A80" s="265"/>
      <c r="B80" s="265"/>
    </row>
    <row r="81">
      <c r="A81" s="265"/>
      <c r="B81" s="265"/>
    </row>
    <row r="82">
      <c r="A82" s="265"/>
      <c r="B82" s="265"/>
    </row>
    <row r="83">
      <c r="A83" s="265"/>
      <c r="B83" s="265"/>
    </row>
    <row r="84">
      <c r="A84" s="265"/>
      <c r="B84" s="265"/>
    </row>
    <row r="85">
      <c r="A85" s="265"/>
      <c r="B85" s="265"/>
    </row>
    <row r="86">
      <c r="A86" s="265"/>
      <c r="B86" s="265"/>
    </row>
    <row r="87">
      <c r="A87" s="265"/>
      <c r="B87" s="265"/>
    </row>
    <row r="88">
      <c r="A88" s="265"/>
      <c r="B88" s="265"/>
    </row>
    <row r="89">
      <c r="A89" s="265"/>
      <c r="B89" s="265"/>
    </row>
    <row r="90">
      <c r="A90" s="265"/>
      <c r="B90" s="265"/>
    </row>
    <row r="91">
      <c r="A91" s="265"/>
      <c r="B91" s="265"/>
    </row>
    <row r="92">
      <c r="A92" s="265"/>
      <c r="B92" s="265"/>
    </row>
    <row r="93">
      <c r="A93" s="265"/>
      <c r="B93" s="265"/>
    </row>
    <row r="94">
      <c r="A94" s="265"/>
      <c r="B94" s="265"/>
    </row>
    <row r="95">
      <c r="A95" s="265"/>
      <c r="B95" s="265"/>
    </row>
    <row r="96">
      <c r="A96" s="265"/>
      <c r="B96" s="265"/>
    </row>
    <row r="97">
      <c r="A97" s="265"/>
      <c r="B97" s="265"/>
    </row>
    <row r="98">
      <c r="A98" s="265"/>
      <c r="B98" s="265"/>
    </row>
    <row r="99">
      <c r="A99" s="265"/>
      <c r="B99" s="265"/>
    </row>
    <row r="100">
      <c r="A100" s="265"/>
      <c r="B100" s="265"/>
    </row>
    <row r="101">
      <c r="A101" s="265"/>
      <c r="B101" s="265"/>
    </row>
    <row r="102">
      <c r="A102" s="265"/>
      <c r="B102" s="265"/>
    </row>
    <row r="103">
      <c r="A103" s="265"/>
      <c r="B103" s="265"/>
    </row>
    <row r="104">
      <c r="A104" s="265"/>
      <c r="B104" s="265"/>
    </row>
    <row r="105">
      <c r="A105" s="265"/>
      <c r="B105" s="265"/>
    </row>
    <row r="106">
      <c r="A106" s="265"/>
      <c r="B106" s="265"/>
    </row>
    <row r="107">
      <c r="A107" s="265"/>
      <c r="B107" s="265"/>
    </row>
    <row r="108">
      <c r="A108" s="265"/>
      <c r="B108" s="265"/>
    </row>
    <row r="109">
      <c r="A109" s="265"/>
      <c r="B109" s="265"/>
    </row>
    <row r="110">
      <c r="A110" s="265"/>
      <c r="B110" s="265"/>
    </row>
    <row r="111">
      <c r="A111" s="265"/>
      <c r="B111" s="265"/>
    </row>
    <row r="112">
      <c r="A112" s="265"/>
      <c r="B112" s="265"/>
    </row>
    <row r="113">
      <c r="A113" s="265"/>
      <c r="B113" s="265"/>
    </row>
    <row r="114">
      <c r="A114" s="265"/>
      <c r="B114" s="265"/>
    </row>
    <row r="115">
      <c r="A115" s="265"/>
      <c r="B115" s="265"/>
    </row>
    <row r="116">
      <c r="A116" s="265"/>
      <c r="B116" s="265"/>
    </row>
    <row r="117">
      <c r="A117" s="265"/>
      <c r="B117" s="265"/>
    </row>
    <row r="118">
      <c r="A118" s="265"/>
      <c r="B118" s="265"/>
    </row>
    <row r="119">
      <c r="A119" s="265"/>
      <c r="B119" s="265"/>
    </row>
    <row r="120">
      <c r="A120" s="265"/>
      <c r="B120" s="265"/>
    </row>
    <row r="121">
      <c r="A121" s="265"/>
      <c r="B121" s="265"/>
    </row>
    <row r="122">
      <c r="A122" s="265"/>
      <c r="B122" s="265"/>
    </row>
    <row r="123">
      <c r="A123" s="265"/>
      <c r="B123" s="265"/>
    </row>
    <row r="124">
      <c r="A124" s="265"/>
      <c r="B124" s="265"/>
    </row>
    <row r="125">
      <c r="A125" s="265"/>
      <c r="B125" s="265"/>
    </row>
    <row r="126">
      <c r="A126" s="265"/>
      <c r="B126" s="265"/>
    </row>
    <row r="127">
      <c r="A127" s="265"/>
      <c r="B127" s="265"/>
    </row>
    <row r="128">
      <c r="A128" s="265"/>
      <c r="B128" s="265"/>
    </row>
    <row r="129">
      <c r="A129" s="265"/>
      <c r="B129" s="265"/>
    </row>
    <row r="130">
      <c r="A130" s="265"/>
      <c r="B130" s="265"/>
    </row>
    <row r="131">
      <c r="A131" s="265"/>
      <c r="B131" s="265"/>
    </row>
    <row r="132">
      <c r="A132" s="265"/>
      <c r="B132" s="265"/>
    </row>
    <row r="133">
      <c r="A133" s="265"/>
      <c r="B133" s="265"/>
    </row>
    <row r="134">
      <c r="A134" s="265"/>
      <c r="B134" s="265"/>
    </row>
    <row r="135">
      <c r="A135" s="265"/>
      <c r="B135" s="265"/>
    </row>
    <row r="136">
      <c r="A136" s="265"/>
      <c r="B136" s="265"/>
    </row>
    <row r="137">
      <c r="A137" s="265"/>
      <c r="B137" s="265"/>
    </row>
    <row r="138">
      <c r="A138" s="265"/>
      <c r="B138" s="265"/>
    </row>
    <row r="139">
      <c r="A139" s="265"/>
      <c r="B139" s="265"/>
    </row>
    <row r="140">
      <c r="A140" s="265"/>
      <c r="B140" s="265"/>
    </row>
    <row r="141">
      <c r="A141" s="265"/>
      <c r="B141" s="265"/>
    </row>
    <row r="142">
      <c r="A142" s="265"/>
      <c r="B142" s="265"/>
    </row>
    <row r="143">
      <c r="A143" s="265"/>
      <c r="B143" s="265"/>
    </row>
    <row r="144">
      <c r="A144" s="265"/>
      <c r="B144" s="265"/>
    </row>
    <row r="145">
      <c r="A145" s="265"/>
      <c r="B145" s="265"/>
    </row>
    <row r="146">
      <c r="A146" s="265"/>
      <c r="B146" s="265"/>
    </row>
    <row r="147">
      <c r="A147" s="265"/>
      <c r="B147" s="265"/>
    </row>
    <row r="148">
      <c r="A148" s="265"/>
      <c r="B148" s="265"/>
    </row>
    <row r="149">
      <c r="A149" s="265"/>
      <c r="B149" s="265"/>
    </row>
    <row r="150">
      <c r="A150" s="265"/>
      <c r="B150" s="265"/>
    </row>
    <row r="151">
      <c r="A151" s="265"/>
      <c r="B151" s="265"/>
    </row>
    <row r="152">
      <c r="A152" s="265"/>
      <c r="B152" s="265"/>
    </row>
    <row r="153">
      <c r="A153" s="265"/>
      <c r="B153" s="265"/>
    </row>
    <row r="154">
      <c r="A154" s="265"/>
      <c r="B154" s="265"/>
    </row>
    <row r="155">
      <c r="A155" s="265"/>
      <c r="B155" s="265"/>
    </row>
    <row r="156">
      <c r="A156" s="265"/>
      <c r="B156" s="265"/>
    </row>
    <row r="157">
      <c r="A157" s="265"/>
      <c r="B157" s="265"/>
    </row>
    <row r="158">
      <c r="A158" s="265"/>
      <c r="B158" s="265"/>
    </row>
    <row r="159">
      <c r="A159" s="265"/>
      <c r="B159" s="265"/>
    </row>
    <row r="160">
      <c r="A160" s="265"/>
      <c r="B160" s="265"/>
    </row>
    <row r="161">
      <c r="A161" s="265"/>
      <c r="B161" s="265"/>
    </row>
    <row r="162">
      <c r="A162" s="265"/>
      <c r="B162" s="265"/>
    </row>
    <row r="163">
      <c r="A163" s="265"/>
      <c r="B163" s="265"/>
    </row>
    <row r="164">
      <c r="A164" s="265"/>
      <c r="B164" s="265"/>
    </row>
    <row r="165">
      <c r="A165" s="265"/>
      <c r="B165" s="265"/>
    </row>
    <row r="166">
      <c r="A166" s="265"/>
      <c r="B166" s="265"/>
    </row>
    <row r="167">
      <c r="A167" s="265"/>
      <c r="B167" s="265"/>
    </row>
    <row r="168">
      <c r="A168" s="265"/>
      <c r="B168" s="265"/>
    </row>
    <row r="169">
      <c r="A169" s="265"/>
      <c r="B169" s="265"/>
    </row>
    <row r="170">
      <c r="A170" s="265"/>
      <c r="B170" s="265"/>
    </row>
    <row r="171">
      <c r="A171" s="265"/>
      <c r="B171" s="265"/>
    </row>
    <row r="172">
      <c r="A172" s="265"/>
      <c r="B172" s="265"/>
    </row>
    <row r="173">
      <c r="A173" s="265"/>
      <c r="B173" s="265"/>
    </row>
    <row r="174">
      <c r="A174" s="265"/>
      <c r="B174" s="265"/>
    </row>
    <row r="175">
      <c r="A175" s="265"/>
      <c r="B175" s="265"/>
    </row>
    <row r="176">
      <c r="A176" s="265"/>
      <c r="B176" s="265"/>
    </row>
    <row r="177">
      <c r="A177" s="265"/>
      <c r="B177" s="265"/>
    </row>
    <row r="178">
      <c r="A178" s="265"/>
      <c r="B178" s="265"/>
    </row>
    <row r="179">
      <c r="A179" s="265"/>
      <c r="B179" s="265"/>
    </row>
    <row r="180">
      <c r="A180" s="265"/>
      <c r="B180" s="265"/>
    </row>
    <row r="181">
      <c r="A181" s="265"/>
      <c r="B181" s="265"/>
    </row>
    <row r="182">
      <c r="A182" s="265"/>
      <c r="B182" s="265"/>
    </row>
    <row r="183">
      <c r="A183" s="265"/>
      <c r="B183" s="265"/>
    </row>
    <row r="184">
      <c r="A184" s="265"/>
      <c r="B184" s="265"/>
    </row>
    <row r="185">
      <c r="A185" s="265"/>
      <c r="B185" s="265"/>
    </row>
    <row r="186">
      <c r="A186" s="265"/>
      <c r="B186" s="265"/>
    </row>
    <row r="187">
      <c r="A187" s="265"/>
      <c r="B187" s="265"/>
    </row>
    <row r="188">
      <c r="A188" s="265"/>
      <c r="B188" s="265"/>
    </row>
    <row r="189">
      <c r="A189" s="265"/>
      <c r="B189" s="265"/>
    </row>
    <row r="190">
      <c r="A190" s="265"/>
      <c r="B190" s="265"/>
    </row>
    <row r="191">
      <c r="A191" s="265"/>
      <c r="B191" s="265"/>
    </row>
    <row r="192">
      <c r="A192" s="265"/>
      <c r="B192" s="265"/>
    </row>
    <row r="193">
      <c r="A193" s="265"/>
      <c r="B193" s="265"/>
    </row>
    <row r="194">
      <c r="A194" s="265"/>
      <c r="B194" s="265"/>
    </row>
    <row r="195">
      <c r="A195" s="265"/>
      <c r="B195" s="265"/>
    </row>
    <row r="196">
      <c r="A196" s="265"/>
      <c r="B196" s="265"/>
    </row>
    <row r="197">
      <c r="A197" s="265"/>
      <c r="B197" s="265"/>
    </row>
    <row r="198">
      <c r="A198" s="265"/>
      <c r="B198" s="265"/>
    </row>
    <row r="199">
      <c r="A199" s="265"/>
      <c r="B199" s="265"/>
    </row>
    <row r="200">
      <c r="A200" s="265"/>
      <c r="B200" s="265"/>
    </row>
    <row r="201">
      <c r="A201" s="265"/>
      <c r="B201" s="265"/>
    </row>
    <row r="202">
      <c r="A202" s="265"/>
      <c r="B202" s="265"/>
    </row>
    <row r="203">
      <c r="A203" s="265"/>
      <c r="B203" s="265"/>
    </row>
    <row r="204">
      <c r="A204" s="265"/>
      <c r="B204" s="265"/>
    </row>
    <row r="205">
      <c r="A205" s="265"/>
      <c r="B205" s="265"/>
    </row>
    <row r="206">
      <c r="A206" s="265"/>
      <c r="B206" s="265"/>
    </row>
    <row r="207">
      <c r="A207" s="265"/>
      <c r="B207" s="265"/>
    </row>
    <row r="208">
      <c r="A208" s="265"/>
      <c r="B208" s="265"/>
    </row>
    <row r="209">
      <c r="A209" s="265"/>
      <c r="B209" s="265"/>
    </row>
    <row r="210">
      <c r="A210" s="265"/>
      <c r="B210" s="265"/>
    </row>
    <row r="211">
      <c r="A211" s="265"/>
      <c r="B211" s="265"/>
    </row>
    <row r="212">
      <c r="A212" s="265"/>
      <c r="B212" s="265"/>
    </row>
    <row r="213">
      <c r="A213" s="265"/>
      <c r="B213" s="265"/>
    </row>
    <row r="214">
      <c r="A214" s="265"/>
      <c r="B214" s="265"/>
    </row>
    <row r="215">
      <c r="A215" s="265"/>
      <c r="B215" s="265"/>
    </row>
    <row r="216">
      <c r="A216" s="265"/>
      <c r="B216" s="265"/>
    </row>
    <row r="217">
      <c r="A217" s="265"/>
      <c r="B217" s="265"/>
    </row>
    <row r="218">
      <c r="A218" s="265"/>
      <c r="B218" s="265"/>
    </row>
    <row r="219">
      <c r="A219" s="265"/>
      <c r="B219" s="265"/>
    </row>
    <row r="220">
      <c r="A220" s="265"/>
      <c r="B220" s="265"/>
    </row>
    <row r="221">
      <c r="A221" s="265"/>
      <c r="B221" s="265"/>
    </row>
    <row r="222">
      <c r="A222" s="265"/>
      <c r="B222" s="265"/>
    </row>
    <row r="223">
      <c r="A223" s="265"/>
      <c r="B223" s="265"/>
    </row>
    <row r="224">
      <c r="A224" s="265"/>
      <c r="B224" s="265"/>
    </row>
    <row r="225">
      <c r="A225" s="265"/>
      <c r="B225" s="265"/>
    </row>
    <row r="226">
      <c r="A226" s="265"/>
      <c r="B226" s="265"/>
    </row>
    <row r="227">
      <c r="A227" s="265"/>
      <c r="B227" s="265"/>
    </row>
    <row r="228">
      <c r="A228" s="265"/>
      <c r="B228" s="265"/>
    </row>
    <row r="229">
      <c r="A229" s="265"/>
      <c r="B229" s="265"/>
    </row>
    <row r="230">
      <c r="A230" s="265"/>
      <c r="B230" s="265"/>
    </row>
    <row r="231">
      <c r="A231" s="265"/>
      <c r="B231" s="265"/>
    </row>
    <row r="232">
      <c r="A232" s="265"/>
      <c r="B232" s="265"/>
    </row>
    <row r="233">
      <c r="A233" s="265"/>
      <c r="B233" s="265"/>
    </row>
    <row r="234">
      <c r="A234" s="265"/>
      <c r="B234" s="265"/>
    </row>
    <row r="235">
      <c r="A235" s="265"/>
      <c r="B235" s="265"/>
    </row>
    <row r="236">
      <c r="A236" s="265"/>
      <c r="B236" s="265"/>
    </row>
    <row r="237">
      <c r="A237" s="265"/>
      <c r="B237" s="265"/>
    </row>
    <row r="238">
      <c r="A238" s="265"/>
      <c r="B238" s="265"/>
    </row>
    <row r="239">
      <c r="A239" s="265"/>
      <c r="B239" s="265"/>
    </row>
    <row r="240">
      <c r="A240" s="265"/>
      <c r="B240" s="265"/>
    </row>
    <row r="241">
      <c r="A241" s="265"/>
      <c r="B241" s="265"/>
    </row>
    <row r="242">
      <c r="A242" s="265"/>
      <c r="B242" s="265"/>
    </row>
    <row r="243">
      <c r="A243" s="265"/>
      <c r="B243" s="265"/>
    </row>
    <row r="244">
      <c r="A244" s="265"/>
      <c r="B244" s="265"/>
    </row>
    <row r="245">
      <c r="A245" s="265"/>
      <c r="B245" s="265"/>
    </row>
    <row r="246">
      <c r="A246" s="265"/>
      <c r="B246" s="265"/>
    </row>
    <row r="247">
      <c r="A247" s="265"/>
      <c r="B247" s="265"/>
    </row>
    <row r="248">
      <c r="A248" s="265"/>
      <c r="B248" s="265"/>
    </row>
    <row r="249">
      <c r="A249" s="265"/>
      <c r="B249" s="265"/>
    </row>
    <row r="250">
      <c r="A250" s="265"/>
      <c r="B250" s="265"/>
    </row>
    <row r="251">
      <c r="A251" s="265"/>
      <c r="B251" s="265"/>
    </row>
    <row r="252">
      <c r="A252" s="265"/>
      <c r="B252" s="265"/>
    </row>
    <row r="253">
      <c r="A253" s="265"/>
      <c r="B253" s="265"/>
    </row>
    <row r="254">
      <c r="A254" s="265"/>
      <c r="B254" s="265"/>
    </row>
    <row r="255">
      <c r="A255" s="265"/>
      <c r="B255" s="265"/>
    </row>
    <row r="256">
      <c r="A256" s="265"/>
      <c r="B256" s="265"/>
    </row>
    <row r="257">
      <c r="A257" s="265"/>
      <c r="B257" s="265"/>
    </row>
    <row r="258">
      <c r="A258" s="265"/>
      <c r="B258" s="265"/>
    </row>
    <row r="259">
      <c r="A259" s="265"/>
      <c r="B259" s="265"/>
    </row>
    <row r="260">
      <c r="A260" s="265"/>
      <c r="B260" s="265"/>
    </row>
    <row r="261">
      <c r="A261" s="265"/>
      <c r="B261" s="265"/>
    </row>
    <row r="262">
      <c r="A262" s="265"/>
      <c r="B262" s="265"/>
    </row>
    <row r="263">
      <c r="A263" s="265"/>
      <c r="B263" s="265"/>
    </row>
    <row r="264">
      <c r="A264" s="265"/>
      <c r="B264" s="265"/>
    </row>
    <row r="265">
      <c r="A265" s="265"/>
      <c r="B265" s="265"/>
    </row>
    <row r="266">
      <c r="A266" s="265"/>
      <c r="B266" s="265"/>
    </row>
    <row r="267">
      <c r="A267" s="265"/>
      <c r="B267" s="265"/>
    </row>
    <row r="268">
      <c r="A268" s="265"/>
      <c r="B268" s="265"/>
    </row>
    <row r="269">
      <c r="A269" s="265"/>
      <c r="B269" s="265"/>
    </row>
    <row r="270">
      <c r="A270" s="265"/>
      <c r="B270" s="265"/>
    </row>
    <row r="271">
      <c r="A271" s="265"/>
      <c r="B271" s="265"/>
    </row>
    <row r="272">
      <c r="A272" s="265"/>
      <c r="B272" s="265"/>
    </row>
    <row r="273">
      <c r="A273" s="265"/>
      <c r="B273" s="265"/>
    </row>
    <row r="274">
      <c r="A274" s="265"/>
      <c r="B274" s="265"/>
    </row>
    <row r="275">
      <c r="A275" s="265"/>
      <c r="B275" s="265"/>
    </row>
    <row r="276">
      <c r="A276" s="265"/>
      <c r="B276" s="265"/>
    </row>
    <row r="277">
      <c r="A277" s="265"/>
      <c r="B277" s="265"/>
    </row>
    <row r="278">
      <c r="A278" s="265"/>
      <c r="B278" s="265"/>
    </row>
    <row r="279">
      <c r="A279" s="265"/>
      <c r="B279" s="265"/>
    </row>
    <row r="280">
      <c r="A280" s="265"/>
      <c r="B280" s="265"/>
    </row>
    <row r="281">
      <c r="A281" s="265"/>
      <c r="B281" s="265"/>
    </row>
    <row r="282">
      <c r="A282" s="265"/>
      <c r="B282" s="265"/>
    </row>
    <row r="283">
      <c r="A283" s="265"/>
      <c r="B283" s="265"/>
    </row>
    <row r="284">
      <c r="A284" s="265"/>
      <c r="B284" s="265"/>
    </row>
    <row r="285">
      <c r="A285" s="265"/>
      <c r="B285" s="265"/>
    </row>
    <row r="286">
      <c r="A286" s="265"/>
      <c r="B286" s="265"/>
    </row>
    <row r="287">
      <c r="A287" s="265"/>
      <c r="B287" s="265"/>
    </row>
    <row r="288">
      <c r="A288" s="265"/>
      <c r="B288" s="265"/>
    </row>
    <row r="289">
      <c r="A289" s="265"/>
      <c r="B289" s="265"/>
    </row>
    <row r="290">
      <c r="A290" s="265"/>
      <c r="B290" s="265"/>
    </row>
    <row r="291">
      <c r="A291" s="265"/>
      <c r="B291" s="265"/>
    </row>
    <row r="292">
      <c r="A292" s="265"/>
      <c r="B292" s="265"/>
    </row>
    <row r="293">
      <c r="A293" s="265"/>
      <c r="B293" s="265"/>
    </row>
    <row r="294">
      <c r="A294" s="265"/>
      <c r="B294" s="265"/>
    </row>
    <row r="295">
      <c r="A295" s="265"/>
      <c r="B295" s="265"/>
    </row>
    <row r="296">
      <c r="A296" s="265"/>
      <c r="B296" s="265"/>
    </row>
    <row r="297">
      <c r="A297" s="265"/>
      <c r="B297" s="265"/>
    </row>
    <row r="298">
      <c r="A298" s="265"/>
      <c r="B298" s="265"/>
    </row>
    <row r="299">
      <c r="A299" s="265"/>
      <c r="B299" s="265"/>
    </row>
    <row r="300">
      <c r="A300" s="265"/>
      <c r="B300" s="265"/>
    </row>
    <row r="301">
      <c r="A301" s="265"/>
      <c r="B301" s="265"/>
    </row>
    <row r="302">
      <c r="A302" s="265"/>
      <c r="B302" s="265"/>
    </row>
    <row r="303">
      <c r="A303" s="265"/>
      <c r="B303" s="265"/>
    </row>
    <row r="304">
      <c r="A304" s="265"/>
      <c r="B304" s="265"/>
    </row>
    <row r="305">
      <c r="A305" s="265"/>
      <c r="B305" s="265"/>
    </row>
    <row r="306">
      <c r="A306" s="265"/>
      <c r="B306" s="265"/>
    </row>
    <row r="307">
      <c r="A307" s="265"/>
      <c r="B307" s="265"/>
    </row>
    <row r="308">
      <c r="A308" s="265"/>
      <c r="B308" s="265"/>
    </row>
    <row r="309">
      <c r="A309" s="265"/>
      <c r="B309" s="265"/>
    </row>
    <row r="310">
      <c r="A310" s="265"/>
      <c r="B310" s="265"/>
    </row>
    <row r="311">
      <c r="A311" s="265"/>
      <c r="B311" s="265"/>
    </row>
    <row r="312">
      <c r="A312" s="265"/>
      <c r="B312" s="265"/>
    </row>
    <row r="313">
      <c r="A313" s="265"/>
      <c r="B313" s="265"/>
    </row>
    <row r="314">
      <c r="A314" s="265"/>
      <c r="B314" s="265"/>
    </row>
    <row r="315">
      <c r="A315" s="265"/>
      <c r="B315" s="265"/>
    </row>
    <row r="316">
      <c r="A316" s="265"/>
      <c r="B316" s="265"/>
    </row>
    <row r="317">
      <c r="A317" s="265"/>
      <c r="B317" s="265"/>
    </row>
    <row r="318">
      <c r="A318" s="265"/>
      <c r="B318" s="265"/>
    </row>
    <row r="319">
      <c r="A319" s="265"/>
      <c r="B319" s="265"/>
    </row>
    <row r="320">
      <c r="A320" s="265"/>
      <c r="B320" s="265"/>
    </row>
    <row r="321">
      <c r="A321" s="265"/>
      <c r="B321" s="265"/>
    </row>
    <row r="322">
      <c r="A322" s="265"/>
      <c r="B322" s="265"/>
    </row>
    <row r="323">
      <c r="A323" s="265"/>
      <c r="B323" s="265"/>
    </row>
    <row r="324">
      <c r="A324" s="265"/>
      <c r="B324" s="265"/>
    </row>
    <row r="325">
      <c r="A325" s="265"/>
      <c r="B325" s="265"/>
    </row>
    <row r="326">
      <c r="A326" s="265"/>
      <c r="B326" s="265"/>
    </row>
    <row r="327">
      <c r="A327" s="265"/>
      <c r="B327" s="265"/>
    </row>
    <row r="328">
      <c r="A328" s="265"/>
      <c r="B328" s="265"/>
    </row>
    <row r="329">
      <c r="A329" s="265"/>
      <c r="B329" s="265"/>
    </row>
    <row r="330">
      <c r="A330" s="265"/>
      <c r="B330" s="265"/>
    </row>
    <row r="331">
      <c r="A331" s="265"/>
      <c r="B331" s="265"/>
    </row>
    <row r="332">
      <c r="A332" s="265"/>
      <c r="B332" s="265"/>
    </row>
    <row r="333">
      <c r="A333" s="265"/>
      <c r="B333" s="265"/>
    </row>
    <row r="334">
      <c r="A334" s="265"/>
      <c r="B334" s="265"/>
    </row>
    <row r="335">
      <c r="A335" s="265"/>
      <c r="B335" s="265"/>
    </row>
    <row r="336">
      <c r="A336" s="265"/>
      <c r="B336" s="265"/>
    </row>
    <row r="337">
      <c r="A337" s="265"/>
      <c r="B337" s="265"/>
    </row>
    <row r="338">
      <c r="A338" s="265"/>
      <c r="B338" s="265"/>
    </row>
    <row r="339">
      <c r="A339" s="265"/>
      <c r="B339" s="265"/>
    </row>
    <row r="340">
      <c r="A340" s="265"/>
      <c r="B340" s="265"/>
    </row>
    <row r="341">
      <c r="A341" s="265"/>
      <c r="B341" s="265"/>
    </row>
    <row r="342">
      <c r="A342" s="265"/>
      <c r="B342" s="265"/>
    </row>
    <row r="343">
      <c r="A343" s="265"/>
      <c r="B343" s="265"/>
    </row>
    <row r="344">
      <c r="A344" s="265"/>
      <c r="B344" s="265"/>
    </row>
    <row r="345">
      <c r="A345" s="265"/>
      <c r="B345" s="265"/>
    </row>
    <row r="346">
      <c r="A346" s="265"/>
      <c r="B346" s="265"/>
    </row>
    <row r="347">
      <c r="A347" s="265"/>
      <c r="B347" s="265"/>
    </row>
    <row r="348">
      <c r="A348" s="265"/>
      <c r="B348" s="265"/>
    </row>
    <row r="349">
      <c r="A349" s="265"/>
      <c r="B349" s="265"/>
    </row>
    <row r="350">
      <c r="A350" s="265"/>
      <c r="B350" s="265"/>
    </row>
    <row r="351">
      <c r="A351" s="265"/>
      <c r="B351" s="265"/>
    </row>
    <row r="352">
      <c r="A352" s="265"/>
      <c r="B352" s="265"/>
    </row>
    <row r="353">
      <c r="A353" s="265"/>
      <c r="B353" s="265"/>
    </row>
    <row r="354">
      <c r="A354" s="265"/>
      <c r="B354" s="265"/>
    </row>
    <row r="355">
      <c r="A355" s="265"/>
      <c r="B355" s="265"/>
    </row>
    <row r="356">
      <c r="A356" s="265"/>
      <c r="B356" s="265"/>
    </row>
    <row r="357">
      <c r="A357" s="265"/>
      <c r="B357" s="265"/>
    </row>
    <row r="358">
      <c r="A358" s="265"/>
      <c r="B358" s="265"/>
    </row>
    <row r="359">
      <c r="A359" s="265"/>
      <c r="B359" s="265"/>
    </row>
    <row r="360">
      <c r="A360" s="265"/>
      <c r="B360" s="265"/>
    </row>
    <row r="361">
      <c r="A361" s="265"/>
      <c r="B361" s="265"/>
    </row>
    <row r="362">
      <c r="A362" s="265"/>
      <c r="B362" s="265"/>
    </row>
    <row r="363">
      <c r="A363" s="265"/>
      <c r="B363" s="265"/>
    </row>
    <row r="364">
      <c r="A364" s="265"/>
      <c r="B364" s="265"/>
    </row>
    <row r="365">
      <c r="A365" s="265"/>
      <c r="B365" s="265"/>
    </row>
    <row r="366">
      <c r="A366" s="265"/>
      <c r="B366" s="265"/>
    </row>
    <row r="367">
      <c r="A367" s="265"/>
      <c r="B367" s="265"/>
    </row>
    <row r="368">
      <c r="A368" s="265"/>
      <c r="B368" s="265"/>
    </row>
    <row r="369">
      <c r="A369" s="265"/>
      <c r="B369" s="265"/>
    </row>
    <row r="370">
      <c r="A370" s="265"/>
      <c r="B370" s="265"/>
    </row>
    <row r="371">
      <c r="A371" s="265"/>
      <c r="B371" s="265"/>
    </row>
    <row r="372">
      <c r="A372" s="265"/>
      <c r="B372" s="265"/>
    </row>
    <row r="373">
      <c r="A373" s="265"/>
      <c r="B373" s="265"/>
    </row>
    <row r="374">
      <c r="A374" s="265"/>
      <c r="B374" s="265"/>
    </row>
    <row r="375">
      <c r="A375" s="265"/>
      <c r="B375" s="265"/>
    </row>
    <row r="376">
      <c r="A376" s="265"/>
      <c r="B376" s="265"/>
    </row>
    <row r="377">
      <c r="A377" s="265"/>
      <c r="B377" s="265"/>
    </row>
    <row r="378">
      <c r="A378" s="265"/>
      <c r="B378" s="265"/>
    </row>
    <row r="379">
      <c r="A379" s="265"/>
      <c r="B379" s="265"/>
    </row>
    <row r="380">
      <c r="A380" s="265"/>
      <c r="B380" s="265"/>
    </row>
    <row r="381">
      <c r="A381" s="265"/>
      <c r="B381" s="265"/>
    </row>
    <row r="382">
      <c r="A382" s="265"/>
      <c r="B382" s="265"/>
    </row>
    <row r="383">
      <c r="A383" s="265"/>
      <c r="B383" s="265"/>
    </row>
    <row r="384">
      <c r="A384" s="265"/>
      <c r="B384" s="265"/>
    </row>
    <row r="385">
      <c r="A385" s="265"/>
      <c r="B385" s="265"/>
    </row>
    <row r="386">
      <c r="A386" s="265"/>
      <c r="B386" s="265"/>
    </row>
    <row r="387">
      <c r="A387" s="265"/>
      <c r="B387" s="265"/>
    </row>
    <row r="388">
      <c r="A388" s="265"/>
      <c r="B388" s="265"/>
    </row>
    <row r="389">
      <c r="A389" s="265"/>
      <c r="B389" s="265"/>
    </row>
    <row r="390">
      <c r="A390" s="265"/>
      <c r="B390" s="265"/>
    </row>
    <row r="391">
      <c r="A391" s="265"/>
      <c r="B391" s="265"/>
    </row>
    <row r="392">
      <c r="A392" s="265"/>
      <c r="B392" s="265"/>
    </row>
    <row r="393">
      <c r="A393" s="265"/>
      <c r="B393" s="265"/>
    </row>
    <row r="394">
      <c r="A394" s="265"/>
      <c r="B394" s="265"/>
    </row>
    <row r="395">
      <c r="A395" s="265"/>
      <c r="B395" s="265"/>
    </row>
    <row r="396">
      <c r="A396" s="265"/>
      <c r="B396" s="265"/>
    </row>
    <row r="397">
      <c r="A397" s="265"/>
      <c r="B397" s="265"/>
    </row>
    <row r="398">
      <c r="A398" s="265"/>
      <c r="B398" s="265"/>
    </row>
    <row r="399">
      <c r="A399" s="265"/>
      <c r="B399" s="265"/>
    </row>
    <row r="400">
      <c r="A400" s="265"/>
      <c r="B400" s="265"/>
    </row>
    <row r="401">
      <c r="A401" s="265"/>
      <c r="B401" s="265"/>
    </row>
    <row r="402">
      <c r="A402" s="265"/>
      <c r="B402" s="265"/>
    </row>
    <row r="403">
      <c r="A403" s="265"/>
      <c r="B403" s="265"/>
    </row>
    <row r="404">
      <c r="A404" s="265"/>
      <c r="B404" s="265"/>
    </row>
    <row r="405">
      <c r="A405" s="265"/>
      <c r="B405" s="265"/>
    </row>
    <row r="406">
      <c r="A406" s="265"/>
      <c r="B406" s="265"/>
    </row>
    <row r="407">
      <c r="A407" s="265"/>
      <c r="B407" s="265"/>
    </row>
    <row r="408">
      <c r="A408" s="265"/>
      <c r="B408" s="265"/>
    </row>
    <row r="409">
      <c r="A409" s="265"/>
      <c r="B409" s="265"/>
    </row>
    <row r="410">
      <c r="A410" s="265"/>
      <c r="B410" s="265"/>
    </row>
    <row r="411">
      <c r="A411" s="265"/>
      <c r="B411" s="265"/>
    </row>
    <row r="412">
      <c r="A412" s="265"/>
      <c r="B412" s="265"/>
    </row>
    <row r="413">
      <c r="A413" s="265"/>
      <c r="B413" s="265"/>
    </row>
    <row r="414">
      <c r="A414" s="265"/>
      <c r="B414" s="265"/>
    </row>
    <row r="415">
      <c r="A415" s="265"/>
      <c r="B415" s="265"/>
    </row>
    <row r="416">
      <c r="A416" s="265"/>
      <c r="B416" s="265"/>
    </row>
    <row r="417">
      <c r="A417" s="265"/>
      <c r="B417" s="265"/>
    </row>
    <row r="418">
      <c r="A418" s="265"/>
      <c r="B418" s="265"/>
    </row>
    <row r="419">
      <c r="A419" s="265"/>
      <c r="B419" s="265"/>
    </row>
    <row r="420">
      <c r="A420" s="265"/>
      <c r="B420" s="265"/>
    </row>
    <row r="421">
      <c r="A421" s="265"/>
      <c r="B421" s="265"/>
    </row>
    <row r="422">
      <c r="A422" s="265"/>
      <c r="B422" s="265"/>
    </row>
    <row r="423">
      <c r="A423" s="265"/>
      <c r="B423" s="265"/>
    </row>
    <row r="424">
      <c r="A424" s="265"/>
      <c r="B424" s="265"/>
    </row>
    <row r="425">
      <c r="A425" s="265"/>
      <c r="B425" s="265"/>
    </row>
    <row r="426">
      <c r="A426" s="265"/>
      <c r="B426" s="265"/>
    </row>
    <row r="427">
      <c r="A427" s="265"/>
      <c r="B427" s="265"/>
    </row>
    <row r="428">
      <c r="A428" s="265"/>
      <c r="B428" s="265"/>
    </row>
    <row r="429">
      <c r="A429" s="265"/>
      <c r="B429" s="265"/>
    </row>
    <row r="430">
      <c r="A430" s="265"/>
      <c r="B430" s="265"/>
    </row>
    <row r="431">
      <c r="A431" s="265"/>
      <c r="B431" s="265"/>
    </row>
    <row r="432">
      <c r="A432" s="265"/>
      <c r="B432" s="265"/>
    </row>
    <row r="433">
      <c r="A433" s="265"/>
      <c r="B433" s="265"/>
    </row>
    <row r="434">
      <c r="A434" s="265"/>
      <c r="B434" s="265"/>
    </row>
    <row r="435">
      <c r="A435" s="265"/>
      <c r="B435" s="265"/>
    </row>
    <row r="436">
      <c r="A436" s="265"/>
      <c r="B436" s="265"/>
    </row>
    <row r="437">
      <c r="A437" s="265"/>
      <c r="B437" s="265"/>
    </row>
    <row r="438">
      <c r="A438" s="265"/>
      <c r="B438" s="265"/>
    </row>
    <row r="439">
      <c r="A439" s="265"/>
      <c r="B439" s="265"/>
    </row>
    <row r="440">
      <c r="A440" s="265"/>
      <c r="B440" s="265"/>
    </row>
    <row r="441">
      <c r="A441" s="265"/>
      <c r="B441" s="265"/>
    </row>
    <row r="442">
      <c r="A442" s="265"/>
      <c r="B442" s="265"/>
    </row>
    <row r="443">
      <c r="A443" s="265"/>
      <c r="B443" s="265"/>
    </row>
    <row r="444">
      <c r="A444" s="265"/>
      <c r="B444" s="265"/>
    </row>
    <row r="445">
      <c r="A445" s="265"/>
      <c r="B445" s="265"/>
    </row>
    <row r="446">
      <c r="A446" s="265"/>
      <c r="B446" s="265"/>
    </row>
    <row r="447">
      <c r="A447" s="265"/>
      <c r="B447" s="265"/>
    </row>
    <row r="448">
      <c r="A448" s="265"/>
      <c r="B448" s="265"/>
    </row>
    <row r="449">
      <c r="A449" s="265"/>
      <c r="B449" s="265"/>
    </row>
    <row r="450">
      <c r="A450" s="265"/>
      <c r="B450" s="265"/>
    </row>
    <row r="451">
      <c r="A451" s="265"/>
      <c r="B451" s="265"/>
    </row>
    <row r="452">
      <c r="A452" s="265"/>
      <c r="B452" s="265"/>
    </row>
    <row r="453">
      <c r="A453" s="265"/>
      <c r="B453" s="265"/>
    </row>
    <row r="454">
      <c r="A454" s="265"/>
      <c r="B454" s="265"/>
    </row>
    <row r="455">
      <c r="A455" s="265"/>
      <c r="B455" s="265"/>
    </row>
    <row r="456">
      <c r="A456" s="265"/>
      <c r="B456" s="265"/>
    </row>
    <row r="457">
      <c r="A457" s="265"/>
      <c r="B457" s="265"/>
    </row>
    <row r="458">
      <c r="A458" s="265"/>
      <c r="B458" s="265"/>
    </row>
    <row r="459">
      <c r="A459" s="265"/>
      <c r="B459" s="265"/>
    </row>
    <row r="460">
      <c r="A460" s="265"/>
      <c r="B460" s="265"/>
    </row>
    <row r="461">
      <c r="A461" s="265"/>
      <c r="B461" s="265"/>
    </row>
    <row r="462">
      <c r="A462" s="265"/>
      <c r="B462" s="265"/>
    </row>
    <row r="463">
      <c r="A463" s="265"/>
      <c r="B463" s="265"/>
    </row>
    <row r="464">
      <c r="A464" s="265"/>
      <c r="B464" s="265"/>
    </row>
    <row r="465">
      <c r="A465" s="265"/>
      <c r="B465" s="265"/>
    </row>
    <row r="466">
      <c r="A466" s="265"/>
      <c r="B466" s="265"/>
    </row>
    <row r="467">
      <c r="A467" s="265"/>
      <c r="B467" s="265"/>
    </row>
    <row r="468">
      <c r="A468" s="265"/>
      <c r="B468" s="265"/>
    </row>
    <row r="469">
      <c r="A469" s="265"/>
      <c r="B469" s="265"/>
    </row>
    <row r="470">
      <c r="A470" s="265"/>
      <c r="B470" s="265"/>
    </row>
    <row r="471">
      <c r="A471" s="265"/>
      <c r="B471" s="265"/>
    </row>
    <row r="472">
      <c r="A472" s="265"/>
      <c r="B472" s="265"/>
    </row>
    <row r="473">
      <c r="A473" s="265"/>
      <c r="B473" s="265"/>
    </row>
    <row r="474">
      <c r="A474" s="265"/>
      <c r="B474" s="265"/>
    </row>
    <row r="475">
      <c r="A475" s="265"/>
      <c r="B475" s="265"/>
    </row>
    <row r="476">
      <c r="A476" s="265"/>
      <c r="B476" s="265"/>
    </row>
    <row r="477">
      <c r="A477" s="265"/>
      <c r="B477" s="265"/>
    </row>
    <row r="478">
      <c r="A478" s="265"/>
      <c r="B478" s="265"/>
    </row>
    <row r="479">
      <c r="A479" s="265"/>
      <c r="B479" s="265"/>
    </row>
    <row r="480">
      <c r="A480" s="265"/>
      <c r="B480" s="265"/>
    </row>
    <row r="481">
      <c r="A481" s="265"/>
      <c r="B481" s="265"/>
    </row>
    <row r="482">
      <c r="A482" s="265"/>
      <c r="B482" s="265"/>
    </row>
    <row r="483">
      <c r="A483" s="265"/>
      <c r="B483" s="265"/>
    </row>
    <row r="484">
      <c r="A484" s="265"/>
      <c r="B484" s="265"/>
    </row>
    <row r="485">
      <c r="A485" s="265"/>
      <c r="B485" s="265"/>
    </row>
    <row r="486">
      <c r="A486" s="265"/>
      <c r="B486" s="265"/>
    </row>
    <row r="487">
      <c r="A487" s="265"/>
      <c r="B487" s="265"/>
    </row>
    <row r="488">
      <c r="A488" s="265"/>
      <c r="B488" s="265"/>
    </row>
    <row r="489">
      <c r="A489" s="265"/>
      <c r="B489" s="265"/>
    </row>
    <row r="490">
      <c r="A490" s="265"/>
      <c r="B490" s="265"/>
    </row>
    <row r="491">
      <c r="A491" s="265"/>
      <c r="B491" s="265"/>
    </row>
    <row r="492">
      <c r="A492" s="265"/>
      <c r="B492" s="265"/>
    </row>
    <row r="493">
      <c r="A493" s="265"/>
      <c r="B493" s="265"/>
    </row>
    <row r="494">
      <c r="A494" s="265"/>
      <c r="B494" s="265"/>
    </row>
    <row r="495">
      <c r="A495" s="265"/>
      <c r="B495" s="265"/>
    </row>
    <row r="496">
      <c r="A496" s="265"/>
      <c r="B496" s="265"/>
    </row>
    <row r="497">
      <c r="A497" s="265"/>
      <c r="B497" s="265"/>
    </row>
    <row r="498">
      <c r="A498" s="265"/>
      <c r="B498" s="265"/>
    </row>
    <row r="499">
      <c r="A499" s="265"/>
      <c r="B499" s="265"/>
    </row>
    <row r="500">
      <c r="A500" s="265"/>
      <c r="B500" s="265"/>
    </row>
    <row r="501">
      <c r="A501" s="265"/>
      <c r="B501" s="265"/>
    </row>
    <row r="502">
      <c r="A502" s="265"/>
      <c r="B502" s="265"/>
    </row>
    <row r="503">
      <c r="A503" s="265"/>
      <c r="B503" s="265"/>
    </row>
    <row r="504">
      <c r="A504" s="265"/>
      <c r="B504" s="265"/>
    </row>
    <row r="505">
      <c r="A505" s="265"/>
      <c r="B505" s="265"/>
    </row>
    <row r="506">
      <c r="A506" s="265"/>
      <c r="B506" s="265"/>
    </row>
    <row r="507">
      <c r="A507" s="265"/>
      <c r="B507" s="265"/>
    </row>
    <row r="508">
      <c r="A508" s="265"/>
      <c r="B508" s="265"/>
    </row>
    <row r="509">
      <c r="A509" s="265"/>
      <c r="B509" s="265"/>
    </row>
    <row r="510">
      <c r="A510" s="265"/>
      <c r="B510" s="265"/>
    </row>
    <row r="511">
      <c r="A511" s="265"/>
      <c r="B511" s="265"/>
    </row>
    <row r="512">
      <c r="A512" s="265"/>
      <c r="B512" s="265"/>
    </row>
    <row r="513">
      <c r="A513" s="265"/>
      <c r="B513" s="265"/>
    </row>
    <row r="514">
      <c r="A514" s="265"/>
      <c r="B514" s="265"/>
    </row>
    <row r="515">
      <c r="A515" s="265"/>
      <c r="B515" s="265"/>
    </row>
    <row r="516">
      <c r="A516" s="265"/>
      <c r="B516" s="265"/>
    </row>
    <row r="517">
      <c r="A517" s="265"/>
      <c r="B517" s="265"/>
    </row>
    <row r="518">
      <c r="A518" s="265"/>
      <c r="B518" s="265"/>
    </row>
    <row r="519">
      <c r="A519" s="265"/>
      <c r="B519" s="265"/>
    </row>
    <row r="520">
      <c r="A520" s="265"/>
      <c r="B520" s="265"/>
    </row>
    <row r="521">
      <c r="A521" s="265"/>
      <c r="B521" s="265"/>
    </row>
    <row r="522">
      <c r="A522" s="265"/>
      <c r="B522" s="265"/>
    </row>
    <row r="523">
      <c r="A523" s="265"/>
      <c r="B523" s="265"/>
    </row>
    <row r="524">
      <c r="A524" s="265"/>
      <c r="B524" s="265"/>
    </row>
    <row r="525">
      <c r="A525" s="265"/>
      <c r="B525" s="26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5.13"/>
  </cols>
  <sheetData>
    <row r="1">
      <c r="A1" s="267">
        <f t="shared" ref="A1:D1" si="1">COUNTA(A3:A525)</f>
        <v>1</v>
      </c>
      <c r="B1" s="268">
        <f t="shared" si="1"/>
        <v>1</v>
      </c>
      <c r="C1" s="263">
        <f t="shared" si="1"/>
        <v>1</v>
      </c>
      <c r="D1" s="264">
        <f t="shared" si="1"/>
        <v>54</v>
      </c>
    </row>
    <row r="2">
      <c r="A2" s="267" t="s">
        <v>62</v>
      </c>
      <c r="B2" s="268" t="s">
        <v>147</v>
      </c>
      <c r="C2" s="263" t="s">
        <v>70</v>
      </c>
      <c r="D2" s="264" t="s">
        <v>74</v>
      </c>
    </row>
    <row r="3">
      <c r="A3" s="265" t="str">
        <f>IFERROR(__xludf.DUMMYFUNCTION("QUERY(TRANSPOSE({'31業務統計總表'!D1:J3;'31業務統計總表'!D61:J61}), ""SELECT Col3 WHERE Col4 LIKE '0. %'"", 0)"),"#N/A")</f>
        <v>#N/A</v>
      </c>
      <c r="B3" s="265" t="str">
        <f>IFERROR(__xludf.DUMMYFUNCTION("QUERY(TRANSPOSE({'31業務統計總表'!D3:J3;'31業務統計總表'!D61:J61}), ""SELECT Col1 WHERE Col2 LIKE '1. %'"", 0)"),"#N/A")</f>
        <v>#N/A</v>
      </c>
      <c r="C3" s="265" t="str">
        <f>IFERROR(__xludf.DUMMYFUNCTION("QUERY(TRANSPOSE({'31業務統計總表'!D3:J3;'31業務統計總表'!D61:J61}), ""SELECT Col1 WHERE Col2 LIKE '2. %'"", 0)"),"波士頓科技")</f>
        <v>波士頓科技</v>
      </c>
      <c r="D3" s="265" t="str">
        <f>IFERROR(__xludf.DUMMYFUNCTION("QUERY(TRANSPOSE({'31業務統計總表'!D3:J3;'31業務統計總表'!D61:J61}), ""SELECT Col1 WHERE Col2 LIKE '3. %'"", 0)"),"諾億保經")</f>
        <v>諾億保經</v>
      </c>
    </row>
    <row r="4">
      <c r="A4" s="265"/>
      <c r="B4" s="265"/>
      <c r="C4" s="265"/>
      <c r="D4" s="265" t="str">
        <f>IFERROR(__xludf.DUMMYFUNCTION("""COMPUTED_VALUE"""),"台灣美光")</f>
        <v>台灣美光</v>
      </c>
    </row>
    <row r="5">
      <c r="A5" s="265"/>
      <c r="B5" s="265"/>
      <c r="C5" s="265"/>
      <c r="D5" s="265" t="str">
        <f>IFERROR(__xludf.DUMMYFUNCTION("""COMPUTED_VALUE"""),"JINS")</f>
        <v>JINS</v>
      </c>
    </row>
    <row r="6">
      <c r="A6" s="265"/>
      <c r="B6" s="265"/>
      <c r="C6" s="265"/>
      <c r="D6" s="265" t="str">
        <f>IFERROR(__xludf.DUMMYFUNCTION("""COMPUTED_VALUE"""),"Google")</f>
        <v>Google</v>
      </c>
    </row>
    <row r="7">
      <c r="A7" s="265"/>
      <c r="B7" s="265"/>
      <c r="C7" s="265"/>
      <c r="D7" s="265" t="str">
        <f>IFERROR(__xludf.DUMMYFUNCTION("""COMPUTED_VALUE"""),"LifeWonders")</f>
        <v>LifeWonders</v>
      </c>
    </row>
    <row r="8">
      <c r="A8" s="265"/>
      <c r="B8" s="265"/>
      <c r="C8" s="265"/>
      <c r="D8" s="265" t="str">
        <f>IFERROR(__xludf.DUMMYFUNCTION("""COMPUTED_VALUE"""),"Gstar")</f>
        <v>Gstar</v>
      </c>
    </row>
    <row r="9">
      <c r="A9" s="265"/>
      <c r="B9" s="265"/>
      <c r="C9" s="265"/>
      <c r="D9" s="265" t="str">
        <f>IFERROR(__xludf.DUMMYFUNCTION("""COMPUTED_VALUE"""),"聯合利華")</f>
        <v>聯合利華</v>
      </c>
    </row>
    <row r="10">
      <c r="A10" s="265"/>
      <c r="B10" s="265"/>
      <c r="C10" s="265"/>
      <c r="D10" s="265" t="str">
        <f>IFERROR(__xludf.DUMMYFUNCTION("""COMPUTED_VALUE"""),"Johnnie Walker ")</f>
        <v>Johnnie Walker </v>
      </c>
    </row>
    <row r="11">
      <c r="A11" s="265"/>
      <c r="B11" s="265"/>
      <c r="C11" s="265"/>
      <c r="D11" s="265" t="str">
        <f>IFERROR(__xludf.DUMMYFUNCTION("""COMPUTED_VALUE"""),"Tapestry")</f>
        <v>Tapestry</v>
      </c>
    </row>
    <row r="12">
      <c r="A12" s="265"/>
      <c r="B12" s="265"/>
      <c r="C12" s="265"/>
      <c r="D12" s="265" t="str">
        <f>IFERROR(__xludf.DUMMYFUNCTION("""COMPUTED_VALUE"""),"臺虎精釀")</f>
        <v>臺虎精釀</v>
      </c>
    </row>
    <row r="13">
      <c r="A13" s="265"/>
      <c r="B13" s="265"/>
      <c r="C13" s="265"/>
      <c r="D13" s="265" t="str">
        <f>IFERROR(__xludf.DUMMYFUNCTION("""COMPUTED_VALUE"""),"Lespark")</f>
        <v>Lespark</v>
      </c>
    </row>
    <row r="14">
      <c r="A14" s="265"/>
      <c r="B14" s="265"/>
      <c r="C14" s="265"/>
      <c r="D14" s="265" t="str">
        <f>IFERROR(__xludf.DUMMYFUNCTION("""COMPUTED_VALUE"""),"吉利亞醫藥")</f>
        <v>吉利亞醫藥</v>
      </c>
    </row>
    <row r="15">
      <c r="A15" s="265"/>
      <c r="B15" s="265"/>
      <c r="C15" s="265"/>
      <c r="D15" s="265" t="str">
        <f>IFERROR(__xludf.DUMMYFUNCTION("""COMPUTED_VALUE"""),"AZ")</f>
        <v>AZ</v>
      </c>
    </row>
    <row r="16">
      <c r="A16" s="265"/>
      <c r="B16" s="265"/>
      <c r="C16" s="265"/>
      <c r="D16" s="265" t="str">
        <f>IFERROR(__xludf.DUMMYFUNCTION("""COMPUTED_VALUE"""),"GSK")</f>
        <v>GSK</v>
      </c>
    </row>
    <row r="17">
      <c r="A17" s="265"/>
      <c r="B17" s="265"/>
      <c r="C17" s="265"/>
      <c r="D17" s="265" t="str">
        <f>IFERROR(__xludf.DUMMYFUNCTION("""COMPUTED_VALUE"""),"必勝客")</f>
        <v>必勝客</v>
      </c>
    </row>
    <row r="18">
      <c r="A18" s="265"/>
      <c r="B18" s="265"/>
      <c r="C18" s="265"/>
      <c r="D18" s="265" t="str">
        <f>IFERROR(__xludf.DUMMYFUNCTION("""COMPUTED_VALUE"""),"犀牛盾")</f>
        <v>犀牛盾</v>
      </c>
    </row>
    <row r="19">
      <c r="A19" s="265"/>
      <c r="B19" s="265"/>
      <c r="C19" s="265"/>
      <c r="D19" s="265" t="str">
        <f>IFERROR(__xludf.DUMMYFUNCTION("""COMPUTED_VALUE"""),"默沙東")</f>
        <v>默沙東</v>
      </c>
    </row>
    <row r="20">
      <c r="A20" s="265"/>
      <c r="B20" s="265"/>
      <c r="C20" s="265"/>
      <c r="D20" s="265" t="str">
        <f>IFERROR(__xludf.DUMMYFUNCTION("""COMPUTED_VALUE"""),"TFC 
臺北婦產科診所")</f>
        <v>TFC 
臺北婦產科診所</v>
      </c>
    </row>
    <row r="21">
      <c r="A21" s="265"/>
      <c r="B21" s="265"/>
      <c r="C21" s="265"/>
      <c r="D21" s="265" t="str">
        <f>IFERROR(__xludf.DUMMYFUNCTION("""COMPUTED_VALUE"""),"Hyve")</f>
        <v>Hyve</v>
      </c>
    </row>
    <row r="22">
      <c r="A22" s="265"/>
      <c r="B22" s="265"/>
      <c r="C22" s="265"/>
      <c r="D22" s="265" t="str">
        <f>IFERROR(__xludf.DUMMYFUNCTION("""COMPUTED_VALUE"""),"疾管署")</f>
        <v>疾管署</v>
      </c>
    </row>
    <row r="23">
      <c r="A23" s="265"/>
      <c r="B23" s="265"/>
      <c r="C23" s="265"/>
      <c r="D23" s="265" t="str">
        <f>IFERROR(__xludf.DUMMYFUNCTION("""COMPUTED_VALUE"""),"Tstudio")</f>
        <v>Tstudio</v>
      </c>
    </row>
    <row r="24">
      <c r="A24" s="265"/>
      <c r="B24" s="265"/>
      <c r="C24" s="265"/>
      <c r="D24" s="265" t="str">
        <f>IFERROR(__xludf.DUMMYFUNCTION("""COMPUTED_VALUE"""),"彩虹酷兒")</f>
        <v>彩虹酷兒</v>
      </c>
    </row>
    <row r="25">
      <c r="A25" s="265"/>
      <c r="B25" s="265"/>
      <c r="C25" s="265"/>
      <c r="D25" s="265" t="str">
        <f>IFERROR(__xludf.DUMMYFUNCTION("""COMPUTED_VALUE"""),"渣打銀行")</f>
        <v>渣打銀行</v>
      </c>
    </row>
    <row r="26">
      <c r="A26" s="265"/>
      <c r="B26" s="265"/>
      <c r="C26" s="265"/>
      <c r="D26" s="265" t="str">
        <f>IFERROR(__xludf.DUMMYFUNCTION("""COMPUTED_VALUE"""),"VERVE")</f>
        <v>VERVE</v>
      </c>
    </row>
    <row r="27">
      <c r="A27" s="265"/>
      <c r="B27" s="265"/>
      <c r="C27" s="265"/>
      <c r="D27" s="265" t="str">
        <f>IFERROR(__xludf.DUMMYFUNCTION("""COMPUTED_VALUE"""),"IM Adult")</f>
        <v>IM Adult</v>
      </c>
    </row>
    <row r="28">
      <c r="A28" s="265"/>
      <c r="B28" s="265"/>
      <c r="C28" s="265"/>
      <c r="D28" s="265" t="str">
        <f>IFERROR(__xludf.DUMMYFUNCTION("""COMPUTED_VALUE"""),"GAP")</f>
        <v>GAP</v>
      </c>
    </row>
    <row r="29">
      <c r="A29" s="265"/>
      <c r="B29" s="265"/>
      <c r="C29" s="265"/>
      <c r="D29" s="265" t="str">
        <f>IFERROR(__xludf.DUMMYFUNCTION("""COMPUTED_VALUE"""),"Uber
Eats")</f>
        <v>Uber
Eats</v>
      </c>
    </row>
    <row r="30">
      <c r="A30" s="265"/>
      <c r="B30" s="265"/>
      <c r="C30" s="265"/>
      <c r="D30" s="265" t="str">
        <f>IFERROR(__xludf.DUMMYFUNCTION("""COMPUTED_VALUE"""),"NIKE")</f>
        <v>NIKE</v>
      </c>
    </row>
    <row r="31">
      <c r="A31" s="265"/>
      <c r="B31" s="265"/>
      <c r="C31" s="265"/>
      <c r="D31" s="265" t="str">
        <f>IFERROR(__xludf.DUMMYFUNCTION("""COMPUTED_VALUE"""),"TSMC")</f>
        <v>TSMC</v>
      </c>
    </row>
    <row r="32">
      <c r="A32" s="265"/>
      <c r="B32" s="265"/>
      <c r="C32" s="265"/>
      <c r="D32" s="265" t="str">
        <f>IFERROR(__xludf.DUMMYFUNCTION("""COMPUTED_VALUE"""),"FNF")</f>
        <v>FNF</v>
      </c>
    </row>
    <row r="33">
      <c r="A33" s="265"/>
      <c r="B33" s="265"/>
      <c r="C33" s="265"/>
      <c r="D33" s="265" t="str">
        <f>IFERROR(__xludf.DUMMYFUNCTION("""COMPUTED_VALUE"""),"可口可樂")</f>
        <v>可口可樂</v>
      </c>
    </row>
    <row r="34">
      <c r="A34" s="265"/>
      <c r="B34" s="265"/>
      <c r="C34" s="265"/>
      <c r="D34" s="265" t="str">
        <f>IFERROR(__xludf.DUMMYFUNCTION("""COMPUTED_VALUE"""),"新思科技")</f>
        <v>新思科技</v>
      </c>
    </row>
    <row r="35">
      <c r="A35" s="265"/>
      <c r="B35" s="265"/>
      <c r="C35" s="265"/>
      <c r="D35" s="265" t="str">
        <f>IFERROR(__xludf.DUMMYFUNCTION("""COMPUTED_VALUE"""),"愛群婦產科")</f>
        <v>愛群婦產科</v>
      </c>
    </row>
    <row r="36">
      <c r="A36" s="265"/>
      <c r="B36" s="265"/>
      <c r="C36" s="265"/>
      <c r="D36" s="265" t="str">
        <f>IFERROR(__xludf.DUMMYFUNCTION("""COMPUTED_VALUE"""),"辻利茶舖")</f>
        <v>辻利茶舖</v>
      </c>
    </row>
    <row r="37">
      <c r="A37" s="265"/>
      <c r="B37" s="265"/>
      <c r="C37" s="265"/>
      <c r="D37" s="265" t="str">
        <f>IFERROR(__xludf.DUMMYFUNCTION("""COMPUTED_VALUE"""),"Sagami")</f>
        <v>Sagami</v>
      </c>
    </row>
    <row r="38">
      <c r="A38" s="265"/>
      <c r="B38" s="265"/>
      <c r="C38" s="265"/>
      <c r="D38" s="265" t="str">
        <f>IFERROR(__xludf.DUMMYFUNCTION("""COMPUTED_VALUE"""),"台灣百健")</f>
        <v>台灣百健</v>
      </c>
    </row>
    <row r="39">
      <c r="A39" s="265"/>
      <c r="B39" s="265"/>
      <c r="C39" s="265"/>
      <c r="D39" s="265" t="str">
        <f>IFERROR(__xludf.DUMMYFUNCTION("""COMPUTED_VALUE"""),"TENGA")</f>
        <v>TENGA</v>
      </c>
    </row>
    <row r="40">
      <c r="A40" s="265"/>
      <c r="B40" s="265"/>
      <c r="C40" s="265"/>
      <c r="D40" s="265" t="str">
        <f>IFERROR(__xludf.DUMMYFUNCTION("""COMPUTED_VALUE"""),"一口純淨")</f>
        <v>一口純淨</v>
      </c>
    </row>
    <row r="41">
      <c r="A41" s="265"/>
      <c r="B41" s="265"/>
      <c r="C41" s="265"/>
      <c r="D41" s="265" t="str">
        <f>IFERROR(__xludf.DUMMYFUNCTION("""COMPUTED_VALUE"""),"聯名商品")</f>
        <v>聯名商品</v>
      </c>
    </row>
    <row r="42">
      <c r="A42" s="265"/>
      <c r="B42" s="265"/>
      <c r="C42" s="265"/>
      <c r="D42" s="265" t="str">
        <f>IFERROR(__xludf.DUMMYFUNCTION("""COMPUTED_VALUE"""),"國泰萬怡")</f>
        <v>國泰萬怡</v>
      </c>
    </row>
    <row r="43">
      <c r="A43" s="265"/>
      <c r="B43" s="265"/>
      <c r="C43" s="265"/>
      <c r="D43" s="265" t="str">
        <f>IFERROR(__xludf.DUMMYFUNCTION("""COMPUTED_VALUE"""),"和逸飯店")</f>
        <v>和逸飯店</v>
      </c>
    </row>
    <row r="44">
      <c r="A44" s="265"/>
      <c r="B44" s="265"/>
      <c r="C44" s="265"/>
      <c r="D44" s="265" t="str">
        <f>IFERROR(__xludf.DUMMYFUNCTION("""COMPUTED_VALUE"""),"大直英迪格")</f>
        <v>大直英迪格</v>
      </c>
    </row>
    <row r="45">
      <c r="A45" s="265"/>
      <c r="B45" s="265"/>
      <c r="C45" s="265"/>
      <c r="D45" s="265" t="str">
        <f>IFERROR(__xludf.DUMMYFUNCTION("""COMPUTED_VALUE"""),"慕軒飯店")</f>
        <v>慕軒飯店</v>
      </c>
    </row>
    <row r="46">
      <c r="A46" s="265"/>
      <c r="B46" s="265"/>
      <c r="C46" s="265"/>
      <c r="D46" s="265" t="str">
        <f>IFERROR(__xludf.DUMMYFUNCTION("""COMPUTED_VALUE"""),"永安棧")</f>
        <v>永安棧</v>
      </c>
    </row>
    <row r="47">
      <c r="A47" s="265"/>
      <c r="B47" s="265"/>
      <c r="C47" s="265"/>
      <c r="D47" s="265" t="str">
        <f>IFERROR(__xludf.DUMMYFUNCTION("""COMPUTED_VALUE"""),"北門世民")</f>
        <v>北門世民</v>
      </c>
    </row>
    <row r="48">
      <c r="A48" s="265"/>
      <c r="B48" s="265"/>
      <c r="C48" s="265"/>
      <c r="D48" s="265" t="str">
        <f>IFERROR(__xludf.DUMMYFUNCTION("""COMPUTED_VALUE"""),"amba")</f>
        <v>amba</v>
      </c>
    </row>
    <row r="49">
      <c r="A49" s="265"/>
      <c r="B49" s="265"/>
      <c r="C49" s="265"/>
      <c r="D49" s="265" t="str">
        <f>IFERROR(__xludf.DUMMYFUNCTION("""COMPUTED_VALUE"""),"君悅飯店")</f>
        <v>君悅飯店</v>
      </c>
    </row>
    <row r="50">
      <c r="A50" s="265"/>
      <c r="B50" s="265"/>
      <c r="C50" s="265"/>
      <c r="D50" s="265" t="str">
        <f>IFERROR(__xludf.DUMMYFUNCTION("""COMPUTED_VALUE"""),"中山雅樂軒")</f>
        <v>中山雅樂軒</v>
      </c>
    </row>
    <row r="51">
      <c r="A51" s="265"/>
      <c r="B51" s="265"/>
      <c r="C51" s="265"/>
      <c r="D51" s="265" t="str">
        <f>IFERROR(__xludf.DUMMYFUNCTION("""COMPUTED_VALUE"""),"希爾頓逸林")</f>
        <v>希爾頓逸林</v>
      </c>
    </row>
    <row r="52">
      <c r="A52" s="265"/>
      <c r="B52" s="265"/>
      <c r="C52" s="265"/>
      <c r="D52" s="265" t="str">
        <f>IFERROR(__xludf.DUMMYFUNCTION("""COMPUTED_VALUE"""),"南港老爺")</f>
        <v>南港老爺</v>
      </c>
    </row>
    <row r="53">
      <c r="A53" s="265"/>
      <c r="B53" s="265"/>
      <c r="C53" s="265"/>
      <c r="D53" s="265" t="str">
        <f>IFERROR(__xludf.DUMMYFUNCTION("""COMPUTED_VALUE"""),"小鹿文娛")</f>
        <v>小鹿文娛</v>
      </c>
    </row>
    <row r="54">
      <c r="A54" s="265"/>
      <c r="B54" s="265"/>
      <c r="C54" s="265"/>
      <c r="D54" s="265" t="str">
        <f>IFERROR(__xludf.DUMMYFUNCTION("""COMPUTED_VALUE"""),"大安伊普索")</f>
        <v>大安伊普索</v>
      </c>
    </row>
    <row r="55">
      <c r="A55" s="265"/>
      <c r="B55" s="265"/>
      <c r="C55" s="265"/>
      <c r="D55" s="265" t="str">
        <f>IFERROR(__xludf.DUMMYFUNCTION("""COMPUTED_VALUE"""),"西門大飯店")</f>
        <v>西門大飯店</v>
      </c>
    </row>
    <row r="56">
      <c r="A56" s="265"/>
      <c r="B56" s="265"/>
      <c r="C56" s="265"/>
      <c r="D56" s="265" t="str">
        <f>IFERROR(__xludf.DUMMYFUNCTION("""COMPUTED_VALUE"""),"金普頓大安")</f>
        <v>金普頓大安</v>
      </c>
    </row>
    <row r="57">
      <c r="A57" s="265"/>
      <c r="B57" s="265"/>
      <c r="C57" s="265"/>
      <c r="D57" s="265"/>
    </row>
    <row r="58">
      <c r="A58" s="265"/>
      <c r="B58" s="265"/>
      <c r="C58" s="265"/>
      <c r="D58" s="265"/>
    </row>
    <row r="59">
      <c r="A59" s="265"/>
      <c r="B59" s="265"/>
      <c r="C59" s="265"/>
      <c r="D59" s="265"/>
    </row>
    <row r="60">
      <c r="A60" s="265"/>
      <c r="B60" s="265"/>
      <c r="C60" s="265"/>
      <c r="D60" s="265"/>
    </row>
    <row r="61">
      <c r="A61" s="265"/>
      <c r="B61" s="265"/>
      <c r="C61" s="265"/>
      <c r="D61" s="265"/>
    </row>
    <row r="62">
      <c r="A62" s="265"/>
      <c r="B62" s="265"/>
      <c r="C62" s="265"/>
      <c r="D62" s="265"/>
    </row>
    <row r="63">
      <c r="A63" s="265"/>
      <c r="B63" s="265"/>
      <c r="C63" s="265"/>
      <c r="D63" s="265"/>
    </row>
    <row r="64">
      <c r="A64" s="265"/>
      <c r="B64" s="265"/>
      <c r="C64" s="265"/>
      <c r="D64" s="265"/>
    </row>
    <row r="65">
      <c r="A65" s="265"/>
      <c r="B65" s="265"/>
      <c r="C65" s="265"/>
      <c r="D65" s="265"/>
    </row>
    <row r="66">
      <c r="A66" s="265"/>
      <c r="B66" s="265"/>
      <c r="C66" s="265"/>
      <c r="D66" s="265"/>
    </row>
    <row r="67">
      <c r="A67" s="265"/>
      <c r="B67" s="265"/>
      <c r="C67" s="265"/>
      <c r="D67" s="265"/>
    </row>
    <row r="68">
      <c r="A68" s="265"/>
      <c r="B68" s="265"/>
      <c r="C68" s="265"/>
      <c r="D68" s="265"/>
    </row>
    <row r="69">
      <c r="A69" s="265"/>
      <c r="B69" s="265"/>
      <c r="C69" s="265"/>
      <c r="D69" s="265"/>
    </row>
    <row r="70">
      <c r="A70" s="265"/>
      <c r="B70" s="265"/>
      <c r="C70" s="265"/>
      <c r="D70" s="265"/>
    </row>
    <row r="71">
      <c r="A71" s="265"/>
      <c r="B71" s="265"/>
      <c r="C71" s="265"/>
      <c r="D71" s="265"/>
    </row>
    <row r="72">
      <c r="A72" s="265"/>
      <c r="B72" s="265"/>
      <c r="C72" s="265"/>
      <c r="D72" s="265"/>
    </row>
    <row r="73">
      <c r="A73" s="265"/>
      <c r="B73" s="265"/>
      <c r="C73" s="265"/>
      <c r="D73" s="265"/>
    </row>
    <row r="74">
      <c r="A74" s="265"/>
      <c r="B74" s="265"/>
      <c r="C74" s="265"/>
      <c r="D74" s="265"/>
    </row>
    <row r="75">
      <c r="A75" s="265"/>
      <c r="B75" s="265"/>
      <c r="C75" s="265"/>
      <c r="D75" s="265"/>
    </row>
    <row r="76">
      <c r="A76" s="265"/>
      <c r="B76" s="265"/>
      <c r="C76" s="265"/>
      <c r="D76" s="265"/>
    </row>
    <row r="77">
      <c r="A77" s="265"/>
      <c r="B77" s="265"/>
      <c r="C77" s="265"/>
      <c r="D77" s="265"/>
    </row>
    <row r="78">
      <c r="A78" s="265"/>
      <c r="B78" s="265"/>
      <c r="C78" s="265"/>
      <c r="D78" s="265"/>
    </row>
    <row r="79">
      <c r="A79" s="265"/>
      <c r="B79" s="265"/>
      <c r="C79" s="265"/>
      <c r="D79" s="265"/>
    </row>
    <row r="80">
      <c r="A80" s="265"/>
      <c r="B80" s="265"/>
      <c r="C80" s="265"/>
      <c r="D80" s="265"/>
    </row>
    <row r="81">
      <c r="A81" s="265"/>
      <c r="B81" s="265"/>
      <c r="C81" s="265"/>
      <c r="D81" s="265"/>
    </row>
    <row r="82">
      <c r="A82" s="265"/>
      <c r="B82" s="265"/>
      <c r="C82" s="265"/>
      <c r="D82" s="265"/>
    </row>
    <row r="83">
      <c r="A83" s="265"/>
      <c r="B83" s="265"/>
      <c r="C83" s="265"/>
      <c r="D83" s="265"/>
    </row>
    <row r="84">
      <c r="A84" s="265"/>
      <c r="B84" s="265"/>
      <c r="C84" s="265"/>
      <c r="D84" s="265"/>
    </row>
    <row r="85">
      <c r="A85" s="265"/>
      <c r="B85" s="265"/>
      <c r="C85" s="265"/>
      <c r="D85" s="265"/>
    </row>
    <row r="86">
      <c r="A86" s="265"/>
      <c r="B86" s="265"/>
      <c r="C86" s="265"/>
      <c r="D86" s="265"/>
    </row>
    <row r="87">
      <c r="A87" s="265"/>
      <c r="B87" s="265"/>
      <c r="C87" s="265"/>
      <c r="D87" s="265"/>
    </row>
    <row r="88">
      <c r="A88" s="265"/>
      <c r="B88" s="265"/>
      <c r="C88" s="265"/>
      <c r="D88" s="265"/>
    </row>
    <row r="89">
      <c r="A89" s="265"/>
      <c r="B89" s="265"/>
      <c r="C89" s="265"/>
      <c r="D89" s="265"/>
    </row>
    <row r="90">
      <c r="A90" s="265"/>
      <c r="B90" s="265"/>
      <c r="C90" s="265"/>
      <c r="D90" s="265"/>
    </row>
    <row r="91">
      <c r="A91" s="265"/>
      <c r="B91" s="265"/>
      <c r="C91" s="265"/>
      <c r="D91" s="265"/>
    </row>
    <row r="92">
      <c r="A92" s="265"/>
      <c r="B92" s="265"/>
      <c r="C92" s="265"/>
      <c r="D92" s="265"/>
    </row>
    <row r="93">
      <c r="A93" s="265"/>
      <c r="B93" s="265"/>
      <c r="C93" s="265"/>
      <c r="D93" s="265"/>
    </row>
    <row r="94">
      <c r="A94" s="265"/>
      <c r="B94" s="265"/>
      <c r="C94" s="265"/>
      <c r="D94" s="265"/>
    </row>
    <row r="95">
      <c r="A95" s="265"/>
      <c r="B95" s="265"/>
      <c r="C95" s="265"/>
      <c r="D95" s="265"/>
    </row>
    <row r="96">
      <c r="A96" s="265"/>
      <c r="B96" s="265"/>
      <c r="C96" s="265"/>
      <c r="D96" s="265"/>
    </row>
    <row r="97">
      <c r="A97" s="265"/>
      <c r="B97" s="265"/>
      <c r="C97" s="265"/>
      <c r="D97" s="265"/>
    </row>
    <row r="98">
      <c r="A98" s="265"/>
      <c r="B98" s="265"/>
      <c r="C98" s="265"/>
      <c r="D98" s="265"/>
    </row>
    <row r="99">
      <c r="A99" s="265"/>
      <c r="B99" s="265"/>
      <c r="C99" s="265"/>
      <c r="D99" s="265"/>
    </row>
    <row r="100">
      <c r="A100" s="265"/>
      <c r="B100" s="265"/>
      <c r="C100" s="265"/>
      <c r="D100" s="265"/>
    </row>
    <row r="101">
      <c r="A101" s="265"/>
      <c r="B101" s="265"/>
      <c r="C101" s="265"/>
      <c r="D101" s="265"/>
    </row>
    <row r="102">
      <c r="A102" s="265"/>
      <c r="B102" s="265"/>
      <c r="C102" s="265"/>
      <c r="D102" s="265"/>
    </row>
    <row r="103">
      <c r="A103" s="265"/>
      <c r="B103" s="265"/>
      <c r="C103" s="265"/>
      <c r="D103" s="265"/>
    </row>
    <row r="104">
      <c r="A104" s="265"/>
      <c r="B104" s="265"/>
      <c r="C104" s="265"/>
      <c r="D104" s="265"/>
    </row>
    <row r="105">
      <c r="A105" s="265"/>
      <c r="B105" s="265"/>
      <c r="C105" s="265"/>
      <c r="D105" s="265"/>
    </row>
    <row r="106">
      <c r="A106" s="265"/>
      <c r="B106" s="265"/>
      <c r="C106" s="265"/>
      <c r="D106" s="265"/>
    </row>
    <row r="107">
      <c r="A107" s="265"/>
      <c r="B107" s="265"/>
      <c r="C107" s="265"/>
      <c r="D107" s="265"/>
    </row>
    <row r="108">
      <c r="A108" s="265"/>
      <c r="B108" s="265"/>
      <c r="C108" s="265"/>
      <c r="D108" s="265"/>
    </row>
    <row r="109">
      <c r="A109" s="265"/>
      <c r="B109" s="265"/>
      <c r="C109" s="265"/>
      <c r="D109" s="265"/>
    </row>
    <row r="110">
      <c r="A110" s="265"/>
      <c r="B110" s="265"/>
      <c r="C110" s="265"/>
      <c r="D110" s="265"/>
    </row>
    <row r="111">
      <c r="A111" s="265"/>
      <c r="B111" s="265"/>
      <c r="C111" s="265"/>
      <c r="D111" s="265"/>
    </row>
    <row r="112">
      <c r="A112" s="265"/>
      <c r="B112" s="265"/>
      <c r="C112" s="265"/>
      <c r="D112" s="265"/>
    </row>
    <row r="113">
      <c r="A113" s="265"/>
      <c r="B113" s="265"/>
      <c r="C113" s="265"/>
      <c r="D113" s="265"/>
    </row>
    <row r="114">
      <c r="A114" s="265"/>
      <c r="B114" s="265"/>
      <c r="C114" s="265"/>
      <c r="D114" s="265"/>
    </row>
    <row r="115">
      <c r="A115" s="265"/>
      <c r="B115" s="265"/>
      <c r="C115" s="265"/>
      <c r="D115" s="265"/>
    </row>
    <row r="116">
      <c r="A116" s="265"/>
      <c r="B116" s="265"/>
      <c r="C116" s="265"/>
      <c r="D116" s="265"/>
    </row>
    <row r="117">
      <c r="A117" s="265"/>
      <c r="B117" s="265"/>
      <c r="C117" s="265"/>
      <c r="D117" s="265"/>
    </row>
    <row r="118">
      <c r="A118" s="265"/>
      <c r="B118" s="265"/>
      <c r="C118" s="265"/>
      <c r="D118" s="265"/>
    </row>
    <row r="119">
      <c r="A119" s="265"/>
      <c r="B119" s="265"/>
      <c r="C119" s="265"/>
      <c r="D119" s="265"/>
    </row>
    <row r="120">
      <c r="A120" s="265"/>
      <c r="B120" s="265"/>
      <c r="C120" s="265"/>
      <c r="D120" s="265"/>
    </row>
    <row r="121">
      <c r="A121" s="265"/>
      <c r="B121" s="265"/>
      <c r="C121" s="265"/>
      <c r="D121" s="265"/>
    </row>
    <row r="122">
      <c r="A122" s="265"/>
      <c r="B122" s="265"/>
      <c r="C122" s="265"/>
      <c r="D122" s="265"/>
    </row>
    <row r="123">
      <c r="A123" s="265"/>
      <c r="B123" s="265"/>
      <c r="C123" s="265"/>
      <c r="D123" s="265"/>
    </row>
    <row r="124">
      <c r="A124" s="265"/>
      <c r="B124" s="265"/>
      <c r="C124" s="265"/>
      <c r="D124" s="265"/>
    </row>
    <row r="125">
      <c r="A125" s="265"/>
      <c r="B125" s="265"/>
      <c r="C125" s="265"/>
      <c r="D125" s="265"/>
    </row>
    <row r="126">
      <c r="A126" s="265"/>
      <c r="B126" s="265"/>
      <c r="C126" s="265"/>
      <c r="D126" s="265"/>
    </row>
    <row r="127">
      <c r="A127" s="265"/>
      <c r="B127" s="265"/>
      <c r="C127" s="265"/>
      <c r="D127" s="265"/>
    </row>
    <row r="128">
      <c r="A128" s="265"/>
      <c r="B128" s="265"/>
      <c r="C128" s="265"/>
      <c r="D128" s="265"/>
    </row>
    <row r="129">
      <c r="A129" s="265"/>
      <c r="B129" s="265"/>
      <c r="C129" s="265"/>
      <c r="D129" s="265"/>
    </row>
    <row r="130">
      <c r="A130" s="265"/>
      <c r="B130" s="265"/>
      <c r="C130" s="265"/>
      <c r="D130" s="265"/>
    </row>
    <row r="131">
      <c r="A131" s="265"/>
      <c r="B131" s="265"/>
      <c r="C131" s="265"/>
      <c r="D131" s="265"/>
    </row>
    <row r="132">
      <c r="A132" s="265"/>
      <c r="B132" s="265"/>
      <c r="C132" s="265"/>
      <c r="D132" s="265"/>
    </row>
    <row r="133">
      <c r="A133" s="265"/>
      <c r="B133" s="265"/>
      <c r="C133" s="265"/>
      <c r="D133" s="265"/>
    </row>
    <row r="134">
      <c r="A134" s="265"/>
      <c r="B134" s="265"/>
      <c r="C134" s="265"/>
      <c r="D134" s="265"/>
    </row>
    <row r="135">
      <c r="A135" s="265"/>
      <c r="B135" s="265"/>
      <c r="C135" s="265"/>
      <c r="D135" s="265"/>
    </row>
    <row r="136">
      <c r="A136" s="265"/>
      <c r="B136" s="265"/>
      <c r="C136" s="265"/>
      <c r="D136" s="265"/>
    </row>
    <row r="137">
      <c r="A137" s="265"/>
      <c r="B137" s="265"/>
      <c r="C137" s="265"/>
      <c r="D137" s="265"/>
    </row>
    <row r="138">
      <c r="A138" s="265"/>
      <c r="B138" s="265"/>
      <c r="C138" s="265"/>
      <c r="D138" s="265"/>
    </row>
    <row r="139">
      <c r="A139" s="265"/>
      <c r="B139" s="265"/>
      <c r="C139" s="265"/>
      <c r="D139" s="265"/>
    </row>
    <row r="140">
      <c r="A140" s="265"/>
      <c r="B140" s="265"/>
      <c r="C140" s="265"/>
      <c r="D140" s="265"/>
    </row>
    <row r="141">
      <c r="A141" s="265"/>
      <c r="B141" s="265"/>
      <c r="C141" s="265"/>
      <c r="D141" s="265"/>
    </row>
    <row r="142">
      <c r="A142" s="265"/>
      <c r="B142" s="265"/>
      <c r="C142" s="265"/>
      <c r="D142" s="265"/>
    </row>
    <row r="143">
      <c r="A143" s="265"/>
      <c r="B143" s="265"/>
      <c r="C143" s="265"/>
      <c r="D143" s="265"/>
    </row>
    <row r="144">
      <c r="A144" s="265"/>
      <c r="B144" s="265"/>
      <c r="C144" s="265"/>
      <c r="D144" s="265"/>
    </row>
    <row r="145">
      <c r="A145" s="265"/>
      <c r="B145" s="265"/>
      <c r="C145" s="265"/>
      <c r="D145" s="265"/>
    </row>
    <row r="146">
      <c r="A146" s="265"/>
      <c r="B146" s="265"/>
      <c r="C146" s="265"/>
      <c r="D146" s="265"/>
    </row>
    <row r="147">
      <c r="A147" s="265"/>
      <c r="B147" s="265"/>
      <c r="C147" s="265"/>
      <c r="D147" s="265"/>
    </row>
    <row r="148">
      <c r="A148" s="265"/>
      <c r="B148" s="265"/>
      <c r="C148" s="265"/>
      <c r="D148" s="265"/>
    </row>
    <row r="149">
      <c r="A149" s="265"/>
      <c r="B149" s="265"/>
      <c r="C149" s="265"/>
      <c r="D149" s="265"/>
    </row>
    <row r="150">
      <c r="A150" s="265"/>
      <c r="B150" s="265"/>
      <c r="C150" s="265"/>
      <c r="D150" s="265"/>
    </row>
    <row r="151">
      <c r="A151" s="265"/>
      <c r="B151" s="265"/>
      <c r="C151" s="265"/>
      <c r="D151" s="265"/>
    </row>
    <row r="152">
      <c r="A152" s="265"/>
      <c r="B152" s="265"/>
      <c r="C152" s="265"/>
      <c r="D152" s="265"/>
    </row>
    <row r="153">
      <c r="A153" s="265"/>
      <c r="B153" s="265"/>
      <c r="C153" s="265"/>
      <c r="D153" s="265"/>
    </row>
    <row r="154">
      <c r="A154" s="265"/>
      <c r="B154" s="265"/>
      <c r="C154" s="265"/>
      <c r="D154" s="265"/>
    </row>
    <row r="155">
      <c r="A155" s="265"/>
      <c r="B155" s="265"/>
      <c r="C155" s="265"/>
      <c r="D155" s="265"/>
    </row>
    <row r="156">
      <c r="A156" s="265"/>
      <c r="B156" s="265"/>
      <c r="C156" s="265"/>
      <c r="D156" s="265"/>
    </row>
    <row r="157">
      <c r="A157" s="265"/>
      <c r="B157" s="265"/>
      <c r="C157" s="265"/>
      <c r="D157" s="265"/>
    </row>
    <row r="158">
      <c r="A158" s="265"/>
      <c r="B158" s="265"/>
      <c r="C158" s="265"/>
      <c r="D158" s="265"/>
    </row>
    <row r="159">
      <c r="A159" s="265"/>
      <c r="B159" s="265"/>
      <c r="C159" s="265"/>
      <c r="D159" s="265"/>
    </row>
    <row r="160">
      <c r="A160" s="265"/>
      <c r="B160" s="265"/>
      <c r="C160" s="265"/>
      <c r="D160" s="265"/>
    </row>
    <row r="161">
      <c r="A161" s="265"/>
      <c r="B161" s="265"/>
      <c r="C161" s="265"/>
      <c r="D161" s="265"/>
    </row>
    <row r="162">
      <c r="A162" s="265"/>
      <c r="B162" s="265"/>
      <c r="C162" s="265"/>
      <c r="D162" s="265"/>
    </row>
    <row r="163">
      <c r="A163" s="265"/>
      <c r="B163" s="265"/>
      <c r="C163" s="265"/>
      <c r="D163" s="265"/>
    </row>
    <row r="164">
      <c r="A164" s="265"/>
      <c r="B164" s="265"/>
      <c r="C164" s="265"/>
      <c r="D164" s="265"/>
    </row>
    <row r="165">
      <c r="A165" s="265"/>
      <c r="B165" s="265"/>
      <c r="C165" s="265"/>
      <c r="D165" s="265"/>
    </row>
    <row r="166">
      <c r="A166" s="265"/>
      <c r="B166" s="265"/>
      <c r="C166" s="265"/>
      <c r="D166" s="265"/>
    </row>
    <row r="167">
      <c r="A167" s="265"/>
      <c r="B167" s="265"/>
      <c r="C167" s="265"/>
      <c r="D167" s="265"/>
    </row>
    <row r="168">
      <c r="A168" s="265"/>
      <c r="B168" s="265"/>
      <c r="C168" s="265"/>
      <c r="D168" s="265"/>
    </row>
    <row r="169">
      <c r="A169" s="265"/>
      <c r="B169" s="265"/>
      <c r="C169" s="265"/>
      <c r="D169" s="265"/>
    </row>
    <row r="170">
      <c r="A170" s="265"/>
      <c r="B170" s="265"/>
      <c r="C170" s="265"/>
      <c r="D170" s="265"/>
    </row>
    <row r="171">
      <c r="A171" s="265"/>
      <c r="B171" s="265"/>
      <c r="C171" s="265"/>
      <c r="D171" s="265"/>
    </row>
    <row r="172">
      <c r="A172" s="265"/>
      <c r="B172" s="265"/>
      <c r="C172" s="265"/>
      <c r="D172" s="265"/>
    </row>
    <row r="173">
      <c r="A173" s="265"/>
      <c r="B173" s="265"/>
      <c r="C173" s="265"/>
      <c r="D173" s="265"/>
    </row>
    <row r="174">
      <c r="A174" s="265"/>
      <c r="B174" s="265"/>
      <c r="C174" s="265"/>
      <c r="D174" s="265"/>
    </row>
    <row r="175">
      <c r="A175" s="265"/>
      <c r="B175" s="265"/>
      <c r="C175" s="265"/>
      <c r="D175" s="265"/>
    </row>
    <row r="176">
      <c r="A176" s="265"/>
      <c r="B176" s="265"/>
      <c r="C176" s="265"/>
      <c r="D176" s="265"/>
    </row>
    <row r="177">
      <c r="A177" s="265"/>
      <c r="B177" s="265"/>
      <c r="C177" s="265"/>
      <c r="D177" s="265"/>
    </row>
    <row r="178">
      <c r="A178" s="265"/>
      <c r="B178" s="265"/>
      <c r="C178" s="265"/>
      <c r="D178" s="265"/>
    </row>
    <row r="179">
      <c r="A179" s="265"/>
      <c r="B179" s="265"/>
      <c r="C179" s="265"/>
      <c r="D179" s="265"/>
    </row>
    <row r="180">
      <c r="A180" s="265"/>
      <c r="B180" s="265"/>
      <c r="C180" s="265"/>
      <c r="D180" s="265"/>
    </row>
    <row r="181">
      <c r="A181" s="265"/>
      <c r="B181" s="265"/>
      <c r="C181" s="265"/>
      <c r="D181" s="265"/>
    </row>
    <row r="182">
      <c r="A182" s="265"/>
      <c r="B182" s="265"/>
      <c r="C182" s="265"/>
      <c r="D182" s="265"/>
    </row>
    <row r="183">
      <c r="A183" s="265"/>
      <c r="B183" s="265"/>
      <c r="C183" s="265"/>
      <c r="D183" s="265"/>
    </row>
    <row r="184">
      <c r="A184" s="265"/>
      <c r="B184" s="265"/>
      <c r="C184" s="265"/>
      <c r="D184" s="265"/>
    </row>
    <row r="185">
      <c r="A185" s="265"/>
      <c r="B185" s="265"/>
      <c r="C185" s="265"/>
      <c r="D185" s="265"/>
    </row>
    <row r="186">
      <c r="A186" s="265"/>
      <c r="B186" s="265"/>
      <c r="C186" s="265"/>
      <c r="D186" s="265"/>
    </row>
    <row r="187">
      <c r="A187" s="265"/>
      <c r="B187" s="265"/>
      <c r="C187" s="265"/>
      <c r="D187" s="265"/>
    </row>
    <row r="188">
      <c r="A188" s="265"/>
      <c r="B188" s="265"/>
      <c r="C188" s="265"/>
      <c r="D188" s="265"/>
    </row>
    <row r="189">
      <c r="A189" s="265"/>
      <c r="B189" s="265"/>
      <c r="C189" s="265"/>
      <c r="D189" s="265"/>
    </row>
    <row r="190">
      <c r="A190" s="265"/>
      <c r="B190" s="265"/>
      <c r="C190" s="265"/>
      <c r="D190" s="265"/>
    </row>
    <row r="191">
      <c r="A191" s="265"/>
      <c r="B191" s="265"/>
      <c r="C191" s="265"/>
      <c r="D191" s="265"/>
    </row>
    <row r="192">
      <c r="A192" s="265"/>
      <c r="B192" s="265"/>
      <c r="C192" s="265"/>
      <c r="D192" s="265"/>
    </row>
    <row r="193">
      <c r="A193" s="265"/>
      <c r="B193" s="265"/>
      <c r="C193" s="265"/>
      <c r="D193" s="265"/>
    </row>
    <row r="194">
      <c r="A194" s="265"/>
      <c r="B194" s="265"/>
      <c r="C194" s="265"/>
      <c r="D194" s="265"/>
    </row>
    <row r="195">
      <c r="A195" s="265"/>
      <c r="B195" s="265"/>
      <c r="C195" s="265"/>
      <c r="D195" s="265"/>
    </row>
    <row r="196">
      <c r="A196" s="265"/>
      <c r="B196" s="265"/>
      <c r="C196" s="265"/>
      <c r="D196" s="265"/>
    </row>
    <row r="197">
      <c r="A197" s="265"/>
      <c r="B197" s="265"/>
      <c r="C197" s="265"/>
      <c r="D197" s="265"/>
    </row>
    <row r="198">
      <c r="A198" s="265"/>
      <c r="B198" s="265"/>
      <c r="C198" s="265"/>
      <c r="D198" s="265"/>
    </row>
    <row r="199">
      <c r="A199" s="265"/>
      <c r="B199" s="265"/>
      <c r="C199" s="265"/>
      <c r="D199" s="265"/>
    </row>
    <row r="200">
      <c r="A200" s="265"/>
      <c r="B200" s="265"/>
      <c r="C200" s="265"/>
      <c r="D200" s="265"/>
    </row>
    <row r="201">
      <c r="A201" s="265"/>
      <c r="B201" s="265"/>
      <c r="C201" s="265"/>
      <c r="D201" s="265"/>
    </row>
    <row r="202">
      <c r="A202" s="265"/>
      <c r="B202" s="265"/>
      <c r="C202" s="265"/>
      <c r="D202" s="265"/>
    </row>
    <row r="203">
      <c r="A203" s="265"/>
      <c r="B203" s="265"/>
      <c r="C203" s="265"/>
      <c r="D203" s="265"/>
    </row>
    <row r="204">
      <c r="A204" s="265"/>
      <c r="B204" s="265"/>
      <c r="C204" s="265"/>
      <c r="D204" s="265"/>
    </row>
    <row r="205">
      <c r="A205" s="265"/>
      <c r="B205" s="265"/>
      <c r="C205" s="265"/>
      <c r="D205" s="265"/>
    </row>
    <row r="206">
      <c r="A206" s="265"/>
      <c r="B206" s="265"/>
      <c r="C206" s="265"/>
      <c r="D206" s="265"/>
    </row>
    <row r="207">
      <c r="A207" s="265"/>
      <c r="B207" s="265"/>
      <c r="C207" s="265"/>
      <c r="D207" s="265"/>
    </row>
    <row r="208">
      <c r="A208" s="265"/>
      <c r="B208" s="265"/>
      <c r="C208" s="265"/>
      <c r="D208" s="265"/>
    </row>
    <row r="209">
      <c r="A209" s="265"/>
      <c r="B209" s="265"/>
      <c r="C209" s="265"/>
      <c r="D209" s="265"/>
    </row>
    <row r="210">
      <c r="A210" s="265"/>
      <c r="B210" s="265"/>
      <c r="C210" s="265"/>
      <c r="D210" s="265"/>
    </row>
    <row r="211">
      <c r="A211" s="265"/>
      <c r="B211" s="265"/>
      <c r="C211" s="265"/>
      <c r="D211" s="265"/>
    </row>
    <row r="212">
      <c r="A212" s="265"/>
      <c r="B212" s="265"/>
      <c r="C212" s="265"/>
      <c r="D212" s="265"/>
    </row>
    <row r="213">
      <c r="A213" s="265"/>
      <c r="B213" s="265"/>
      <c r="C213" s="265"/>
      <c r="D213" s="265"/>
    </row>
    <row r="214">
      <c r="A214" s="265"/>
      <c r="B214" s="265"/>
      <c r="C214" s="265"/>
      <c r="D214" s="265"/>
    </row>
    <row r="215">
      <c r="A215" s="265"/>
      <c r="B215" s="265"/>
      <c r="C215" s="265"/>
      <c r="D215" s="265"/>
    </row>
    <row r="216">
      <c r="A216" s="265"/>
      <c r="B216" s="265"/>
      <c r="C216" s="265"/>
      <c r="D216" s="265"/>
    </row>
    <row r="217">
      <c r="A217" s="265"/>
      <c r="B217" s="265"/>
      <c r="C217" s="265"/>
      <c r="D217" s="265"/>
    </row>
    <row r="218">
      <c r="A218" s="265"/>
      <c r="B218" s="265"/>
      <c r="C218" s="265"/>
      <c r="D218" s="265"/>
    </row>
    <row r="219">
      <c r="A219" s="265"/>
      <c r="B219" s="265"/>
      <c r="C219" s="265"/>
      <c r="D219" s="265"/>
    </row>
    <row r="220">
      <c r="A220" s="265"/>
      <c r="B220" s="265"/>
      <c r="C220" s="265"/>
      <c r="D220" s="265"/>
    </row>
    <row r="221">
      <c r="A221" s="265"/>
      <c r="B221" s="265"/>
      <c r="C221" s="265"/>
      <c r="D221" s="265"/>
    </row>
    <row r="222">
      <c r="A222" s="265"/>
      <c r="B222" s="265"/>
      <c r="C222" s="265"/>
      <c r="D222" s="265"/>
    </row>
    <row r="223">
      <c r="A223" s="265"/>
      <c r="B223" s="265"/>
      <c r="C223" s="265"/>
      <c r="D223" s="265"/>
    </row>
    <row r="224">
      <c r="A224" s="265"/>
      <c r="B224" s="265"/>
      <c r="C224" s="265"/>
      <c r="D224" s="265"/>
    </row>
    <row r="225">
      <c r="A225" s="265"/>
      <c r="B225" s="265"/>
      <c r="C225" s="265"/>
      <c r="D225" s="265"/>
    </row>
    <row r="226">
      <c r="A226" s="265"/>
      <c r="B226" s="265"/>
      <c r="C226" s="265"/>
      <c r="D226" s="265"/>
    </row>
    <row r="227">
      <c r="A227" s="265"/>
      <c r="B227" s="265"/>
      <c r="C227" s="265"/>
      <c r="D227" s="265"/>
    </row>
    <row r="228">
      <c r="A228" s="265"/>
      <c r="B228" s="265"/>
      <c r="C228" s="265"/>
      <c r="D228" s="265"/>
    </row>
    <row r="229">
      <c r="A229" s="265"/>
      <c r="B229" s="265"/>
      <c r="C229" s="265"/>
      <c r="D229" s="265"/>
    </row>
    <row r="230">
      <c r="A230" s="265"/>
      <c r="B230" s="265"/>
      <c r="C230" s="265"/>
      <c r="D230" s="265"/>
    </row>
    <row r="231">
      <c r="A231" s="265"/>
      <c r="B231" s="265"/>
      <c r="C231" s="265"/>
      <c r="D231" s="265"/>
    </row>
    <row r="232">
      <c r="A232" s="265"/>
      <c r="B232" s="265"/>
      <c r="C232" s="265"/>
      <c r="D232" s="265"/>
    </row>
    <row r="233">
      <c r="A233" s="265"/>
      <c r="B233" s="265"/>
      <c r="C233" s="265"/>
      <c r="D233" s="265"/>
    </row>
    <row r="234">
      <c r="A234" s="265"/>
      <c r="B234" s="265"/>
      <c r="C234" s="265"/>
      <c r="D234" s="265"/>
    </row>
    <row r="235">
      <c r="A235" s="265"/>
      <c r="B235" s="265"/>
      <c r="C235" s="265"/>
      <c r="D235" s="265"/>
    </row>
    <row r="236">
      <c r="A236" s="265"/>
      <c r="B236" s="265"/>
      <c r="C236" s="265"/>
      <c r="D236" s="265"/>
    </row>
    <row r="237">
      <c r="A237" s="265"/>
      <c r="B237" s="265"/>
      <c r="C237" s="265"/>
      <c r="D237" s="265"/>
    </row>
    <row r="238">
      <c r="A238" s="265"/>
      <c r="B238" s="265"/>
      <c r="C238" s="265"/>
      <c r="D238" s="265"/>
    </row>
    <row r="239">
      <c r="A239" s="265"/>
      <c r="B239" s="265"/>
      <c r="C239" s="265"/>
      <c r="D239" s="265"/>
    </row>
    <row r="240">
      <c r="A240" s="265"/>
      <c r="B240" s="265"/>
      <c r="C240" s="265"/>
      <c r="D240" s="265"/>
    </row>
    <row r="241">
      <c r="A241" s="265"/>
      <c r="B241" s="265"/>
      <c r="C241" s="265"/>
      <c r="D241" s="265"/>
    </row>
    <row r="242">
      <c r="A242" s="265"/>
      <c r="B242" s="265"/>
      <c r="C242" s="265"/>
      <c r="D242" s="265"/>
    </row>
    <row r="243">
      <c r="A243" s="265"/>
      <c r="B243" s="265"/>
      <c r="C243" s="265"/>
      <c r="D243" s="265"/>
    </row>
    <row r="244">
      <c r="A244" s="265"/>
      <c r="B244" s="265"/>
      <c r="C244" s="265"/>
      <c r="D244" s="265"/>
    </row>
    <row r="245">
      <c r="A245" s="265"/>
      <c r="B245" s="265"/>
      <c r="C245" s="265"/>
      <c r="D245" s="265"/>
    </row>
    <row r="246">
      <c r="A246" s="265"/>
      <c r="B246" s="265"/>
      <c r="C246" s="265"/>
      <c r="D246" s="265"/>
    </row>
    <row r="247">
      <c r="A247" s="265"/>
      <c r="B247" s="265"/>
      <c r="C247" s="265"/>
      <c r="D247" s="265"/>
    </row>
    <row r="248">
      <c r="A248" s="265"/>
      <c r="B248" s="265"/>
      <c r="C248" s="265"/>
      <c r="D248" s="265"/>
    </row>
    <row r="249">
      <c r="A249" s="265"/>
      <c r="B249" s="265"/>
      <c r="C249" s="265"/>
      <c r="D249" s="265"/>
    </row>
    <row r="250">
      <c r="A250" s="265"/>
      <c r="B250" s="265"/>
      <c r="C250" s="265"/>
      <c r="D250" s="265"/>
    </row>
    <row r="251">
      <c r="A251" s="265"/>
      <c r="B251" s="265"/>
      <c r="C251" s="265"/>
      <c r="D251" s="265"/>
    </row>
    <row r="252">
      <c r="A252" s="265"/>
      <c r="B252" s="265"/>
      <c r="C252" s="265"/>
      <c r="D252" s="265"/>
    </row>
    <row r="253">
      <c r="A253" s="265"/>
      <c r="B253" s="265"/>
      <c r="C253" s="265"/>
      <c r="D253" s="265"/>
    </row>
    <row r="254">
      <c r="A254" s="265"/>
      <c r="B254" s="265"/>
      <c r="C254" s="265"/>
      <c r="D254" s="265"/>
    </row>
    <row r="255">
      <c r="A255" s="265"/>
      <c r="B255" s="265"/>
      <c r="C255" s="265"/>
      <c r="D255" s="265"/>
    </row>
    <row r="256">
      <c r="A256" s="265"/>
      <c r="B256" s="265"/>
      <c r="C256" s="265"/>
      <c r="D256" s="265"/>
    </row>
    <row r="257">
      <c r="A257" s="265"/>
      <c r="B257" s="265"/>
      <c r="C257" s="265"/>
      <c r="D257" s="265"/>
    </row>
    <row r="258">
      <c r="A258" s="265"/>
      <c r="B258" s="265"/>
      <c r="C258" s="265"/>
      <c r="D258" s="265"/>
    </row>
    <row r="259">
      <c r="A259" s="265"/>
      <c r="B259" s="265"/>
      <c r="C259" s="265"/>
      <c r="D259" s="265"/>
    </row>
    <row r="260">
      <c r="A260" s="265"/>
      <c r="B260" s="265"/>
      <c r="C260" s="265"/>
      <c r="D260" s="265"/>
    </row>
    <row r="261">
      <c r="A261" s="265"/>
      <c r="B261" s="265"/>
      <c r="C261" s="265"/>
      <c r="D261" s="265"/>
    </row>
    <row r="262">
      <c r="A262" s="265"/>
      <c r="B262" s="265"/>
      <c r="C262" s="265"/>
      <c r="D262" s="265"/>
    </row>
    <row r="263">
      <c r="A263" s="265"/>
      <c r="B263" s="265"/>
      <c r="C263" s="265"/>
      <c r="D263" s="265"/>
    </row>
    <row r="264">
      <c r="A264" s="265"/>
      <c r="B264" s="265"/>
      <c r="C264" s="265"/>
      <c r="D264" s="265"/>
    </row>
    <row r="265">
      <c r="A265" s="265"/>
      <c r="B265" s="265"/>
      <c r="C265" s="265"/>
      <c r="D265" s="265"/>
    </row>
    <row r="266">
      <c r="A266" s="265"/>
      <c r="B266" s="265"/>
      <c r="C266" s="265"/>
      <c r="D266" s="265"/>
    </row>
    <row r="267">
      <c r="A267" s="265"/>
      <c r="B267" s="265"/>
      <c r="C267" s="265"/>
      <c r="D267" s="265"/>
    </row>
    <row r="268">
      <c r="A268" s="265"/>
      <c r="B268" s="265"/>
      <c r="C268" s="265"/>
      <c r="D268" s="265"/>
    </row>
    <row r="269">
      <c r="A269" s="265"/>
      <c r="B269" s="265"/>
      <c r="C269" s="265"/>
      <c r="D269" s="265"/>
    </row>
    <row r="270">
      <c r="A270" s="265"/>
      <c r="B270" s="265"/>
      <c r="C270" s="265"/>
      <c r="D270" s="265"/>
    </row>
    <row r="271">
      <c r="A271" s="265"/>
      <c r="B271" s="265"/>
      <c r="C271" s="265"/>
      <c r="D271" s="265"/>
    </row>
    <row r="272">
      <c r="A272" s="265"/>
      <c r="B272" s="265"/>
      <c r="C272" s="265"/>
      <c r="D272" s="265"/>
    </row>
    <row r="273">
      <c r="A273" s="265"/>
      <c r="B273" s="265"/>
      <c r="C273" s="265"/>
      <c r="D273" s="265"/>
    </row>
    <row r="274">
      <c r="A274" s="265"/>
      <c r="B274" s="265"/>
      <c r="C274" s="265"/>
      <c r="D274" s="265"/>
    </row>
    <row r="275">
      <c r="A275" s="265"/>
      <c r="B275" s="265"/>
      <c r="C275" s="265"/>
      <c r="D275" s="265"/>
    </row>
    <row r="276">
      <c r="A276" s="265"/>
      <c r="B276" s="265"/>
      <c r="C276" s="265"/>
      <c r="D276" s="265"/>
    </row>
    <row r="277">
      <c r="A277" s="265"/>
      <c r="B277" s="265"/>
      <c r="C277" s="265"/>
      <c r="D277" s="265"/>
    </row>
    <row r="278">
      <c r="A278" s="265"/>
      <c r="B278" s="265"/>
      <c r="C278" s="265"/>
      <c r="D278" s="265"/>
    </row>
    <row r="279">
      <c r="A279" s="265"/>
      <c r="B279" s="265"/>
      <c r="C279" s="265"/>
      <c r="D279" s="265"/>
    </row>
    <row r="280">
      <c r="A280" s="265"/>
      <c r="B280" s="265"/>
      <c r="C280" s="265"/>
      <c r="D280" s="265"/>
    </row>
    <row r="281">
      <c r="A281" s="265"/>
      <c r="B281" s="265"/>
      <c r="C281" s="265"/>
      <c r="D281" s="265"/>
    </row>
    <row r="282">
      <c r="A282" s="265"/>
      <c r="B282" s="265"/>
      <c r="C282" s="265"/>
      <c r="D282" s="265"/>
    </row>
    <row r="283">
      <c r="A283" s="265"/>
      <c r="B283" s="265"/>
      <c r="C283" s="265"/>
      <c r="D283" s="265"/>
    </row>
    <row r="284">
      <c r="A284" s="265"/>
      <c r="B284" s="265"/>
      <c r="C284" s="265"/>
      <c r="D284" s="265"/>
    </row>
    <row r="285">
      <c r="A285" s="265"/>
      <c r="B285" s="265"/>
      <c r="C285" s="265"/>
      <c r="D285" s="265"/>
    </row>
    <row r="286">
      <c r="A286" s="265"/>
      <c r="B286" s="265"/>
      <c r="C286" s="265"/>
      <c r="D286" s="265"/>
    </row>
    <row r="287">
      <c r="A287" s="265"/>
      <c r="B287" s="265"/>
      <c r="C287" s="265"/>
      <c r="D287" s="265"/>
    </row>
    <row r="288">
      <c r="A288" s="265"/>
      <c r="B288" s="265"/>
      <c r="C288" s="265"/>
      <c r="D288" s="265"/>
    </row>
    <row r="289">
      <c r="A289" s="265"/>
      <c r="B289" s="265"/>
      <c r="C289" s="265"/>
      <c r="D289" s="265"/>
    </row>
    <row r="290">
      <c r="A290" s="265"/>
      <c r="B290" s="265"/>
      <c r="C290" s="265"/>
      <c r="D290" s="265"/>
    </row>
    <row r="291">
      <c r="A291" s="265"/>
      <c r="B291" s="265"/>
      <c r="C291" s="265"/>
      <c r="D291" s="265"/>
    </row>
    <row r="292">
      <c r="A292" s="265"/>
      <c r="B292" s="265"/>
      <c r="C292" s="265"/>
      <c r="D292" s="265"/>
    </row>
    <row r="293">
      <c r="A293" s="265"/>
      <c r="B293" s="265"/>
      <c r="C293" s="265"/>
      <c r="D293" s="265"/>
    </row>
    <row r="294">
      <c r="A294" s="265"/>
      <c r="B294" s="265"/>
      <c r="C294" s="265"/>
      <c r="D294" s="265"/>
    </row>
    <row r="295">
      <c r="A295" s="265"/>
      <c r="B295" s="265"/>
      <c r="C295" s="265"/>
      <c r="D295" s="265"/>
    </row>
    <row r="296">
      <c r="A296" s="265"/>
      <c r="B296" s="265"/>
      <c r="C296" s="265"/>
      <c r="D296" s="265"/>
    </row>
    <row r="297">
      <c r="A297" s="265"/>
      <c r="B297" s="265"/>
      <c r="C297" s="265"/>
      <c r="D297" s="265"/>
    </row>
    <row r="298">
      <c r="A298" s="265"/>
      <c r="B298" s="265"/>
      <c r="C298" s="265"/>
      <c r="D298" s="265"/>
    </row>
    <row r="299">
      <c r="A299" s="265"/>
      <c r="B299" s="265"/>
      <c r="C299" s="265"/>
      <c r="D299" s="265"/>
    </row>
    <row r="300">
      <c r="A300" s="265"/>
      <c r="B300" s="265"/>
      <c r="C300" s="265"/>
      <c r="D300" s="265"/>
    </row>
    <row r="301">
      <c r="A301" s="265"/>
      <c r="B301" s="265"/>
      <c r="C301" s="265"/>
      <c r="D301" s="265"/>
    </row>
    <row r="302">
      <c r="A302" s="265"/>
      <c r="B302" s="265"/>
      <c r="C302" s="265"/>
      <c r="D302" s="265"/>
    </row>
    <row r="303">
      <c r="A303" s="265"/>
      <c r="B303" s="265"/>
      <c r="C303" s="265"/>
      <c r="D303" s="265"/>
    </row>
    <row r="304">
      <c r="A304" s="265"/>
      <c r="B304" s="265"/>
      <c r="C304" s="265"/>
      <c r="D304" s="265"/>
    </row>
    <row r="305">
      <c r="A305" s="265"/>
      <c r="B305" s="265"/>
      <c r="C305" s="265"/>
      <c r="D305" s="265"/>
    </row>
    <row r="306">
      <c r="A306" s="265"/>
      <c r="B306" s="265"/>
      <c r="C306" s="265"/>
      <c r="D306" s="265"/>
    </row>
    <row r="307">
      <c r="A307" s="265"/>
      <c r="B307" s="265"/>
      <c r="C307" s="265"/>
      <c r="D307" s="265"/>
    </row>
    <row r="308">
      <c r="A308" s="265"/>
      <c r="B308" s="265"/>
      <c r="C308" s="265"/>
      <c r="D308" s="265"/>
    </row>
    <row r="309">
      <c r="A309" s="265"/>
      <c r="B309" s="265"/>
      <c r="C309" s="265"/>
      <c r="D309" s="265"/>
    </row>
    <row r="310">
      <c r="A310" s="265"/>
      <c r="B310" s="265"/>
      <c r="C310" s="265"/>
      <c r="D310" s="265"/>
    </row>
    <row r="311">
      <c r="A311" s="265"/>
      <c r="B311" s="265"/>
      <c r="C311" s="265"/>
      <c r="D311" s="265"/>
    </row>
    <row r="312">
      <c r="A312" s="265"/>
      <c r="B312" s="265"/>
      <c r="C312" s="265"/>
      <c r="D312" s="265"/>
    </row>
    <row r="313">
      <c r="A313" s="265"/>
      <c r="B313" s="265"/>
      <c r="C313" s="265"/>
      <c r="D313" s="265"/>
    </row>
    <row r="314">
      <c r="A314" s="265"/>
      <c r="B314" s="265"/>
      <c r="C314" s="265"/>
      <c r="D314" s="265"/>
    </row>
    <row r="315">
      <c r="A315" s="265"/>
      <c r="B315" s="265"/>
      <c r="C315" s="265"/>
      <c r="D315" s="265"/>
    </row>
    <row r="316">
      <c r="A316" s="265"/>
      <c r="B316" s="265"/>
      <c r="C316" s="265"/>
      <c r="D316" s="265"/>
    </row>
    <row r="317">
      <c r="A317" s="265"/>
      <c r="B317" s="265"/>
      <c r="C317" s="265"/>
      <c r="D317" s="265"/>
    </row>
    <row r="318">
      <c r="A318" s="265"/>
      <c r="B318" s="265"/>
      <c r="C318" s="265"/>
      <c r="D318" s="265"/>
    </row>
    <row r="319">
      <c r="A319" s="265"/>
      <c r="B319" s="265"/>
      <c r="C319" s="265"/>
      <c r="D319" s="265"/>
    </row>
    <row r="320">
      <c r="A320" s="265"/>
      <c r="B320" s="265"/>
      <c r="C320" s="265"/>
      <c r="D320" s="265"/>
    </row>
    <row r="321">
      <c r="A321" s="265"/>
      <c r="B321" s="265"/>
      <c r="C321" s="265"/>
      <c r="D321" s="265"/>
    </row>
    <row r="322">
      <c r="A322" s="265"/>
      <c r="B322" s="265"/>
      <c r="C322" s="265"/>
      <c r="D322" s="265"/>
    </row>
    <row r="323">
      <c r="A323" s="265"/>
      <c r="B323" s="265"/>
      <c r="C323" s="265"/>
      <c r="D323" s="265"/>
    </row>
    <row r="324">
      <c r="A324" s="265"/>
      <c r="B324" s="265"/>
      <c r="C324" s="265"/>
      <c r="D324" s="265"/>
    </row>
    <row r="325">
      <c r="A325" s="265"/>
      <c r="B325" s="265"/>
      <c r="C325" s="265"/>
      <c r="D325" s="265"/>
    </row>
    <row r="326">
      <c r="A326" s="265"/>
      <c r="B326" s="265"/>
      <c r="C326" s="265"/>
      <c r="D326" s="265"/>
    </row>
    <row r="327">
      <c r="A327" s="265"/>
      <c r="B327" s="265"/>
      <c r="C327" s="265"/>
      <c r="D327" s="265"/>
    </row>
    <row r="328">
      <c r="A328" s="265"/>
      <c r="B328" s="265"/>
      <c r="C328" s="265"/>
      <c r="D328" s="265"/>
    </row>
    <row r="329">
      <c r="A329" s="265"/>
      <c r="B329" s="265"/>
      <c r="C329" s="265"/>
      <c r="D329" s="265"/>
    </row>
    <row r="330">
      <c r="A330" s="265"/>
      <c r="B330" s="265"/>
      <c r="C330" s="265"/>
      <c r="D330" s="265"/>
    </row>
    <row r="331">
      <c r="A331" s="265"/>
      <c r="B331" s="265"/>
      <c r="C331" s="265"/>
      <c r="D331" s="265"/>
    </row>
    <row r="332">
      <c r="A332" s="265"/>
      <c r="B332" s="265"/>
      <c r="C332" s="265"/>
      <c r="D332" s="265"/>
    </row>
    <row r="333">
      <c r="A333" s="265"/>
      <c r="B333" s="265"/>
      <c r="C333" s="265"/>
      <c r="D333" s="265"/>
    </row>
    <row r="334">
      <c r="A334" s="265"/>
      <c r="B334" s="265"/>
      <c r="C334" s="265"/>
      <c r="D334" s="265"/>
    </row>
    <row r="335">
      <c r="A335" s="265"/>
      <c r="B335" s="265"/>
      <c r="C335" s="265"/>
      <c r="D335" s="265"/>
    </row>
    <row r="336">
      <c r="A336" s="265"/>
      <c r="B336" s="265"/>
      <c r="C336" s="265"/>
      <c r="D336" s="265"/>
    </row>
    <row r="337">
      <c r="A337" s="265"/>
      <c r="B337" s="265"/>
      <c r="C337" s="265"/>
      <c r="D337" s="265"/>
    </row>
    <row r="338">
      <c r="A338" s="265"/>
      <c r="B338" s="265"/>
      <c r="C338" s="265"/>
      <c r="D338" s="265"/>
    </row>
    <row r="339">
      <c r="A339" s="265"/>
      <c r="B339" s="265"/>
      <c r="C339" s="265"/>
      <c r="D339" s="265"/>
    </row>
    <row r="340">
      <c r="A340" s="265"/>
      <c r="B340" s="265"/>
      <c r="C340" s="265"/>
      <c r="D340" s="265"/>
    </row>
    <row r="341">
      <c r="A341" s="265"/>
      <c r="B341" s="265"/>
      <c r="C341" s="265"/>
      <c r="D341" s="265"/>
    </row>
    <row r="342">
      <c r="A342" s="265"/>
      <c r="B342" s="265"/>
      <c r="C342" s="265"/>
      <c r="D342" s="265"/>
    </row>
    <row r="343">
      <c r="A343" s="265"/>
      <c r="B343" s="265"/>
      <c r="C343" s="265"/>
      <c r="D343" s="265"/>
    </row>
    <row r="344">
      <c r="A344" s="265"/>
      <c r="B344" s="265"/>
      <c r="C344" s="265"/>
      <c r="D344" s="265"/>
    </row>
    <row r="345">
      <c r="A345" s="265"/>
      <c r="B345" s="265"/>
      <c r="C345" s="265"/>
      <c r="D345" s="265"/>
    </row>
    <row r="346">
      <c r="A346" s="265"/>
      <c r="B346" s="265"/>
      <c r="C346" s="265"/>
      <c r="D346" s="265"/>
    </row>
    <row r="347">
      <c r="A347" s="265"/>
      <c r="B347" s="265"/>
      <c r="C347" s="265"/>
      <c r="D347" s="265"/>
    </row>
    <row r="348">
      <c r="A348" s="265"/>
      <c r="B348" s="265"/>
      <c r="C348" s="265"/>
      <c r="D348" s="265"/>
    </row>
    <row r="349">
      <c r="A349" s="265"/>
      <c r="B349" s="265"/>
      <c r="C349" s="265"/>
      <c r="D349" s="265"/>
    </row>
    <row r="350">
      <c r="A350" s="265"/>
      <c r="B350" s="265"/>
      <c r="C350" s="265"/>
      <c r="D350" s="265"/>
    </row>
    <row r="351">
      <c r="A351" s="265"/>
      <c r="B351" s="265"/>
      <c r="C351" s="265"/>
      <c r="D351" s="265"/>
    </row>
    <row r="352">
      <c r="A352" s="265"/>
      <c r="B352" s="265"/>
      <c r="C352" s="265"/>
      <c r="D352" s="265"/>
    </row>
    <row r="353">
      <c r="A353" s="265"/>
      <c r="B353" s="265"/>
      <c r="C353" s="265"/>
      <c r="D353" s="265"/>
    </row>
    <row r="354">
      <c r="A354" s="265"/>
      <c r="B354" s="265"/>
      <c r="C354" s="265"/>
      <c r="D354" s="265"/>
    </row>
    <row r="355">
      <c r="A355" s="265"/>
      <c r="B355" s="265"/>
      <c r="C355" s="265"/>
      <c r="D355" s="265"/>
    </row>
    <row r="356">
      <c r="A356" s="265"/>
      <c r="B356" s="265"/>
      <c r="C356" s="265"/>
      <c r="D356" s="265"/>
    </row>
    <row r="357">
      <c r="A357" s="265"/>
      <c r="B357" s="265"/>
      <c r="C357" s="265"/>
      <c r="D357" s="265"/>
    </row>
    <row r="358">
      <c r="A358" s="265"/>
      <c r="B358" s="265"/>
      <c r="C358" s="265"/>
      <c r="D358" s="265"/>
    </row>
    <row r="359">
      <c r="A359" s="265"/>
      <c r="B359" s="265"/>
      <c r="C359" s="265"/>
      <c r="D359" s="265"/>
    </row>
    <row r="360">
      <c r="A360" s="265"/>
      <c r="B360" s="265"/>
      <c r="C360" s="265"/>
      <c r="D360" s="265"/>
    </row>
    <row r="361">
      <c r="A361" s="265"/>
      <c r="B361" s="265"/>
      <c r="C361" s="265"/>
      <c r="D361" s="265"/>
    </row>
    <row r="362">
      <c r="A362" s="265"/>
      <c r="B362" s="265"/>
      <c r="C362" s="265"/>
      <c r="D362" s="265"/>
    </row>
    <row r="363">
      <c r="A363" s="265"/>
      <c r="B363" s="265"/>
      <c r="C363" s="265"/>
      <c r="D363" s="265"/>
    </row>
    <row r="364">
      <c r="A364" s="265"/>
      <c r="B364" s="265"/>
      <c r="C364" s="265"/>
      <c r="D364" s="265"/>
    </row>
    <row r="365">
      <c r="A365" s="265"/>
      <c r="B365" s="265"/>
      <c r="C365" s="265"/>
      <c r="D365" s="265"/>
    </row>
    <row r="366">
      <c r="A366" s="265"/>
      <c r="B366" s="265"/>
      <c r="C366" s="265"/>
      <c r="D366" s="265"/>
    </row>
    <row r="367">
      <c r="A367" s="265"/>
      <c r="B367" s="265"/>
      <c r="C367" s="265"/>
      <c r="D367" s="265"/>
    </row>
    <row r="368">
      <c r="A368" s="265"/>
      <c r="B368" s="265"/>
      <c r="C368" s="265"/>
      <c r="D368" s="265"/>
    </row>
    <row r="369">
      <c r="A369" s="265"/>
      <c r="B369" s="265"/>
      <c r="C369" s="265"/>
      <c r="D369" s="265"/>
    </row>
    <row r="370">
      <c r="A370" s="265"/>
      <c r="B370" s="265"/>
      <c r="C370" s="265"/>
      <c r="D370" s="265"/>
    </row>
    <row r="371">
      <c r="A371" s="265"/>
      <c r="B371" s="265"/>
      <c r="C371" s="265"/>
      <c r="D371" s="265"/>
    </row>
    <row r="372">
      <c r="A372" s="265"/>
      <c r="B372" s="265"/>
      <c r="C372" s="265"/>
      <c r="D372" s="265"/>
    </row>
    <row r="373">
      <c r="A373" s="265"/>
      <c r="B373" s="265"/>
      <c r="C373" s="265"/>
      <c r="D373" s="265"/>
    </row>
    <row r="374">
      <c r="A374" s="265"/>
      <c r="B374" s="265"/>
      <c r="C374" s="265"/>
      <c r="D374" s="265"/>
    </row>
    <row r="375">
      <c r="A375" s="265"/>
      <c r="B375" s="265"/>
      <c r="C375" s="265"/>
      <c r="D375" s="265"/>
    </row>
    <row r="376">
      <c r="A376" s="265"/>
      <c r="B376" s="265"/>
      <c r="C376" s="265"/>
      <c r="D376" s="265"/>
    </row>
    <row r="377">
      <c r="A377" s="265"/>
      <c r="B377" s="265"/>
      <c r="C377" s="265"/>
      <c r="D377" s="265"/>
    </row>
    <row r="378">
      <c r="A378" s="265"/>
      <c r="B378" s="265"/>
      <c r="C378" s="265"/>
      <c r="D378" s="265"/>
    </row>
    <row r="379">
      <c r="A379" s="265"/>
      <c r="B379" s="265"/>
      <c r="C379" s="265"/>
      <c r="D379" s="265"/>
    </row>
    <row r="380">
      <c r="A380" s="265"/>
      <c r="B380" s="265"/>
      <c r="C380" s="265"/>
      <c r="D380" s="265"/>
    </row>
    <row r="381">
      <c r="A381" s="265"/>
      <c r="B381" s="265"/>
      <c r="C381" s="265"/>
      <c r="D381" s="265"/>
    </row>
    <row r="382">
      <c r="A382" s="265"/>
      <c r="B382" s="265"/>
      <c r="C382" s="265"/>
      <c r="D382" s="265"/>
    </row>
    <row r="383">
      <c r="A383" s="265"/>
      <c r="B383" s="265"/>
      <c r="C383" s="265"/>
      <c r="D383" s="265"/>
    </row>
    <row r="384">
      <c r="A384" s="265"/>
      <c r="B384" s="265"/>
      <c r="C384" s="265"/>
      <c r="D384" s="265"/>
    </row>
    <row r="385">
      <c r="A385" s="265"/>
      <c r="B385" s="265"/>
      <c r="C385" s="265"/>
      <c r="D385" s="265"/>
    </row>
    <row r="386">
      <c r="A386" s="265"/>
      <c r="B386" s="265"/>
      <c r="C386" s="265"/>
      <c r="D386" s="265"/>
    </row>
    <row r="387">
      <c r="A387" s="265"/>
      <c r="B387" s="265"/>
      <c r="C387" s="265"/>
      <c r="D387" s="265"/>
    </row>
    <row r="388">
      <c r="A388" s="265"/>
      <c r="B388" s="265"/>
      <c r="C388" s="265"/>
      <c r="D388" s="265"/>
    </row>
    <row r="389">
      <c r="A389" s="265"/>
      <c r="B389" s="265"/>
      <c r="C389" s="265"/>
      <c r="D389" s="265"/>
    </row>
    <row r="390">
      <c r="A390" s="265"/>
      <c r="B390" s="265"/>
      <c r="C390" s="265"/>
      <c r="D390" s="265"/>
    </row>
    <row r="391">
      <c r="A391" s="265"/>
      <c r="B391" s="265"/>
      <c r="C391" s="265"/>
      <c r="D391" s="265"/>
    </row>
    <row r="392">
      <c r="A392" s="265"/>
      <c r="B392" s="265"/>
      <c r="C392" s="265"/>
      <c r="D392" s="265"/>
    </row>
    <row r="393">
      <c r="A393" s="265"/>
      <c r="B393" s="265"/>
      <c r="C393" s="265"/>
      <c r="D393" s="265"/>
    </row>
    <row r="394">
      <c r="A394" s="265"/>
      <c r="B394" s="265"/>
      <c r="C394" s="265"/>
      <c r="D394" s="265"/>
    </row>
    <row r="395">
      <c r="A395" s="265"/>
      <c r="B395" s="265"/>
      <c r="C395" s="265"/>
      <c r="D395" s="265"/>
    </row>
    <row r="396">
      <c r="A396" s="265"/>
      <c r="B396" s="265"/>
      <c r="C396" s="265"/>
      <c r="D396" s="265"/>
    </row>
    <row r="397">
      <c r="A397" s="265"/>
      <c r="B397" s="265"/>
      <c r="C397" s="265"/>
      <c r="D397" s="265"/>
    </row>
    <row r="398">
      <c r="A398" s="265"/>
      <c r="B398" s="265"/>
      <c r="C398" s="265"/>
      <c r="D398" s="265"/>
    </row>
    <row r="399">
      <c r="A399" s="265"/>
      <c r="B399" s="265"/>
      <c r="C399" s="265"/>
      <c r="D399" s="265"/>
    </row>
    <row r="400">
      <c r="A400" s="265"/>
      <c r="B400" s="265"/>
      <c r="C400" s="265"/>
      <c r="D400" s="265"/>
    </row>
    <row r="401">
      <c r="A401" s="265"/>
      <c r="B401" s="265"/>
      <c r="C401" s="265"/>
      <c r="D401" s="265"/>
    </row>
    <row r="402">
      <c r="A402" s="265"/>
      <c r="B402" s="265"/>
      <c r="C402" s="265"/>
      <c r="D402" s="265"/>
    </row>
    <row r="403">
      <c r="A403" s="265"/>
      <c r="B403" s="265"/>
      <c r="C403" s="265"/>
      <c r="D403" s="265"/>
    </row>
    <row r="404">
      <c r="A404" s="265"/>
      <c r="B404" s="265"/>
      <c r="C404" s="265"/>
      <c r="D404" s="265"/>
    </row>
    <row r="405">
      <c r="A405" s="265"/>
      <c r="B405" s="265"/>
      <c r="C405" s="265"/>
      <c r="D405" s="265"/>
    </row>
    <row r="406">
      <c r="A406" s="265"/>
      <c r="B406" s="265"/>
      <c r="C406" s="265"/>
      <c r="D406" s="265"/>
    </row>
    <row r="407">
      <c r="A407" s="265"/>
      <c r="B407" s="265"/>
      <c r="C407" s="265"/>
      <c r="D407" s="265"/>
    </row>
    <row r="408">
      <c r="A408" s="265"/>
      <c r="B408" s="265"/>
      <c r="C408" s="265"/>
      <c r="D408" s="265"/>
    </row>
    <row r="409">
      <c r="A409" s="265"/>
      <c r="B409" s="265"/>
      <c r="C409" s="265"/>
      <c r="D409" s="265"/>
    </row>
    <row r="410">
      <c r="A410" s="265"/>
      <c r="B410" s="265"/>
      <c r="C410" s="265"/>
      <c r="D410" s="265"/>
    </row>
    <row r="411">
      <c r="A411" s="265"/>
      <c r="B411" s="265"/>
      <c r="C411" s="265"/>
      <c r="D411" s="265"/>
    </row>
    <row r="412">
      <c r="A412" s="265"/>
      <c r="B412" s="265"/>
      <c r="C412" s="265"/>
      <c r="D412" s="265"/>
    </row>
    <row r="413">
      <c r="A413" s="265"/>
      <c r="B413" s="265"/>
      <c r="C413" s="265"/>
      <c r="D413" s="265"/>
    </row>
    <row r="414">
      <c r="A414" s="265"/>
      <c r="B414" s="265"/>
      <c r="C414" s="265"/>
      <c r="D414" s="265"/>
    </row>
    <row r="415">
      <c r="A415" s="265"/>
      <c r="B415" s="265"/>
      <c r="C415" s="265"/>
      <c r="D415" s="265"/>
    </row>
    <row r="416">
      <c r="A416" s="265"/>
      <c r="B416" s="265"/>
      <c r="C416" s="265"/>
      <c r="D416" s="265"/>
    </row>
    <row r="417">
      <c r="A417" s="265"/>
      <c r="B417" s="265"/>
      <c r="C417" s="265"/>
      <c r="D417" s="265"/>
    </row>
    <row r="418">
      <c r="A418" s="265"/>
      <c r="B418" s="265"/>
      <c r="C418" s="265"/>
      <c r="D418" s="265"/>
    </row>
    <row r="419">
      <c r="A419" s="265"/>
      <c r="B419" s="265"/>
      <c r="C419" s="265"/>
      <c r="D419" s="265"/>
    </row>
    <row r="420">
      <c r="A420" s="265"/>
      <c r="B420" s="265"/>
      <c r="C420" s="265"/>
      <c r="D420" s="265"/>
    </row>
    <row r="421">
      <c r="A421" s="265"/>
      <c r="B421" s="265"/>
      <c r="C421" s="265"/>
      <c r="D421" s="265"/>
    </row>
    <row r="422">
      <c r="A422" s="265"/>
      <c r="B422" s="265"/>
      <c r="C422" s="265"/>
      <c r="D422" s="265"/>
    </row>
    <row r="423">
      <c r="A423" s="265"/>
      <c r="B423" s="265"/>
      <c r="C423" s="265"/>
      <c r="D423" s="265"/>
    </row>
    <row r="424">
      <c r="A424" s="265"/>
      <c r="B424" s="265"/>
      <c r="C424" s="265"/>
      <c r="D424" s="265"/>
    </row>
    <row r="425">
      <c r="A425" s="265"/>
      <c r="B425" s="265"/>
      <c r="C425" s="265"/>
      <c r="D425" s="265"/>
    </row>
    <row r="426">
      <c r="A426" s="265"/>
      <c r="B426" s="265"/>
      <c r="C426" s="265"/>
      <c r="D426" s="265"/>
    </row>
    <row r="427">
      <c r="A427" s="265"/>
      <c r="B427" s="265"/>
      <c r="C427" s="265"/>
      <c r="D427" s="265"/>
    </row>
    <row r="428">
      <c r="A428" s="265"/>
      <c r="B428" s="265"/>
      <c r="C428" s="265"/>
      <c r="D428" s="265"/>
    </row>
    <row r="429">
      <c r="A429" s="265"/>
      <c r="B429" s="265"/>
      <c r="C429" s="265"/>
      <c r="D429" s="265"/>
    </row>
    <row r="430">
      <c r="A430" s="265"/>
      <c r="B430" s="265"/>
      <c r="C430" s="265"/>
      <c r="D430" s="265"/>
    </row>
    <row r="431">
      <c r="A431" s="265"/>
      <c r="B431" s="265"/>
      <c r="C431" s="265"/>
      <c r="D431" s="265"/>
    </row>
    <row r="432">
      <c r="A432" s="265"/>
      <c r="B432" s="265"/>
      <c r="C432" s="265"/>
      <c r="D432" s="265"/>
    </row>
    <row r="433">
      <c r="A433" s="265"/>
      <c r="B433" s="265"/>
      <c r="C433" s="265"/>
      <c r="D433" s="265"/>
    </row>
    <row r="434">
      <c r="A434" s="265"/>
      <c r="B434" s="265"/>
      <c r="C434" s="265"/>
      <c r="D434" s="265"/>
    </row>
    <row r="435">
      <c r="A435" s="265"/>
      <c r="B435" s="265"/>
      <c r="C435" s="265"/>
      <c r="D435" s="265"/>
    </row>
    <row r="436">
      <c r="A436" s="265"/>
      <c r="B436" s="265"/>
      <c r="C436" s="265"/>
      <c r="D436" s="265"/>
    </row>
    <row r="437">
      <c r="A437" s="265"/>
      <c r="B437" s="265"/>
      <c r="C437" s="265"/>
      <c r="D437" s="265"/>
    </row>
    <row r="438">
      <c r="A438" s="265"/>
      <c r="B438" s="265"/>
      <c r="C438" s="265"/>
      <c r="D438" s="265"/>
    </row>
    <row r="439">
      <c r="A439" s="265"/>
      <c r="B439" s="265"/>
      <c r="C439" s="265"/>
      <c r="D439" s="265"/>
    </row>
    <row r="440">
      <c r="A440" s="265"/>
      <c r="B440" s="265"/>
      <c r="C440" s="265"/>
      <c r="D440" s="265"/>
    </row>
    <row r="441">
      <c r="A441" s="265"/>
      <c r="B441" s="265"/>
      <c r="C441" s="265"/>
      <c r="D441" s="265"/>
    </row>
    <row r="442">
      <c r="A442" s="265"/>
      <c r="B442" s="265"/>
      <c r="C442" s="265"/>
      <c r="D442" s="265"/>
    </row>
    <row r="443">
      <c r="A443" s="265"/>
      <c r="B443" s="265"/>
      <c r="C443" s="265"/>
      <c r="D443" s="265"/>
    </row>
    <row r="444">
      <c r="A444" s="265"/>
      <c r="B444" s="265"/>
      <c r="C444" s="265"/>
      <c r="D444" s="265"/>
    </row>
    <row r="445">
      <c r="A445" s="265"/>
      <c r="B445" s="265"/>
      <c r="C445" s="265"/>
      <c r="D445" s="265"/>
    </row>
    <row r="446">
      <c r="A446" s="265"/>
      <c r="B446" s="265"/>
      <c r="C446" s="265"/>
      <c r="D446" s="265"/>
    </row>
    <row r="447">
      <c r="A447" s="265"/>
      <c r="B447" s="265"/>
      <c r="C447" s="265"/>
      <c r="D447" s="265"/>
    </row>
    <row r="448">
      <c r="A448" s="265"/>
      <c r="B448" s="265"/>
      <c r="C448" s="265"/>
      <c r="D448" s="265"/>
    </row>
    <row r="449">
      <c r="A449" s="265"/>
      <c r="B449" s="265"/>
      <c r="C449" s="265"/>
      <c r="D449" s="265"/>
    </row>
    <row r="450">
      <c r="A450" s="265"/>
      <c r="B450" s="265"/>
      <c r="C450" s="265"/>
      <c r="D450" s="265"/>
    </row>
    <row r="451">
      <c r="A451" s="265"/>
      <c r="B451" s="265"/>
      <c r="C451" s="265"/>
      <c r="D451" s="265"/>
    </row>
    <row r="452">
      <c r="A452" s="265"/>
      <c r="B452" s="265"/>
      <c r="C452" s="265"/>
      <c r="D452" s="265"/>
    </row>
    <row r="453">
      <c r="A453" s="265"/>
      <c r="B453" s="265"/>
      <c r="C453" s="265"/>
      <c r="D453" s="265"/>
    </row>
    <row r="454">
      <c r="A454" s="265"/>
      <c r="B454" s="265"/>
      <c r="C454" s="265"/>
      <c r="D454" s="265"/>
    </row>
    <row r="455">
      <c r="A455" s="265"/>
      <c r="B455" s="265"/>
      <c r="C455" s="265"/>
      <c r="D455" s="265"/>
    </row>
    <row r="456">
      <c r="A456" s="265"/>
      <c r="B456" s="265"/>
      <c r="C456" s="265"/>
      <c r="D456" s="265"/>
    </row>
    <row r="457">
      <c r="A457" s="265"/>
      <c r="B457" s="265"/>
      <c r="C457" s="265"/>
      <c r="D457" s="265"/>
    </row>
    <row r="458">
      <c r="A458" s="265"/>
      <c r="B458" s="265"/>
      <c r="C458" s="265"/>
      <c r="D458" s="265"/>
    </row>
    <row r="459">
      <c r="A459" s="265"/>
      <c r="B459" s="265"/>
      <c r="C459" s="265"/>
      <c r="D459" s="265"/>
    </row>
    <row r="460">
      <c r="A460" s="265"/>
      <c r="B460" s="265"/>
      <c r="C460" s="265"/>
      <c r="D460" s="265"/>
    </row>
    <row r="461">
      <c r="A461" s="265"/>
      <c r="B461" s="265"/>
      <c r="C461" s="265"/>
      <c r="D461" s="265"/>
    </row>
    <row r="462">
      <c r="A462" s="265"/>
      <c r="B462" s="265"/>
      <c r="C462" s="265"/>
      <c r="D462" s="265"/>
    </row>
    <row r="463">
      <c r="A463" s="265"/>
      <c r="B463" s="265"/>
      <c r="C463" s="265"/>
      <c r="D463" s="265"/>
    </row>
    <row r="464">
      <c r="A464" s="265"/>
      <c r="B464" s="265"/>
      <c r="C464" s="265"/>
      <c r="D464" s="265"/>
    </row>
    <row r="465">
      <c r="A465" s="265"/>
      <c r="B465" s="265"/>
      <c r="C465" s="265"/>
      <c r="D465" s="265"/>
    </row>
    <row r="466">
      <c r="A466" s="265"/>
      <c r="B466" s="265"/>
      <c r="C466" s="265"/>
      <c r="D466" s="265"/>
    </row>
    <row r="467">
      <c r="A467" s="265"/>
      <c r="B467" s="265"/>
      <c r="C467" s="265"/>
      <c r="D467" s="265"/>
    </row>
    <row r="468">
      <c r="A468" s="265"/>
      <c r="B468" s="265"/>
      <c r="C468" s="265"/>
      <c r="D468" s="265"/>
    </row>
    <row r="469">
      <c r="A469" s="265"/>
      <c r="B469" s="265"/>
      <c r="C469" s="265"/>
      <c r="D469" s="265"/>
    </row>
    <row r="470">
      <c r="A470" s="265"/>
      <c r="B470" s="265"/>
      <c r="C470" s="265"/>
      <c r="D470" s="265"/>
    </row>
    <row r="471">
      <c r="A471" s="265"/>
      <c r="B471" s="265"/>
      <c r="C471" s="265"/>
      <c r="D471" s="265"/>
    </row>
    <row r="472">
      <c r="A472" s="265"/>
      <c r="B472" s="265"/>
      <c r="C472" s="265"/>
      <c r="D472" s="265"/>
    </row>
    <row r="473">
      <c r="A473" s="265"/>
      <c r="B473" s="265"/>
      <c r="C473" s="265"/>
      <c r="D473" s="265"/>
    </row>
    <row r="474">
      <c r="A474" s="265"/>
      <c r="B474" s="265"/>
      <c r="C474" s="265"/>
      <c r="D474" s="265"/>
    </row>
    <row r="475">
      <c r="A475" s="265"/>
      <c r="B475" s="265"/>
      <c r="C475" s="265"/>
      <c r="D475" s="265"/>
    </row>
    <row r="476">
      <c r="A476" s="265"/>
      <c r="B476" s="265"/>
      <c r="C476" s="265"/>
      <c r="D476" s="265"/>
    </row>
    <row r="477">
      <c r="A477" s="265"/>
      <c r="B477" s="265"/>
      <c r="C477" s="265"/>
      <c r="D477" s="265"/>
    </row>
    <row r="478">
      <c r="A478" s="265"/>
      <c r="B478" s="265"/>
      <c r="C478" s="265"/>
      <c r="D478" s="265"/>
    </row>
    <row r="479">
      <c r="A479" s="265"/>
      <c r="B479" s="265"/>
      <c r="C479" s="265"/>
      <c r="D479" s="265"/>
    </row>
    <row r="480">
      <c r="A480" s="265"/>
      <c r="B480" s="265"/>
      <c r="C480" s="265"/>
      <c r="D480" s="265"/>
    </row>
    <row r="481">
      <c r="A481" s="265"/>
      <c r="B481" s="265"/>
      <c r="C481" s="265"/>
      <c r="D481" s="265"/>
    </row>
    <row r="482">
      <c r="A482" s="265"/>
      <c r="B482" s="265"/>
      <c r="C482" s="265"/>
      <c r="D482" s="265"/>
    </row>
    <row r="483">
      <c r="A483" s="265"/>
      <c r="B483" s="265"/>
      <c r="C483" s="265"/>
      <c r="D483" s="265"/>
    </row>
    <row r="484">
      <c r="A484" s="265"/>
      <c r="B484" s="265"/>
      <c r="C484" s="265"/>
      <c r="D484" s="265"/>
    </row>
    <row r="485">
      <c r="A485" s="265"/>
      <c r="B485" s="265"/>
      <c r="C485" s="265"/>
      <c r="D485" s="265"/>
    </row>
    <row r="486">
      <c r="A486" s="265"/>
      <c r="B486" s="265"/>
      <c r="C486" s="265"/>
      <c r="D486" s="265"/>
    </row>
    <row r="487">
      <c r="A487" s="265"/>
      <c r="B487" s="265"/>
      <c r="C487" s="265"/>
      <c r="D487" s="265"/>
    </row>
    <row r="488">
      <c r="A488" s="265"/>
      <c r="B488" s="265"/>
      <c r="C488" s="265"/>
      <c r="D488" s="265"/>
    </row>
    <row r="489">
      <c r="A489" s="265"/>
      <c r="B489" s="265"/>
      <c r="C489" s="265"/>
      <c r="D489" s="265"/>
    </row>
    <row r="490">
      <c r="A490" s="265"/>
      <c r="B490" s="265"/>
      <c r="C490" s="265"/>
      <c r="D490" s="265"/>
    </row>
    <row r="491">
      <c r="A491" s="265"/>
      <c r="B491" s="265"/>
      <c r="C491" s="265"/>
      <c r="D491" s="265"/>
    </row>
    <row r="492">
      <c r="A492" s="265"/>
      <c r="B492" s="265"/>
      <c r="C492" s="265"/>
      <c r="D492" s="265"/>
    </row>
    <row r="493">
      <c r="A493" s="265"/>
      <c r="B493" s="265"/>
      <c r="C493" s="265"/>
      <c r="D493" s="265"/>
    </row>
    <row r="494">
      <c r="A494" s="265"/>
      <c r="B494" s="265"/>
      <c r="C494" s="265"/>
      <c r="D494" s="265"/>
    </row>
    <row r="495">
      <c r="A495" s="265"/>
      <c r="B495" s="265"/>
      <c r="C495" s="265"/>
      <c r="D495" s="265"/>
    </row>
    <row r="496">
      <c r="A496" s="265"/>
      <c r="B496" s="265"/>
      <c r="C496" s="265"/>
      <c r="D496" s="265"/>
    </row>
    <row r="497">
      <c r="A497" s="265"/>
      <c r="B497" s="265"/>
      <c r="C497" s="265"/>
      <c r="D497" s="265"/>
    </row>
    <row r="498">
      <c r="A498" s="265"/>
      <c r="B498" s="265"/>
      <c r="C498" s="265"/>
      <c r="D498" s="265"/>
    </row>
    <row r="499">
      <c r="A499" s="265"/>
      <c r="B499" s="265"/>
      <c r="C499" s="265"/>
      <c r="D499" s="265"/>
    </row>
    <row r="500">
      <c r="A500" s="265"/>
      <c r="B500" s="265"/>
      <c r="C500" s="265"/>
      <c r="D500" s="265"/>
    </row>
    <row r="501">
      <c r="A501" s="265"/>
      <c r="B501" s="265"/>
      <c r="C501" s="265"/>
      <c r="D501" s="265"/>
    </row>
    <row r="502">
      <c r="A502" s="265"/>
      <c r="B502" s="265"/>
      <c r="C502" s="265"/>
      <c r="D502" s="265"/>
    </row>
    <row r="503">
      <c r="A503" s="265"/>
      <c r="B503" s="265"/>
      <c r="C503" s="265"/>
      <c r="D503" s="265"/>
    </row>
    <row r="504">
      <c r="A504" s="265"/>
      <c r="B504" s="265"/>
      <c r="C504" s="265"/>
      <c r="D504" s="265"/>
    </row>
    <row r="505">
      <c r="A505" s="265"/>
      <c r="B505" s="265"/>
      <c r="C505" s="265"/>
      <c r="D505" s="265"/>
    </row>
    <row r="506">
      <c r="A506" s="265"/>
      <c r="B506" s="265"/>
      <c r="C506" s="265"/>
      <c r="D506" s="265"/>
    </row>
    <row r="507">
      <c r="A507" s="265"/>
      <c r="B507" s="265"/>
      <c r="C507" s="265"/>
      <c r="D507" s="265"/>
    </row>
    <row r="508">
      <c r="A508" s="265"/>
      <c r="B508" s="265"/>
      <c r="C508" s="265"/>
      <c r="D508" s="265"/>
    </row>
    <row r="509">
      <c r="A509" s="265"/>
      <c r="B509" s="265"/>
      <c r="C509" s="265"/>
      <c r="D509" s="265"/>
    </row>
    <row r="510">
      <c r="A510" s="265"/>
      <c r="B510" s="265"/>
      <c r="C510" s="265"/>
      <c r="D510" s="265"/>
    </row>
    <row r="511">
      <c r="A511" s="265"/>
      <c r="B511" s="265"/>
      <c r="C511" s="265"/>
      <c r="D511" s="265"/>
    </row>
    <row r="512">
      <c r="A512" s="265"/>
      <c r="B512" s="265"/>
      <c r="C512" s="265"/>
      <c r="D512" s="265"/>
    </row>
    <row r="513">
      <c r="A513" s="265"/>
      <c r="B513" s="265"/>
      <c r="C513" s="265"/>
      <c r="D513" s="265"/>
    </row>
    <row r="514">
      <c r="A514" s="265"/>
      <c r="B514" s="265"/>
      <c r="C514" s="265"/>
      <c r="D514" s="265"/>
    </row>
    <row r="515">
      <c r="A515" s="265"/>
      <c r="B515" s="265"/>
      <c r="C515" s="265"/>
      <c r="D515" s="265"/>
    </row>
    <row r="516">
      <c r="A516" s="265"/>
      <c r="B516" s="265"/>
      <c r="C516" s="265"/>
      <c r="D516" s="265"/>
    </row>
    <row r="517">
      <c r="A517" s="265"/>
      <c r="B517" s="265"/>
      <c r="C517" s="265"/>
      <c r="D517" s="265"/>
    </row>
    <row r="518">
      <c r="A518" s="265"/>
      <c r="B518" s="265"/>
      <c r="C518" s="265"/>
      <c r="D518" s="265"/>
    </row>
    <row r="519">
      <c r="A519" s="265"/>
      <c r="B519" s="265"/>
      <c r="C519" s="265"/>
      <c r="D519" s="265"/>
    </row>
    <row r="520">
      <c r="A520" s="265"/>
      <c r="B520" s="265"/>
      <c r="C520" s="265"/>
      <c r="D520" s="265"/>
    </row>
    <row r="521">
      <c r="A521" s="265"/>
      <c r="B521" s="265"/>
      <c r="C521" s="265"/>
      <c r="D521" s="265"/>
    </row>
    <row r="522">
      <c r="A522" s="265"/>
      <c r="B522" s="265"/>
      <c r="C522" s="265"/>
      <c r="D522" s="265"/>
    </row>
    <row r="523">
      <c r="A523" s="265"/>
      <c r="B523" s="265"/>
      <c r="C523" s="265"/>
      <c r="D523" s="265"/>
    </row>
    <row r="524">
      <c r="A524" s="265"/>
      <c r="B524" s="265"/>
      <c r="C524" s="265"/>
      <c r="D524" s="265"/>
    </row>
    <row r="525">
      <c r="A525" s="265"/>
      <c r="B525" s="265"/>
      <c r="C525" s="265"/>
      <c r="D525" s="26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5.13"/>
  </cols>
  <sheetData>
    <row r="1">
      <c r="A1" s="263">
        <f t="shared" ref="A1:C1" si="1">COUNTA(A3:A525)</f>
        <v>1</v>
      </c>
      <c r="B1" s="264">
        <f t="shared" si="1"/>
        <v>8</v>
      </c>
      <c r="C1" s="269">
        <f t="shared" si="1"/>
        <v>1</v>
      </c>
    </row>
    <row r="2">
      <c r="A2" s="263" t="s">
        <v>148</v>
      </c>
      <c r="B2" s="264" t="s">
        <v>149</v>
      </c>
      <c r="C2" s="269" t="s">
        <v>150</v>
      </c>
    </row>
    <row r="3">
      <c r="A3" s="265" t="str">
        <f>IFERROR(__xludf.DUMMYFUNCTION("QUERY(TRANSPOSE({'31業務統計總表'!C3:J3;'31業務統計總表'!C63:J63}), ""SELECT Col1 WHERE Col2 LIKE '1. %'"", 0)"),"#N/A")</f>
        <v>#N/A</v>
      </c>
      <c r="B3" s="265" t="str">
        <f>IFERROR(__xludf.DUMMYFUNCTION("QUERY(TRANSPOSE({'31業務統計總表'!C3:J3;'31業務統計總表'!C63:J63}), ""SELECT Col1 WHERE Col2 LIKE '2. %'"", 0)"),"諾億保經")</f>
        <v>諾億保經</v>
      </c>
      <c r="C3" s="265" t="str">
        <f>IFERROR(__xludf.DUMMYFUNCTION("QUERY(TRANSPOSE({'31業務統計總表'!C3:J3;'31業務統計總表'!C63:J63}), ""SELECT Col1 WHERE Col2 LIKE '3. %'"", 0)"),"TENGA")</f>
        <v>TENGA</v>
      </c>
    </row>
    <row r="4">
      <c r="A4" s="265"/>
      <c r="B4" s="265" t="str">
        <f>IFERROR(__xludf.DUMMYFUNCTION("""COMPUTED_VALUE"""),"台灣美光")</f>
        <v>台灣美光</v>
      </c>
      <c r="C4" s="265"/>
    </row>
    <row r="5">
      <c r="A5" s="265"/>
      <c r="B5" s="265" t="str">
        <f>IFERROR(__xludf.DUMMYFUNCTION("""COMPUTED_VALUE"""),"LifeWonders")</f>
        <v>LifeWonders</v>
      </c>
      <c r="C5" s="265"/>
    </row>
    <row r="6">
      <c r="A6" s="265"/>
      <c r="B6" s="265" t="str">
        <f>IFERROR(__xludf.DUMMYFUNCTION("""COMPUTED_VALUE"""),"Gstar")</f>
        <v>Gstar</v>
      </c>
      <c r="C6" s="265"/>
    </row>
    <row r="7">
      <c r="A7" s="265"/>
      <c r="B7" s="265" t="str">
        <f>IFERROR(__xludf.DUMMYFUNCTION("""COMPUTED_VALUE"""),"Lespark")</f>
        <v>Lespark</v>
      </c>
      <c r="C7" s="265"/>
    </row>
    <row r="8">
      <c r="A8" s="265"/>
      <c r="B8" s="265" t="str">
        <f>IFERROR(__xludf.DUMMYFUNCTION("""COMPUTED_VALUE"""),"彩虹酷兒")</f>
        <v>彩虹酷兒</v>
      </c>
      <c r="C8" s="265"/>
    </row>
    <row r="9">
      <c r="A9" s="265"/>
      <c r="B9" s="265" t="str">
        <f>IFERROR(__xludf.DUMMYFUNCTION("""COMPUTED_VALUE"""),"VERVE")</f>
        <v>VERVE</v>
      </c>
      <c r="C9" s="265"/>
    </row>
    <row r="10">
      <c r="A10" s="265"/>
      <c r="B10" s="265" t="str">
        <f>IFERROR(__xludf.DUMMYFUNCTION("""COMPUTED_VALUE"""),"IM Adult")</f>
        <v>IM Adult</v>
      </c>
      <c r="C10" s="265"/>
    </row>
    <row r="11">
      <c r="A11" s="265"/>
      <c r="B11" s="265"/>
      <c r="C11" s="265"/>
    </row>
    <row r="12">
      <c r="A12" s="265"/>
      <c r="B12" s="265"/>
      <c r="C12" s="265"/>
    </row>
    <row r="13">
      <c r="A13" s="265"/>
      <c r="B13" s="265"/>
      <c r="C13" s="265"/>
    </row>
    <row r="14">
      <c r="A14" s="265"/>
      <c r="B14" s="265"/>
      <c r="C14" s="265"/>
    </row>
    <row r="15">
      <c r="A15" s="265"/>
      <c r="B15" s="265"/>
      <c r="C15" s="265"/>
    </row>
    <row r="16">
      <c r="A16" s="265"/>
      <c r="B16" s="265"/>
      <c r="C16" s="265"/>
    </row>
    <row r="17">
      <c r="A17" s="265"/>
      <c r="B17" s="265"/>
      <c r="C17" s="265"/>
    </row>
    <row r="18">
      <c r="A18" s="265"/>
      <c r="B18" s="265"/>
      <c r="C18" s="265"/>
    </row>
    <row r="19">
      <c r="A19" s="265"/>
      <c r="B19" s="265"/>
      <c r="C19" s="265"/>
    </row>
    <row r="20">
      <c r="A20" s="265"/>
      <c r="B20" s="265"/>
      <c r="C20" s="265"/>
    </row>
    <row r="21">
      <c r="A21" s="265"/>
      <c r="B21" s="265"/>
      <c r="C21" s="265"/>
    </row>
    <row r="22">
      <c r="A22" s="265"/>
      <c r="B22" s="265"/>
      <c r="C22" s="265"/>
    </row>
    <row r="23">
      <c r="A23" s="265"/>
      <c r="B23" s="265"/>
      <c r="C23" s="265"/>
    </row>
    <row r="24">
      <c r="A24" s="265"/>
      <c r="B24" s="265"/>
      <c r="C24" s="265"/>
    </row>
    <row r="25">
      <c r="A25" s="265"/>
      <c r="B25" s="265"/>
      <c r="C25" s="265"/>
    </row>
    <row r="26">
      <c r="A26" s="265"/>
      <c r="B26" s="265"/>
      <c r="C26" s="265"/>
    </row>
    <row r="27">
      <c r="A27" s="265"/>
      <c r="B27" s="265"/>
      <c r="C27" s="265"/>
    </row>
    <row r="28">
      <c r="A28" s="265"/>
      <c r="B28" s="265"/>
      <c r="C28" s="265"/>
    </row>
    <row r="29">
      <c r="A29" s="265"/>
      <c r="B29" s="265"/>
      <c r="C29" s="265"/>
    </row>
    <row r="30">
      <c r="A30" s="265"/>
      <c r="B30" s="265"/>
      <c r="C30" s="265"/>
    </row>
    <row r="31">
      <c r="A31" s="265"/>
      <c r="B31" s="265"/>
      <c r="C31" s="265"/>
    </row>
    <row r="32">
      <c r="A32" s="265"/>
      <c r="B32" s="265"/>
      <c r="C32" s="265"/>
    </row>
    <row r="33">
      <c r="A33" s="265"/>
      <c r="B33" s="265"/>
      <c r="C33" s="265"/>
    </row>
    <row r="34">
      <c r="A34" s="265"/>
      <c r="B34" s="265"/>
      <c r="C34" s="265"/>
    </row>
    <row r="35">
      <c r="A35" s="265"/>
      <c r="B35" s="265"/>
      <c r="C35" s="265"/>
    </row>
    <row r="36">
      <c r="A36" s="265"/>
      <c r="B36" s="265"/>
      <c r="C36" s="265"/>
    </row>
    <row r="37">
      <c r="A37" s="265"/>
      <c r="B37" s="265"/>
      <c r="C37" s="265"/>
    </row>
    <row r="38">
      <c r="A38" s="265"/>
      <c r="B38" s="265"/>
      <c r="C38" s="265"/>
    </row>
    <row r="39">
      <c r="A39" s="265"/>
      <c r="B39" s="265"/>
      <c r="C39" s="265"/>
    </row>
    <row r="40">
      <c r="A40" s="265"/>
      <c r="B40" s="265"/>
      <c r="C40" s="265"/>
    </row>
    <row r="41">
      <c r="A41" s="265"/>
      <c r="B41" s="265"/>
      <c r="C41" s="265"/>
    </row>
    <row r="42">
      <c r="A42" s="265"/>
      <c r="B42" s="265"/>
      <c r="C42" s="265"/>
    </row>
    <row r="43">
      <c r="A43" s="265"/>
      <c r="B43" s="265"/>
      <c r="C43" s="265"/>
    </row>
    <row r="44">
      <c r="A44" s="265"/>
      <c r="B44" s="265"/>
      <c r="C44" s="265"/>
    </row>
    <row r="45">
      <c r="A45" s="265"/>
      <c r="B45" s="265"/>
      <c r="C45" s="265"/>
    </row>
    <row r="46">
      <c r="A46" s="265"/>
      <c r="B46" s="265"/>
      <c r="C46" s="265"/>
    </row>
    <row r="47">
      <c r="A47" s="265"/>
      <c r="B47" s="265"/>
      <c r="C47" s="265"/>
    </row>
    <row r="48">
      <c r="A48" s="265"/>
      <c r="B48" s="265"/>
      <c r="C48" s="265"/>
    </row>
    <row r="49">
      <c r="A49" s="265"/>
      <c r="B49" s="265"/>
      <c r="C49" s="265"/>
    </row>
    <row r="50">
      <c r="A50" s="265"/>
      <c r="B50" s="265"/>
      <c r="C50" s="265"/>
    </row>
    <row r="51">
      <c r="A51" s="265"/>
      <c r="B51" s="265"/>
      <c r="C51" s="265"/>
    </row>
    <row r="52">
      <c r="A52" s="265"/>
      <c r="B52" s="265"/>
      <c r="C52" s="265"/>
    </row>
    <row r="53">
      <c r="A53" s="265"/>
      <c r="B53" s="265"/>
      <c r="C53" s="265"/>
    </row>
    <row r="54">
      <c r="A54" s="265"/>
      <c r="B54" s="265"/>
      <c r="C54" s="265"/>
    </row>
    <row r="55">
      <c r="A55" s="265"/>
      <c r="B55" s="265"/>
      <c r="C55" s="265"/>
    </row>
    <row r="56">
      <c r="A56" s="265"/>
      <c r="B56" s="265"/>
      <c r="C56" s="265"/>
    </row>
    <row r="57">
      <c r="A57" s="265"/>
      <c r="B57" s="265"/>
      <c r="C57" s="265"/>
    </row>
    <row r="58">
      <c r="A58" s="265"/>
      <c r="B58" s="265"/>
      <c r="C58" s="265"/>
    </row>
    <row r="59">
      <c r="A59" s="265"/>
      <c r="B59" s="265"/>
      <c r="C59" s="265"/>
    </row>
    <row r="60">
      <c r="A60" s="265"/>
      <c r="B60" s="265"/>
      <c r="C60" s="265"/>
    </row>
    <row r="61">
      <c r="A61" s="265"/>
      <c r="B61" s="265"/>
      <c r="C61" s="265"/>
    </row>
    <row r="62">
      <c r="A62" s="265"/>
      <c r="B62" s="265"/>
      <c r="C62" s="265"/>
    </row>
    <row r="63">
      <c r="A63" s="265"/>
      <c r="B63" s="265"/>
      <c r="C63" s="265"/>
    </row>
    <row r="64">
      <c r="A64" s="265"/>
      <c r="B64" s="265"/>
      <c r="C64" s="265"/>
    </row>
    <row r="65">
      <c r="A65" s="265"/>
      <c r="B65" s="265"/>
      <c r="C65" s="265"/>
    </row>
    <row r="66">
      <c r="A66" s="265"/>
      <c r="B66" s="265"/>
      <c r="C66" s="265"/>
    </row>
    <row r="67">
      <c r="A67" s="265"/>
      <c r="B67" s="265"/>
      <c r="C67" s="265"/>
    </row>
    <row r="68">
      <c r="A68" s="265"/>
      <c r="B68" s="265"/>
      <c r="C68" s="265"/>
    </row>
    <row r="69">
      <c r="A69" s="265"/>
      <c r="B69" s="265"/>
      <c r="C69" s="265"/>
    </row>
    <row r="70">
      <c r="A70" s="265"/>
      <c r="B70" s="265"/>
      <c r="C70" s="265"/>
    </row>
    <row r="71">
      <c r="A71" s="265"/>
      <c r="B71" s="265"/>
      <c r="C71" s="265"/>
    </row>
    <row r="72">
      <c r="A72" s="265"/>
      <c r="B72" s="265"/>
      <c r="C72" s="265"/>
    </row>
    <row r="73">
      <c r="A73" s="265"/>
      <c r="B73" s="265"/>
      <c r="C73" s="265"/>
    </row>
    <row r="74">
      <c r="A74" s="265"/>
      <c r="B74" s="265"/>
      <c r="C74" s="265"/>
    </row>
    <row r="75">
      <c r="A75" s="265"/>
      <c r="B75" s="265"/>
      <c r="C75" s="265"/>
    </row>
    <row r="76">
      <c r="A76" s="265"/>
      <c r="B76" s="265"/>
      <c r="C76" s="265"/>
    </row>
    <row r="77">
      <c r="A77" s="265"/>
      <c r="B77" s="265"/>
      <c r="C77" s="265"/>
    </row>
    <row r="78">
      <c r="A78" s="265"/>
      <c r="B78" s="265"/>
      <c r="C78" s="265"/>
    </row>
    <row r="79">
      <c r="A79" s="265"/>
      <c r="B79" s="265"/>
      <c r="C79" s="265"/>
    </row>
    <row r="80">
      <c r="A80" s="265"/>
      <c r="B80" s="265"/>
      <c r="C80" s="265"/>
    </row>
    <row r="81">
      <c r="A81" s="265"/>
      <c r="B81" s="265"/>
      <c r="C81" s="265"/>
    </row>
    <row r="82">
      <c r="A82" s="265"/>
      <c r="B82" s="265"/>
      <c r="C82" s="265"/>
    </row>
    <row r="83">
      <c r="A83" s="265"/>
      <c r="B83" s="265"/>
      <c r="C83" s="265"/>
    </row>
    <row r="84">
      <c r="A84" s="265"/>
      <c r="B84" s="265"/>
      <c r="C84" s="265"/>
    </row>
    <row r="85">
      <c r="A85" s="265"/>
      <c r="B85" s="265"/>
      <c r="C85" s="265"/>
    </row>
    <row r="86">
      <c r="A86" s="265"/>
      <c r="B86" s="265"/>
      <c r="C86" s="265"/>
    </row>
    <row r="87">
      <c r="A87" s="265"/>
      <c r="B87" s="265"/>
      <c r="C87" s="265"/>
    </row>
    <row r="88">
      <c r="A88" s="265"/>
      <c r="B88" s="265"/>
      <c r="C88" s="265"/>
    </row>
    <row r="89">
      <c r="A89" s="265"/>
      <c r="B89" s="265"/>
      <c r="C89" s="265"/>
    </row>
    <row r="90">
      <c r="A90" s="265"/>
      <c r="B90" s="265"/>
      <c r="C90" s="265"/>
    </row>
    <row r="91">
      <c r="A91" s="265"/>
      <c r="B91" s="265"/>
      <c r="C91" s="265"/>
    </row>
    <row r="92">
      <c r="A92" s="265"/>
      <c r="B92" s="265"/>
      <c r="C92" s="265"/>
    </row>
    <row r="93">
      <c r="A93" s="265"/>
      <c r="B93" s="265"/>
      <c r="C93" s="265"/>
    </row>
    <row r="94">
      <c r="A94" s="265"/>
      <c r="B94" s="265"/>
      <c r="C94" s="265"/>
    </row>
    <row r="95">
      <c r="A95" s="265"/>
      <c r="B95" s="265"/>
      <c r="C95" s="265"/>
    </row>
    <row r="96">
      <c r="A96" s="265"/>
      <c r="B96" s="265"/>
      <c r="C96" s="265"/>
    </row>
    <row r="97">
      <c r="A97" s="265"/>
      <c r="B97" s="265"/>
      <c r="C97" s="265"/>
    </row>
    <row r="98">
      <c r="A98" s="265"/>
      <c r="B98" s="265"/>
      <c r="C98" s="265"/>
    </row>
    <row r="99">
      <c r="A99" s="265"/>
      <c r="B99" s="265"/>
      <c r="C99" s="265"/>
    </row>
    <row r="100">
      <c r="A100" s="265"/>
      <c r="B100" s="265"/>
      <c r="C100" s="265"/>
    </row>
    <row r="101">
      <c r="A101" s="265"/>
      <c r="B101" s="265"/>
      <c r="C101" s="265"/>
    </row>
    <row r="102">
      <c r="A102" s="265"/>
      <c r="B102" s="265"/>
      <c r="C102" s="265"/>
    </row>
    <row r="103">
      <c r="A103" s="265"/>
      <c r="B103" s="265"/>
      <c r="C103" s="265"/>
    </row>
    <row r="104">
      <c r="A104" s="265"/>
      <c r="B104" s="265"/>
      <c r="C104" s="265"/>
    </row>
    <row r="105">
      <c r="A105" s="265"/>
      <c r="B105" s="265"/>
      <c r="C105" s="265"/>
    </row>
    <row r="106">
      <c r="A106" s="265"/>
      <c r="B106" s="265"/>
      <c r="C106" s="265"/>
    </row>
    <row r="107">
      <c r="A107" s="265"/>
      <c r="B107" s="265"/>
      <c r="C107" s="265"/>
    </row>
    <row r="108">
      <c r="A108" s="265"/>
      <c r="B108" s="265"/>
      <c r="C108" s="265"/>
    </row>
    <row r="109">
      <c r="A109" s="265"/>
      <c r="B109" s="265"/>
      <c r="C109" s="265"/>
    </row>
    <row r="110">
      <c r="A110" s="265"/>
      <c r="B110" s="265"/>
      <c r="C110" s="265"/>
    </row>
    <row r="111">
      <c r="A111" s="265"/>
      <c r="B111" s="265"/>
      <c r="C111" s="265"/>
    </row>
    <row r="112">
      <c r="A112" s="265"/>
      <c r="B112" s="265"/>
      <c r="C112" s="265"/>
    </row>
    <row r="113">
      <c r="A113" s="265"/>
      <c r="B113" s="265"/>
      <c r="C113" s="265"/>
    </row>
    <row r="114">
      <c r="A114" s="265"/>
      <c r="B114" s="265"/>
      <c r="C114" s="265"/>
    </row>
    <row r="115">
      <c r="A115" s="265"/>
      <c r="B115" s="265"/>
      <c r="C115" s="265"/>
    </row>
    <row r="116">
      <c r="A116" s="265"/>
      <c r="B116" s="265"/>
      <c r="C116" s="265"/>
    </row>
    <row r="117">
      <c r="A117" s="265"/>
      <c r="B117" s="265"/>
      <c r="C117" s="265"/>
    </row>
    <row r="118">
      <c r="A118" s="265"/>
      <c r="B118" s="265"/>
      <c r="C118" s="265"/>
    </row>
    <row r="119">
      <c r="A119" s="265"/>
      <c r="B119" s="265"/>
      <c r="C119" s="265"/>
    </row>
    <row r="120">
      <c r="A120" s="265"/>
      <c r="B120" s="265"/>
      <c r="C120" s="265"/>
    </row>
    <row r="121">
      <c r="A121" s="265"/>
      <c r="B121" s="265"/>
      <c r="C121" s="265"/>
    </row>
    <row r="122">
      <c r="A122" s="265"/>
      <c r="B122" s="265"/>
      <c r="C122" s="265"/>
    </row>
    <row r="123">
      <c r="A123" s="265"/>
      <c r="B123" s="265"/>
      <c r="C123" s="265"/>
    </row>
    <row r="124">
      <c r="A124" s="265"/>
      <c r="B124" s="265"/>
      <c r="C124" s="265"/>
    </row>
    <row r="125">
      <c r="A125" s="265"/>
      <c r="B125" s="265"/>
      <c r="C125" s="265"/>
    </row>
    <row r="126">
      <c r="A126" s="265"/>
      <c r="B126" s="265"/>
      <c r="C126" s="265"/>
    </row>
    <row r="127">
      <c r="A127" s="265"/>
      <c r="B127" s="265"/>
      <c r="C127" s="265"/>
    </row>
    <row r="128">
      <c r="A128" s="265"/>
      <c r="B128" s="265"/>
      <c r="C128" s="265"/>
    </row>
    <row r="129">
      <c r="A129" s="265"/>
      <c r="B129" s="265"/>
      <c r="C129" s="265"/>
    </row>
    <row r="130">
      <c r="A130" s="265"/>
      <c r="B130" s="265"/>
      <c r="C130" s="265"/>
    </row>
    <row r="131">
      <c r="A131" s="265"/>
      <c r="B131" s="265"/>
      <c r="C131" s="265"/>
    </row>
    <row r="132">
      <c r="A132" s="265"/>
      <c r="B132" s="265"/>
      <c r="C132" s="265"/>
    </row>
    <row r="133">
      <c r="A133" s="265"/>
      <c r="B133" s="265"/>
      <c r="C133" s="265"/>
    </row>
    <row r="134">
      <c r="A134" s="265"/>
      <c r="B134" s="265"/>
      <c r="C134" s="265"/>
    </row>
    <row r="135">
      <c r="A135" s="265"/>
      <c r="B135" s="265"/>
      <c r="C135" s="265"/>
    </row>
    <row r="136">
      <c r="A136" s="265"/>
      <c r="B136" s="265"/>
      <c r="C136" s="265"/>
    </row>
    <row r="137">
      <c r="A137" s="265"/>
      <c r="B137" s="265"/>
      <c r="C137" s="265"/>
    </row>
    <row r="138">
      <c r="A138" s="265"/>
      <c r="B138" s="265"/>
      <c r="C138" s="265"/>
    </row>
    <row r="139">
      <c r="A139" s="265"/>
      <c r="B139" s="265"/>
      <c r="C139" s="265"/>
    </row>
    <row r="140">
      <c r="A140" s="265"/>
      <c r="B140" s="265"/>
      <c r="C140" s="265"/>
    </row>
    <row r="141">
      <c r="A141" s="265"/>
      <c r="B141" s="265"/>
      <c r="C141" s="265"/>
    </row>
    <row r="142">
      <c r="A142" s="265"/>
      <c r="B142" s="265"/>
      <c r="C142" s="265"/>
    </row>
    <row r="143">
      <c r="A143" s="265"/>
      <c r="B143" s="265"/>
      <c r="C143" s="265"/>
    </row>
    <row r="144">
      <c r="A144" s="265"/>
      <c r="B144" s="265"/>
      <c r="C144" s="265"/>
    </row>
    <row r="145">
      <c r="A145" s="265"/>
      <c r="B145" s="265"/>
      <c r="C145" s="265"/>
    </row>
    <row r="146">
      <c r="A146" s="265"/>
      <c r="B146" s="265"/>
      <c r="C146" s="265"/>
    </row>
    <row r="147">
      <c r="A147" s="265"/>
      <c r="B147" s="265"/>
      <c r="C147" s="265"/>
    </row>
    <row r="148">
      <c r="A148" s="265"/>
      <c r="B148" s="265"/>
      <c r="C148" s="265"/>
    </row>
    <row r="149">
      <c r="A149" s="265"/>
      <c r="B149" s="265"/>
      <c r="C149" s="265"/>
    </row>
    <row r="150">
      <c r="A150" s="265"/>
      <c r="B150" s="265"/>
      <c r="C150" s="265"/>
    </row>
    <row r="151">
      <c r="A151" s="265"/>
      <c r="B151" s="265"/>
      <c r="C151" s="265"/>
    </row>
    <row r="152">
      <c r="A152" s="265"/>
      <c r="B152" s="265"/>
      <c r="C152" s="265"/>
    </row>
    <row r="153">
      <c r="A153" s="265"/>
      <c r="B153" s="265"/>
      <c r="C153" s="265"/>
    </row>
    <row r="154">
      <c r="A154" s="265"/>
      <c r="B154" s="265"/>
      <c r="C154" s="265"/>
    </row>
    <row r="155">
      <c r="A155" s="265"/>
      <c r="B155" s="265"/>
      <c r="C155" s="265"/>
    </row>
    <row r="156">
      <c r="A156" s="265"/>
      <c r="B156" s="265"/>
      <c r="C156" s="265"/>
    </row>
    <row r="157">
      <c r="A157" s="265"/>
      <c r="B157" s="265"/>
      <c r="C157" s="265"/>
    </row>
    <row r="158">
      <c r="A158" s="265"/>
      <c r="B158" s="265"/>
      <c r="C158" s="265"/>
    </row>
    <row r="159">
      <c r="A159" s="265"/>
      <c r="B159" s="265"/>
      <c r="C159" s="265"/>
    </row>
    <row r="160">
      <c r="A160" s="265"/>
      <c r="B160" s="265"/>
      <c r="C160" s="265"/>
    </row>
    <row r="161">
      <c r="A161" s="265"/>
      <c r="B161" s="265"/>
      <c r="C161" s="265"/>
    </row>
    <row r="162">
      <c r="A162" s="265"/>
      <c r="B162" s="265"/>
      <c r="C162" s="265"/>
    </row>
    <row r="163">
      <c r="A163" s="265"/>
      <c r="B163" s="265"/>
      <c r="C163" s="265"/>
    </row>
    <row r="164">
      <c r="A164" s="265"/>
      <c r="B164" s="265"/>
      <c r="C164" s="265"/>
    </row>
    <row r="165">
      <c r="A165" s="265"/>
      <c r="B165" s="265"/>
      <c r="C165" s="265"/>
    </row>
    <row r="166">
      <c r="A166" s="265"/>
      <c r="B166" s="265"/>
      <c r="C166" s="265"/>
    </row>
    <row r="167">
      <c r="A167" s="265"/>
      <c r="B167" s="265"/>
      <c r="C167" s="265"/>
    </row>
    <row r="168">
      <c r="A168" s="265"/>
      <c r="B168" s="265"/>
      <c r="C168" s="265"/>
    </row>
    <row r="169">
      <c r="A169" s="265"/>
      <c r="B169" s="265"/>
      <c r="C169" s="265"/>
    </row>
    <row r="170">
      <c r="A170" s="265"/>
      <c r="B170" s="265"/>
      <c r="C170" s="265"/>
    </row>
    <row r="171">
      <c r="A171" s="265"/>
      <c r="B171" s="265"/>
      <c r="C171" s="265"/>
    </row>
    <row r="172">
      <c r="A172" s="265"/>
      <c r="B172" s="265"/>
      <c r="C172" s="265"/>
    </row>
    <row r="173">
      <c r="A173" s="265"/>
      <c r="B173" s="265"/>
      <c r="C173" s="265"/>
    </row>
    <row r="174">
      <c r="A174" s="265"/>
      <c r="B174" s="265"/>
      <c r="C174" s="265"/>
    </row>
    <row r="175">
      <c r="A175" s="265"/>
      <c r="B175" s="265"/>
      <c r="C175" s="265"/>
    </row>
    <row r="176">
      <c r="A176" s="265"/>
      <c r="B176" s="265"/>
      <c r="C176" s="265"/>
    </row>
    <row r="177">
      <c r="A177" s="265"/>
      <c r="B177" s="265"/>
      <c r="C177" s="265"/>
    </row>
    <row r="178">
      <c r="A178" s="265"/>
      <c r="B178" s="265"/>
      <c r="C178" s="265"/>
    </row>
    <row r="179">
      <c r="A179" s="265"/>
      <c r="B179" s="265"/>
      <c r="C179" s="265"/>
    </row>
    <row r="180">
      <c r="A180" s="265"/>
      <c r="B180" s="265"/>
      <c r="C180" s="265"/>
    </row>
    <row r="181">
      <c r="A181" s="265"/>
      <c r="B181" s="265"/>
      <c r="C181" s="265"/>
    </row>
    <row r="182">
      <c r="A182" s="265"/>
      <c r="B182" s="265"/>
      <c r="C182" s="265"/>
    </row>
    <row r="183">
      <c r="A183" s="265"/>
      <c r="B183" s="265"/>
      <c r="C183" s="265"/>
    </row>
    <row r="184">
      <c r="A184" s="265"/>
      <c r="B184" s="265"/>
      <c r="C184" s="265"/>
    </row>
    <row r="185">
      <c r="A185" s="265"/>
      <c r="B185" s="265"/>
      <c r="C185" s="265"/>
    </row>
    <row r="186">
      <c r="A186" s="265"/>
      <c r="B186" s="265"/>
      <c r="C186" s="265"/>
    </row>
    <row r="187">
      <c r="A187" s="265"/>
      <c r="B187" s="265"/>
      <c r="C187" s="265"/>
    </row>
    <row r="188">
      <c r="A188" s="265"/>
      <c r="B188" s="265"/>
      <c r="C188" s="265"/>
    </row>
    <row r="189">
      <c r="A189" s="265"/>
      <c r="B189" s="265"/>
      <c r="C189" s="265"/>
    </row>
    <row r="190">
      <c r="A190" s="265"/>
      <c r="B190" s="265"/>
      <c r="C190" s="265"/>
    </row>
    <row r="191">
      <c r="A191" s="265"/>
      <c r="B191" s="265"/>
      <c r="C191" s="265"/>
    </row>
    <row r="192">
      <c r="A192" s="265"/>
      <c r="B192" s="265"/>
      <c r="C192" s="265"/>
    </row>
    <row r="193">
      <c r="A193" s="265"/>
      <c r="B193" s="265"/>
      <c r="C193" s="265"/>
    </row>
    <row r="194">
      <c r="A194" s="265"/>
      <c r="B194" s="265"/>
      <c r="C194" s="265"/>
    </row>
    <row r="195">
      <c r="A195" s="265"/>
      <c r="B195" s="265"/>
      <c r="C195" s="265"/>
    </row>
    <row r="196">
      <c r="A196" s="265"/>
      <c r="B196" s="265"/>
      <c r="C196" s="265"/>
    </row>
    <row r="197">
      <c r="A197" s="265"/>
      <c r="B197" s="265"/>
      <c r="C197" s="265"/>
    </row>
    <row r="198">
      <c r="A198" s="265"/>
      <c r="B198" s="265"/>
      <c r="C198" s="265"/>
    </row>
    <row r="199">
      <c r="A199" s="265"/>
      <c r="B199" s="265"/>
      <c r="C199" s="265"/>
    </row>
    <row r="200">
      <c r="A200" s="265"/>
      <c r="B200" s="265"/>
      <c r="C200" s="265"/>
    </row>
    <row r="201">
      <c r="A201" s="265"/>
      <c r="B201" s="265"/>
      <c r="C201" s="265"/>
    </row>
    <row r="202">
      <c r="A202" s="265"/>
      <c r="B202" s="265"/>
      <c r="C202" s="265"/>
    </row>
    <row r="203">
      <c r="A203" s="265"/>
      <c r="B203" s="265"/>
      <c r="C203" s="265"/>
    </row>
    <row r="204">
      <c r="A204" s="265"/>
      <c r="B204" s="265"/>
      <c r="C204" s="265"/>
    </row>
    <row r="205">
      <c r="A205" s="265"/>
      <c r="B205" s="265"/>
      <c r="C205" s="265"/>
    </row>
    <row r="206">
      <c r="A206" s="265"/>
      <c r="B206" s="265"/>
      <c r="C206" s="265"/>
    </row>
    <row r="207">
      <c r="A207" s="265"/>
      <c r="B207" s="265"/>
      <c r="C207" s="265"/>
    </row>
    <row r="208">
      <c r="A208" s="265"/>
      <c r="B208" s="265"/>
      <c r="C208" s="265"/>
    </row>
    <row r="209">
      <c r="A209" s="265"/>
      <c r="B209" s="265"/>
      <c r="C209" s="265"/>
    </row>
    <row r="210">
      <c r="A210" s="265"/>
      <c r="B210" s="265"/>
      <c r="C210" s="265"/>
    </row>
    <row r="211">
      <c r="A211" s="265"/>
      <c r="B211" s="265"/>
      <c r="C211" s="265"/>
    </row>
    <row r="212">
      <c r="A212" s="265"/>
      <c r="B212" s="265"/>
      <c r="C212" s="265"/>
    </row>
    <row r="213">
      <c r="A213" s="265"/>
      <c r="B213" s="265"/>
      <c r="C213" s="265"/>
    </row>
    <row r="214">
      <c r="A214" s="265"/>
      <c r="B214" s="265"/>
      <c r="C214" s="265"/>
    </row>
    <row r="215">
      <c r="A215" s="265"/>
      <c r="B215" s="265"/>
      <c r="C215" s="265"/>
    </row>
    <row r="216">
      <c r="A216" s="265"/>
      <c r="B216" s="265"/>
      <c r="C216" s="265"/>
    </row>
    <row r="217">
      <c r="A217" s="265"/>
      <c r="B217" s="265"/>
      <c r="C217" s="265"/>
    </row>
    <row r="218">
      <c r="A218" s="265"/>
      <c r="B218" s="265"/>
      <c r="C218" s="265"/>
    </row>
    <row r="219">
      <c r="A219" s="265"/>
      <c r="B219" s="265"/>
      <c r="C219" s="265"/>
    </row>
    <row r="220">
      <c r="A220" s="265"/>
      <c r="B220" s="265"/>
      <c r="C220" s="265"/>
    </row>
    <row r="221">
      <c r="A221" s="265"/>
      <c r="B221" s="265"/>
      <c r="C221" s="265"/>
    </row>
    <row r="222">
      <c r="A222" s="265"/>
      <c r="B222" s="265"/>
      <c r="C222" s="265"/>
    </row>
    <row r="223">
      <c r="A223" s="265"/>
      <c r="B223" s="265"/>
      <c r="C223" s="265"/>
    </row>
    <row r="224">
      <c r="A224" s="265"/>
      <c r="B224" s="265"/>
      <c r="C224" s="265"/>
    </row>
    <row r="225">
      <c r="A225" s="265"/>
      <c r="B225" s="265"/>
      <c r="C225" s="265"/>
    </row>
    <row r="226">
      <c r="A226" s="265"/>
      <c r="B226" s="265"/>
      <c r="C226" s="265"/>
    </row>
    <row r="227">
      <c r="A227" s="265"/>
      <c r="B227" s="265"/>
      <c r="C227" s="265"/>
    </row>
    <row r="228">
      <c r="A228" s="265"/>
      <c r="B228" s="265"/>
      <c r="C228" s="265"/>
    </row>
    <row r="229">
      <c r="A229" s="265"/>
      <c r="B229" s="265"/>
      <c r="C229" s="265"/>
    </row>
    <row r="230">
      <c r="A230" s="265"/>
      <c r="B230" s="265"/>
      <c r="C230" s="265"/>
    </row>
    <row r="231">
      <c r="A231" s="265"/>
      <c r="B231" s="265"/>
      <c r="C231" s="265"/>
    </row>
    <row r="232">
      <c r="A232" s="265"/>
      <c r="B232" s="265"/>
      <c r="C232" s="265"/>
    </row>
    <row r="233">
      <c r="A233" s="265"/>
      <c r="B233" s="265"/>
      <c r="C233" s="265"/>
    </row>
    <row r="234">
      <c r="A234" s="265"/>
      <c r="B234" s="265"/>
      <c r="C234" s="265"/>
    </row>
    <row r="235">
      <c r="A235" s="265"/>
      <c r="B235" s="265"/>
      <c r="C235" s="265"/>
    </row>
    <row r="236">
      <c r="A236" s="265"/>
      <c r="B236" s="265"/>
      <c r="C236" s="265"/>
    </row>
    <row r="237">
      <c r="A237" s="265"/>
      <c r="B237" s="265"/>
      <c r="C237" s="265"/>
    </row>
    <row r="238">
      <c r="A238" s="265"/>
      <c r="B238" s="265"/>
      <c r="C238" s="265"/>
    </row>
    <row r="239">
      <c r="A239" s="265"/>
      <c r="B239" s="265"/>
      <c r="C239" s="265"/>
    </row>
    <row r="240">
      <c r="A240" s="265"/>
      <c r="B240" s="265"/>
      <c r="C240" s="265"/>
    </row>
    <row r="241">
      <c r="A241" s="265"/>
      <c r="B241" s="265"/>
      <c r="C241" s="265"/>
    </row>
    <row r="242">
      <c r="A242" s="265"/>
      <c r="B242" s="265"/>
      <c r="C242" s="265"/>
    </row>
    <row r="243">
      <c r="A243" s="265"/>
      <c r="B243" s="265"/>
      <c r="C243" s="265"/>
    </row>
    <row r="244">
      <c r="A244" s="265"/>
      <c r="B244" s="265"/>
      <c r="C244" s="265"/>
    </row>
    <row r="245">
      <c r="A245" s="265"/>
      <c r="B245" s="265"/>
      <c r="C245" s="265"/>
    </row>
    <row r="246">
      <c r="A246" s="265"/>
      <c r="B246" s="265"/>
      <c r="C246" s="265"/>
    </row>
    <row r="247">
      <c r="A247" s="265"/>
      <c r="B247" s="265"/>
      <c r="C247" s="265"/>
    </row>
    <row r="248">
      <c r="A248" s="265"/>
      <c r="B248" s="265"/>
      <c r="C248" s="265"/>
    </row>
    <row r="249">
      <c r="A249" s="265"/>
      <c r="B249" s="265"/>
      <c r="C249" s="265"/>
    </row>
    <row r="250">
      <c r="A250" s="265"/>
      <c r="B250" s="265"/>
      <c r="C250" s="265"/>
    </row>
    <row r="251">
      <c r="A251" s="265"/>
      <c r="B251" s="265"/>
      <c r="C251" s="265"/>
    </row>
    <row r="252">
      <c r="A252" s="265"/>
      <c r="B252" s="265"/>
      <c r="C252" s="265"/>
    </row>
    <row r="253">
      <c r="A253" s="265"/>
      <c r="B253" s="265"/>
      <c r="C253" s="265"/>
    </row>
    <row r="254">
      <c r="A254" s="265"/>
      <c r="B254" s="265"/>
      <c r="C254" s="265"/>
    </row>
    <row r="255">
      <c r="A255" s="265"/>
      <c r="B255" s="265"/>
      <c r="C255" s="265"/>
    </row>
    <row r="256">
      <c r="A256" s="265"/>
      <c r="B256" s="265"/>
      <c r="C256" s="265"/>
    </row>
    <row r="257">
      <c r="A257" s="265"/>
      <c r="B257" s="265"/>
      <c r="C257" s="265"/>
    </row>
    <row r="258">
      <c r="A258" s="265"/>
      <c r="B258" s="265"/>
      <c r="C258" s="265"/>
    </row>
    <row r="259">
      <c r="A259" s="265"/>
      <c r="B259" s="265"/>
      <c r="C259" s="265"/>
    </row>
    <row r="260">
      <c r="A260" s="265"/>
      <c r="B260" s="265"/>
      <c r="C260" s="265"/>
    </row>
    <row r="261">
      <c r="A261" s="265"/>
      <c r="B261" s="265"/>
      <c r="C261" s="265"/>
    </row>
    <row r="262">
      <c r="A262" s="265"/>
      <c r="B262" s="265"/>
      <c r="C262" s="265"/>
    </row>
    <row r="263">
      <c r="A263" s="265"/>
      <c r="B263" s="265"/>
      <c r="C263" s="265"/>
    </row>
    <row r="264">
      <c r="A264" s="265"/>
      <c r="B264" s="265"/>
      <c r="C264" s="265"/>
    </row>
    <row r="265">
      <c r="A265" s="265"/>
      <c r="B265" s="265"/>
      <c r="C265" s="265"/>
    </row>
    <row r="266">
      <c r="A266" s="265"/>
      <c r="B266" s="265"/>
      <c r="C266" s="265"/>
    </row>
    <row r="267">
      <c r="A267" s="265"/>
      <c r="B267" s="265"/>
      <c r="C267" s="265"/>
    </row>
    <row r="268">
      <c r="A268" s="265"/>
      <c r="B268" s="265"/>
      <c r="C268" s="265"/>
    </row>
    <row r="269">
      <c r="A269" s="265"/>
      <c r="B269" s="265"/>
      <c r="C269" s="265"/>
    </row>
    <row r="270">
      <c r="A270" s="265"/>
      <c r="B270" s="265"/>
      <c r="C270" s="265"/>
    </row>
    <row r="271">
      <c r="A271" s="265"/>
      <c r="B271" s="265"/>
      <c r="C271" s="265"/>
    </row>
    <row r="272">
      <c r="A272" s="265"/>
      <c r="B272" s="265"/>
      <c r="C272" s="265"/>
    </row>
    <row r="273">
      <c r="A273" s="265"/>
      <c r="B273" s="265"/>
      <c r="C273" s="265"/>
    </row>
    <row r="274">
      <c r="A274" s="265"/>
      <c r="B274" s="265"/>
      <c r="C274" s="265"/>
    </row>
    <row r="275">
      <c r="A275" s="265"/>
      <c r="B275" s="265"/>
      <c r="C275" s="265"/>
    </row>
    <row r="276">
      <c r="A276" s="265"/>
      <c r="B276" s="265"/>
      <c r="C276" s="265"/>
    </row>
    <row r="277">
      <c r="A277" s="265"/>
      <c r="B277" s="265"/>
      <c r="C277" s="265"/>
    </row>
    <row r="278">
      <c r="A278" s="265"/>
      <c r="B278" s="265"/>
      <c r="C278" s="265"/>
    </row>
    <row r="279">
      <c r="A279" s="265"/>
      <c r="B279" s="265"/>
      <c r="C279" s="265"/>
    </row>
    <row r="280">
      <c r="A280" s="265"/>
      <c r="B280" s="265"/>
      <c r="C280" s="265"/>
    </row>
    <row r="281">
      <c r="A281" s="265"/>
      <c r="B281" s="265"/>
      <c r="C281" s="265"/>
    </row>
    <row r="282">
      <c r="A282" s="265"/>
      <c r="B282" s="265"/>
      <c r="C282" s="265"/>
    </row>
    <row r="283">
      <c r="A283" s="265"/>
      <c r="B283" s="265"/>
      <c r="C283" s="265"/>
    </row>
    <row r="284">
      <c r="A284" s="265"/>
      <c r="B284" s="265"/>
      <c r="C284" s="265"/>
    </row>
    <row r="285">
      <c r="A285" s="265"/>
      <c r="B285" s="265"/>
      <c r="C285" s="265"/>
    </row>
    <row r="286">
      <c r="A286" s="265"/>
      <c r="B286" s="265"/>
      <c r="C286" s="265"/>
    </row>
    <row r="287">
      <c r="A287" s="265"/>
      <c r="B287" s="265"/>
      <c r="C287" s="265"/>
    </row>
    <row r="288">
      <c r="A288" s="265"/>
      <c r="B288" s="265"/>
      <c r="C288" s="265"/>
    </row>
    <row r="289">
      <c r="A289" s="265"/>
      <c r="B289" s="265"/>
      <c r="C289" s="265"/>
    </row>
    <row r="290">
      <c r="A290" s="265"/>
      <c r="B290" s="265"/>
      <c r="C290" s="265"/>
    </row>
    <row r="291">
      <c r="A291" s="265"/>
      <c r="B291" s="265"/>
      <c r="C291" s="265"/>
    </row>
    <row r="292">
      <c r="A292" s="265"/>
      <c r="B292" s="265"/>
      <c r="C292" s="265"/>
    </row>
    <row r="293">
      <c r="A293" s="265"/>
      <c r="B293" s="265"/>
      <c r="C293" s="265"/>
    </row>
    <row r="294">
      <c r="A294" s="265"/>
      <c r="B294" s="265"/>
      <c r="C294" s="265"/>
    </row>
    <row r="295">
      <c r="A295" s="265"/>
      <c r="B295" s="265"/>
      <c r="C295" s="265"/>
    </row>
    <row r="296">
      <c r="A296" s="265"/>
      <c r="B296" s="265"/>
      <c r="C296" s="265"/>
    </row>
    <row r="297">
      <c r="A297" s="265"/>
      <c r="B297" s="265"/>
      <c r="C297" s="265"/>
    </row>
    <row r="298">
      <c r="A298" s="265"/>
      <c r="B298" s="265"/>
      <c r="C298" s="265"/>
    </row>
    <row r="299">
      <c r="A299" s="265"/>
      <c r="B299" s="265"/>
      <c r="C299" s="265"/>
    </row>
    <row r="300">
      <c r="A300" s="265"/>
      <c r="B300" s="265"/>
      <c r="C300" s="265"/>
    </row>
    <row r="301">
      <c r="A301" s="265"/>
      <c r="B301" s="265"/>
      <c r="C301" s="265"/>
    </row>
    <row r="302">
      <c r="A302" s="265"/>
      <c r="B302" s="265"/>
      <c r="C302" s="265"/>
    </row>
    <row r="303">
      <c r="A303" s="265"/>
      <c r="B303" s="265"/>
      <c r="C303" s="265"/>
    </row>
    <row r="304">
      <c r="A304" s="265"/>
      <c r="B304" s="265"/>
      <c r="C304" s="265"/>
    </row>
    <row r="305">
      <c r="A305" s="265"/>
      <c r="B305" s="265"/>
      <c r="C305" s="265"/>
    </row>
    <row r="306">
      <c r="A306" s="265"/>
      <c r="B306" s="265"/>
      <c r="C306" s="265"/>
    </row>
    <row r="307">
      <c r="A307" s="265"/>
      <c r="B307" s="265"/>
      <c r="C307" s="265"/>
    </row>
    <row r="308">
      <c r="A308" s="265"/>
      <c r="B308" s="265"/>
      <c r="C308" s="265"/>
    </row>
    <row r="309">
      <c r="A309" s="265"/>
      <c r="B309" s="265"/>
      <c r="C309" s="265"/>
    </row>
    <row r="310">
      <c r="A310" s="265"/>
      <c r="B310" s="265"/>
      <c r="C310" s="265"/>
    </row>
    <row r="311">
      <c r="A311" s="265"/>
      <c r="B311" s="265"/>
      <c r="C311" s="265"/>
    </row>
    <row r="312">
      <c r="A312" s="265"/>
      <c r="B312" s="265"/>
      <c r="C312" s="265"/>
    </row>
    <row r="313">
      <c r="A313" s="265"/>
      <c r="B313" s="265"/>
      <c r="C313" s="265"/>
    </row>
    <row r="314">
      <c r="A314" s="265"/>
      <c r="B314" s="265"/>
      <c r="C314" s="265"/>
    </row>
    <row r="315">
      <c r="A315" s="265"/>
      <c r="B315" s="265"/>
      <c r="C315" s="265"/>
    </row>
    <row r="316">
      <c r="A316" s="265"/>
      <c r="B316" s="265"/>
      <c r="C316" s="265"/>
    </row>
    <row r="317">
      <c r="A317" s="265"/>
      <c r="B317" s="265"/>
      <c r="C317" s="265"/>
    </row>
    <row r="318">
      <c r="A318" s="265"/>
      <c r="B318" s="265"/>
      <c r="C318" s="265"/>
    </row>
    <row r="319">
      <c r="A319" s="265"/>
      <c r="B319" s="265"/>
      <c r="C319" s="265"/>
    </row>
    <row r="320">
      <c r="A320" s="265"/>
      <c r="B320" s="265"/>
      <c r="C320" s="265"/>
    </row>
    <row r="321">
      <c r="A321" s="265"/>
      <c r="B321" s="265"/>
      <c r="C321" s="265"/>
    </row>
    <row r="322">
      <c r="A322" s="265"/>
      <c r="B322" s="265"/>
      <c r="C322" s="265"/>
    </row>
    <row r="323">
      <c r="A323" s="265"/>
      <c r="B323" s="265"/>
      <c r="C323" s="265"/>
    </row>
    <row r="324">
      <c r="A324" s="265"/>
      <c r="B324" s="265"/>
      <c r="C324" s="265"/>
    </row>
    <row r="325">
      <c r="A325" s="265"/>
      <c r="B325" s="265"/>
      <c r="C325" s="265"/>
    </row>
    <row r="326">
      <c r="A326" s="265"/>
      <c r="B326" s="265"/>
      <c r="C326" s="265"/>
    </row>
    <row r="327">
      <c r="A327" s="265"/>
      <c r="B327" s="265"/>
      <c r="C327" s="265"/>
    </row>
    <row r="328">
      <c r="A328" s="265"/>
      <c r="B328" s="265"/>
      <c r="C328" s="265"/>
    </row>
    <row r="329">
      <c r="A329" s="265"/>
      <c r="B329" s="265"/>
      <c r="C329" s="265"/>
    </row>
    <row r="330">
      <c r="A330" s="265"/>
      <c r="B330" s="265"/>
      <c r="C330" s="265"/>
    </row>
    <row r="331">
      <c r="A331" s="265"/>
      <c r="B331" s="265"/>
      <c r="C331" s="265"/>
    </row>
    <row r="332">
      <c r="A332" s="265"/>
      <c r="B332" s="265"/>
      <c r="C332" s="265"/>
    </row>
    <row r="333">
      <c r="A333" s="265"/>
      <c r="B333" s="265"/>
      <c r="C333" s="265"/>
    </row>
    <row r="334">
      <c r="A334" s="265"/>
      <c r="B334" s="265"/>
      <c r="C334" s="265"/>
    </row>
    <row r="335">
      <c r="A335" s="265"/>
      <c r="B335" s="265"/>
      <c r="C335" s="265"/>
    </row>
    <row r="336">
      <c r="A336" s="265"/>
      <c r="B336" s="265"/>
      <c r="C336" s="265"/>
    </row>
    <row r="337">
      <c r="A337" s="265"/>
      <c r="B337" s="265"/>
      <c r="C337" s="265"/>
    </row>
    <row r="338">
      <c r="A338" s="265"/>
      <c r="B338" s="265"/>
      <c r="C338" s="265"/>
    </row>
    <row r="339">
      <c r="A339" s="265"/>
      <c r="B339" s="265"/>
      <c r="C339" s="265"/>
    </row>
    <row r="340">
      <c r="A340" s="265"/>
      <c r="B340" s="265"/>
      <c r="C340" s="265"/>
    </row>
    <row r="341">
      <c r="A341" s="265"/>
      <c r="B341" s="265"/>
      <c r="C341" s="265"/>
    </row>
    <row r="342">
      <c r="A342" s="265"/>
      <c r="B342" s="265"/>
      <c r="C342" s="265"/>
    </row>
    <row r="343">
      <c r="A343" s="265"/>
      <c r="B343" s="265"/>
      <c r="C343" s="265"/>
    </row>
    <row r="344">
      <c r="A344" s="265"/>
      <c r="B344" s="265"/>
      <c r="C344" s="265"/>
    </row>
    <row r="345">
      <c r="A345" s="265"/>
      <c r="B345" s="265"/>
      <c r="C345" s="265"/>
    </row>
    <row r="346">
      <c r="A346" s="265"/>
      <c r="B346" s="265"/>
      <c r="C346" s="265"/>
    </row>
    <row r="347">
      <c r="A347" s="265"/>
      <c r="B347" s="265"/>
      <c r="C347" s="265"/>
    </row>
    <row r="348">
      <c r="A348" s="265"/>
      <c r="B348" s="265"/>
      <c r="C348" s="265"/>
    </row>
    <row r="349">
      <c r="A349" s="265"/>
      <c r="B349" s="265"/>
      <c r="C349" s="265"/>
    </row>
    <row r="350">
      <c r="A350" s="265"/>
      <c r="B350" s="265"/>
      <c r="C350" s="265"/>
    </row>
    <row r="351">
      <c r="A351" s="265"/>
      <c r="B351" s="265"/>
      <c r="C351" s="265"/>
    </row>
    <row r="352">
      <c r="A352" s="265"/>
      <c r="B352" s="265"/>
      <c r="C352" s="265"/>
    </row>
    <row r="353">
      <c r="A353" s="265"/>
      <c r="B353" s="265"/>
      <c r="C353" s="265"/>
    </row>
    <row r="354">
      <c r="A354" s="265"/>
      <c r="B354" s="265"/>
      <c r="C354" s="265"/>
    </row>
    <row r="355">
      <c r="A355" s="265"/>
      <c r="B355" s="265"/>
      <c r="C355" s="265"/>
    </row>
    <row r="356">
      <c r="A356" s="265"/>
      <c r="B356" s="265"/>
      <c r="C356" s="265"/>
    </row>
    <row r="357">
      <c r="A357" s="265"/>
      <c r="B357" s="265"/>
      <c r="C357" s="265"/>
    </row>
    <row r="358">
      <c r="A358" s="265"/>
      <c r="B358" s="265"/>
      <c r="C358" s="265"/>
    </row>
    <row r="359">
      <c r="A359" s="265"/>
      <c r="B359" s="265"/>
      <c r="C359" s="265"/>
    </row>
    <row r="360">
      <c r="A360" s="265"/>
      <c r="B360" s="265"/>
      <c r="C360" s="265"/>
    </row>
    <row r="361">
      <c r="A361" s="265"/>
      <c r="B361" s="265"/>
      <c r="C361" s="265"/>
    </row>
    <row r="362">
      <c r="A362" s="265"/>
      <c r="B362" s="265"/>
      <c r="C362" s="265"/>
    </row>
    <row r="363">
      <c r="A363" s="265"/>
      <c r="B363" s="265"/>
      <c r="C363" s="265"/>
    </row>
    <row r="364">
      <c r="A364" s="265"/>
      <c r="B364" s="265"/>
      <c r="C364" s="265"/>
    </row>
    <row r="365">
      <c r="A365" s="265"/>
      <c r="B365" s="265"/>
      <c r="C365" s="265"/>
    </row>
    <row r="366">
      <c r="A366" s="265"/>
      <c r="B366" s="265"/>
      <c r="C366" s="265"/>
    </row>
    <row r="367">
      <c r="A367" s="265"/>
      <c r="B367" s="265"/>
      <c r="C367" s="265"/>
    </row>
    <row r="368">
      <c r="A368" s="265"/>
      <c r="B368" s="265"/>
      <c r="C368" s="265"/>
    </row>
    <row r="369">
      <c r="A369" s="265"/>
      <c r="B369" s="265"/>
      <c r="C369" s="265"/>
    </row>
    <row r="370">
      <c r="A370" s="265"/>
      <c r="B370" s="265"/>
      <c r="C370" s="265"/>
    </row>
    <row r="371">
      <c r="A371" s="265"/>
      <c r="B371" s="265"/>
      <c r="C371" s="265"/>
    </row>
    <row r="372">
      <c r="A372" s="265"/>
      <c r="B372" s="265"/>
      <c r="C372" s="265"/>
    </row>
    <row r="373">
      <c r="A373" s="265"/>
      <c r="B373" s="265"/>
      <c r="C373" s="265"/>
    </row>
    <row r="374">
      <c r="A374" s="265"/>
      <c r="B374" s="265"/>
      <c r="C374" s="265"/>
    </row>
    <row r="375">
      <c r="A375" s="265"/>
      <c r="B375" s="265"/>
      <c r="C375" s="265"/>
    </row>
    <row r="376">
      <c r="A376" s="265"/>
      <c r="B376" s="265"/>
      <c r="C376" s="265"/>
    </row>
    <row r="377">
      <c r="A377" s="265"/>
      <c r="B377" s="265"/>
      <c r="C377" s="265"/>
    </row>
    <row r="378">
      <c r="A378" s="265"/>
      <c r="B378" s="265"/>
      <c r="C378" s="265"/>
    </row>
    <row r="379">
      <c r="A379" s="265"/>
      <c r="B379" s="265"/>
      <c r="C379" s="265"/>
    </row>
    <row r="380">
      <c r="A380" s="265"/>
      <c r="B380" s="265"/>
      <c r="C380" s="265"/>
    </row>
    <row r="381">
      <c r="A381" s="265"/>
      <c r="B381" s="265"/>
      <c r="C381" s="265"/>
    </row>
    <row r="382">
      <c r="A382" s="265"/>
      <c r="B382" s="265"/>
      <c r="C382" s="265"/>
    </row>
    <row r="383">
      <c r="A383" s="265"/>
      <c r="B383" s="265"/>
      <c r="C383" s="265"/>
    </row>
    <row r="384">
      <c r="A384" s="265"/>
      <c r="B384" s="265"/>
      <c r="C384" s="265"/>
    </row>
    <row r="385">
      <c r="A385" s="265"/>
      <c r="B385" s="265"/>
      <c r="C385" s="265"/>
    </row>
    <row r="386">
      <c r="A386" s="265"/>
      <c r="B386" s="265"/>
      <c r="C386" s="265"/>
    </row>
    <row r="387">
      <c r="A387" s="265"/>
      <c r="B387" s="265"/>
      <c r="C387" s="265"/>
    </row>
    <row r="388">
      <c r="A388" s="265"/>
      <c r="B388" s="265"/>
      <c r="C388" s="265"/>
    </row>
    <row r="389">
      <c r="A389" s="265"/>
      <c r="B389" s="265"/>
      <c r="C389" s="265"/>
    </row>
    <row r="390">
      <c r="A390" s="265"/>
      <c r="B390" s="265"/>
      <c r="C390" s="265"/>
    </row>
    <row r="391">
      <c r="A391" s="265"/>
      <c r="B391" s="265"/>
      <c r="C391" s="265"/>
    </row>
    <row r="392">
      <c r="A392" s="265"/>
      <c r="B392" s="265"/>
      <c r="C392" s="265"/>
    </row>
    <row r="393">
      <c r="A393" s="265"/>
      <c r="B393" s="265"/>
      <c r="C393" s="265"/>
    </row>
    <row r="394">
      <c r="A394" s="265"/>
      <c r="B394" s="265"/>
      <c r="C394" s="265"/>
    </row>
    <row r="395">
      <c r="A395" s="265"/>
      <c r="B395" s="265"/>
      <c r="C395" s="265"/>
    </row>
    <row r="396">
      <c r="A396" s="265"/>
      <c r="B396" s="265"/>
      <c r="C396" s="265"/>
    </row>
    <row r="397">
      <c r="A397" s="265"/>
      <c r="B397" s="265"/>
      <c r="C397" s="265"/>
    </row>
    <row r="398">
      <c r="A398" s="265"/>
      <c r="B398" s="265"/>
      <c r="C398" s="265"/>
    </row>
    <row r="399">
      <c r="A399" s="265"/>
      <c r="B399" s="265"/>
      <c r="C399" s="265"/>
    </row>
    <row r="400">
      <c r="A400" s="265"/>
      <c r="B400" s="265"/>
      <c r="C400" s="265"/>
    </row>
    <row r="401">
      <c r="A401" s="265"/>
      <c r="B401" s="265"/>
      <c r="C401" s="265"/>
    </row>
    <row r="402">
      <c r="A402" s="265"/>
      <c r="B402" s="265"/>
      <c r="C402" s="265"/>
    </row>
    <row r="403">
      <c r="A403" s="265"/>
      <c r="B403" s="265"/>
      <c r="C403" s="265"/>
    </row>
    <row r="404">
      <c r="A404" s="265"/>
      <c r="B404" s="265"/>
      <c r="C404" s="265"/>
    </row>
    <row r="405">
      <c r="A405" s="265"/>
      <c r="B405" s="265"/>
      <c r="C405" s="265"/>
    </row>
    <row r="406">
      <c r="A406" s="265"/>
      <c r="B406" s="265"/>
      <c r="C406" s="265"/>
    </row>
    <row r="407">
      <c r="A407" s="265"/>
      <c r="B407" s="265"/>
      <c r="C407" s="265"/>
    </row>
    <row r="408">
      <c r="A408" s="265"/>
      <c r="B408" s="265"/>
      <c r="C408" s="265"/>
    </row>
    <row r="409">
      <c r="A409" s="265"/>
      <c r="B409" s="265"/>
      <c r="C409" s="265"/>
    </row>
    <row r="410">
      <c r="A410" s="265"/>
      <c r="B410" s="265"/>
      <c r="C410" s="265"/>
    </row>
    <row r="411">
      <c r="A411" s="265"/>
      <c r="B411" s="265"/>
      <c r="C411" s="265"/>
    </row>
    <row r="412">
      <c r="A412" s="265"/>
      <c r="B412" s="265"/>
      <c r="C412" s="265"/>
    </row>
    <row r="413">
      <c r="A413" s="265"/>
      <c r="B413" s="265"/>
      <c r="C413" s="265"/>
    </row>
    <row r="414">
      <c r="A414" s="265"/>
      <c r="B414" s="265"/>
      <c r="C414" s="265"/>
    </row>
    <row r="415">
      <c r="A415" s="265"/>
      <c r="B415" s="265"/>
      <c r="C415" s="265"/>
    </row>
    <row r="416">
      <c r="A416" s="265"/>
      <c r="B416" s="265"/>
      <c r="C416" s="265"/>
    </row>
    <row r="417">
      <c r="A417" s="265"/>
      <c r="B417" s="265"/>
      <c r="C417" s="265"/>
    </row>
    <row r="418">
      <c r="A418" s="265"/>
      <c r="B418" s="265"/>
      <c r="C418" s="265"/>
    </row>
    <row r="419">
      <c r="A419" s="265"/>
      <c r="B419" s="265"/>
      <c r="C419" s="265"/>
    </row>
    <row r="420">
      <c r="A420" s="265"/>
      <c r="B420" s="265"/>
      <c r="C420" s="265"/>
    </row>
    <row r="421">
      <c r="A421" s="265"/>
      <c r="B421" s="265"/>
      <c r="C421" s="265"/>
    </row>
    <row r="422">
      <c r="A422" s="265"/>
      <c r="B422" s="265"/>
      <c r="C422" s="265"/>
    </row>
    <row r="423">
      <c r="A423" s="265"/>
      <c r="B423" s="265"/>
      <c r="C423" s="265"/>
    </row>
    <row r="424">
      <c r="A424" s="265"/>
      <c r="B424" s="265"/>
      <c r="C424" s="265"/>
    </row>
    <row r="425">
      <c r="A425" s="265"/>
      <c r="B425" s="265"/>
      <c r="C425" s="265"/>
    </row>
    <row r="426">
      <c r="A426" s="265"/>
      <c r="B426" s="265"/>
      <c r="C426" s="265"/>
    </row>
    <row r="427">
      <c r="A427" s="265"/>
      <c r="B427" s="265"/>
      <c r="C427" s="265"/>
    </row>
    <row r="428">
      <c r="A428" s="265"/>
      <c r="B428" s="265"/>
      <c r="C428" s="265"/>
    </row>
    <row r="429">
      <c r="A429" s="265"/>
      <c r="B429" s="265"/>
      <c r="C429" s="265"/>
    </row>
    <row r="430">
      <c r="A430" s="265"/>
      <c r="B430" s="265"/>
      <c r="C430" s="265"/>
    </row>
    <row r="431">
      <c r="A431" s="265"/>
      <c r="B431" s="265"/>
      <c r="C431" s="265"/>
    </row>
    <row r="432">
      <c r="A432" s="265"/>
      <c r="B432" s="265"/>
      <c r="C432" s="265"/>
    </row>
    <row r="433">
      <c r="A433" s="265"/>
      <c r="B433" s="265"/>
      <c r="C433" s="265"/>
    </row>
    <row r="434">
      <c r="A434" s="265"/>
      <c r="B434" s="265"/>
      <c r="C434" s="265"/>
    </row>
    <row r="435">
      <c r="A435" s="265"/>
      <c r="B435" s="265"/>
      <c r="C435" s="265"/>
    </row>
    <row r="436">
      <c r="A436" s="265"/>
      <c r="B436" s="265"/>
      <c r="C436" s="265"/>
    </row>
    <row r="437">
      <c r="A437" s="265"/>
      <c r="B437" s="265"/>
      <c r="C437" s="265"/>
    </row>
    <row r="438">
      <c r="A438" s="265"/>
      <c r="B438" s="265"/>
      <c r="C438" s="265"/>
    </row>
    <row r="439">
      <c r="A439" s="265"/>
      <c r="B439" s="265"/>
      <c r="C439" s="265"/>
    </row>
    <row r="440">
      <c r="A440" s="265"/>
      <c r="B440" s="265"/>
      <c r="C440" s="265"/>
    </row>
    <row r="441">
      <c r="A441" s="265"/>
      <c r="B441" s="265"/>
      <c r="C441" s="265"/>
    </row>
    <row r="442">
      <c r="A442" s="265"/>
      <c r="B442" s="265"/>
      <c r="C442" s="265"/>
    </row>
    <row r="443">
      <c r="A443" s="265"/>
      <c r="B443" s="265"/>
      <c r="C443" s="265"/>
    </row>
    <row r="444">
      <c r="A444" s="265"/>
      <c r="B444" s="265"/>
      <c r="C444" s="265"/>
    </row>
    <row r="445">
      <c r="A445" s="265"/>
      <c r="B445" s="265"/>
      <c r="C445" s="265"/>
    </row>
    <row r="446">
      <c r="A446" s="265"/>
      <c r="B446" s="265"/>
      <c r="C446" s="265"/>
    </row>
    <row r="447">
      <c r="A447" s="265"/>
      <c r="B447" s="265"/>
      <c r="C447" s="265"/>
    </row>
    <row r="448">
      <c r="A448" s="265"/>
      <c r="B448" s="265"/>
      <c r="C448" s="265"/>
    </row>
    <row r="449">
      <c r="A449" s="265"/>
      <c r="B449" s="265"/>
      <c r="C449" s="265"/>
    </row>
    <row r="450">
      <c r="A450" s="265"/>
      <c r="B450" s="265"/>
      <c r="C450" s="265"/>
    </row>
    <row r="451">
      <c r="A451" s="265"/>
      <c r="B451" s="265"/>
      <c r="C451" s="265"/>
    </row>
    <row r="452">
      <c r="A452" s="265"/>
      <c r="B452" s="265"/>
      <c r="C452" s="265"/>
    </row>
    <row r="453">
      <c r="A453" s="265"/>
      <c r="B453" s="265"/>
      <c r="C453" s="265"/>
    </row>
    <row r="454">
      <c r="A454" s="265"/>
      <c r="B454" s="265"/>
      <c r="C454" s="265"/>
    </row>
    <row r="455">
      <c r="A455" s="265"/>
      <c r="B455" s="265"/>
      <c r="C455" s="265"/>
    </row>
    <row r="456">
      <c r="A456" s="265"/>
      <c r="B456" s="265"/>
      <c r="C456" s="265"/>
    </row>
    <row r="457">
      <c r="A457" s="265"/>
      <c r="B457" s="265"/>
      <c r="C457" s="265"/>
    </row>
    <row r="458">
      <c r="A458" s="265"/>
      <c r="B458" s="265"/>
      <c r="C458" s="265"/>
    </row>
    <row r="459">
      <c r="A459" s="265"/>
      <c r="B459" s="265"/>
      <c r="C459" s="265"/>
    </row>
    <row r="460">
      <c r="A460" s="265"/>
      <c r="B460" s="265"/>
      <c r="C460" s="265"/>
    </row>
    <row r="461">
      <c r="A461" s="265"/>
      <c r="B461" s="265"/>
      <c r="C461" s="265"/>
    </row>
    <row r="462">
      <c r="A462" s="265"/>
      <c r="B462" s="265"/>
      <c r="C462" s="265"/>
    </row>
    <row r="463">
      <c r="A463" s="265"/>
      <c r="B463" s="265"/>
      <c r="C463" s="265"/>
    </row>
    <row r="464">
      <c r="A464" s="265"/>
      <c r="B464" s="265"/>
      <c r="C464" s="265"/>
    </row>
    <row r="465">
      <c r="A465" s="265"/>
      <c r="B465" s="265"/>
      <c r="C465" s="265"/>
    </row>
    <row r="466">
      <c r="A466" s="265"/>
      <c r="B466" s="265"/>
      <c r="C466" s="265"/>
    </row>
    <row r="467">
      <c r="A467" s="265"/>
      <c r="B467" s="265"/>
      <c r="C467" s="265"/>
    </row>
    <row r="468">
      <c r="A468" s="265"/>
      <c r="B468" s="265"/>
      <c r="C468" s="265"/>
    </row>
    <row r="469">
      <c r="A469" s="265"/>
      <c r="B469" s="265"/>
      <c r="C469" s="265"/>
    </row>
    <row r="470">
      <c r="A470" s="265"/>
      <c r="B470" s="265"/>
      <c r="C470" s="265"/>
    </row>
    <row r="471">
      <c r="A471" s="265"/>
      <c r="B471" s="265"/>
      <c r="C471" s="265"/>
    </row>
    <row r="472">
      <c r="A472" s="265"/>
      <c r="B472" s="265"/>
      <c r="C472" s="265"/>
    </row>
    <row r="473">
      <c r="A473" s="265"/>
      <c r="B473" s="265"/>
      <c r="C473" s="265"/>
    </row>
    <row r="474">
      <c r="A474" s="265"/>
      <c r="B474" s="265"/>
      <c r="C474" s="265"/>
    </row>
    <row r="475">
      <c r="A475" s="265"/>
      <c r="B475" s="265"/>
      <c r="C475" s="265"/>
    </row>
    <row r="476">
      <c r="A476" s="265"/>
      <c r="B476" s="265"/>
      <c r="C476" s="265"/>
    </row>
    <row r="477">
      <c r="A477" s="265"/>
      <c r="B477" s="265"/>
      <c r="C477" s="265"/>
    </row>
    <row r="478">
      <c r="A478" s="265"/>
      <c r="B478" s="265"/>
      <c r="C478" s="265"/>
    </row>
    <row r="479">
      <c r="A479" s="265"/>
      <c r="B479" s="265"/>
      <c r="C479" s="265"/>
    </row>
    <row r="480">
      <c r="A480" s="265"/>
      <c r="B480" s="265"/>
      <c r="C480" s="265"/>
    </row>
    <row r="481">
      <c r="A481" s="265"/>
      <c r="B481" s="265"/>
      <c r="C481" s="265"/>
    </row>
    <row r="482">
      <c r="A482" s="265"/>
      <c r="B482" s="265"/>
      <c r="C482" s="265"/>
    </row>
    <row r="483">
      <c r="A483" s="265"/>
      <c r="B483" s="265"/>
      <c r="C483" s="265"/>
    </row>
    <row r="484">
      <c r="A484" s="265"/>
      <c r="B484" s="265"/>
      <c r="C484" s="265"/>
    </row>
    <row r="485">
      <c r="A485" s="265"/>
      <c r="B485" s="265"/>
      <c r="C485" s="265"/>
    </row>
    <row r="486">
      <c r="A486" s="265"/>
      <c r="B486" s="265"/>
      <c r="C486" s="265"/>
    </row>
    <row r="487">
      <c r="A487" s="265"/>
      <c r="B487" s="265"/>
      <c r="C487" s="265"/>
    </row>
    <row r="488">
      <c r="A488" s="265"/>
      <c r="B488" s="265"/>
      <c r="C488" s="265"/>
    </row>
    <row r="489">
      <c r="A489" s="265"/>
      <c r="B489" s="265"/>
      <c r="C489" s="265"/>
    </row>
    <row r="490">
      <c r="A490" s="265"/>
      <c r="B490" s="265"/>
      <c r="C490" s="265"/>
    </row>
    <row r="491">
      <c r="A491" s="265"/>
      <c r="B491" s="265"/>
      <c r="C491" s="265"/>
    </row>
    <row r="492">
      <c r="A492" s="265"/>
      <c r="B492" s="265"/>
      <c r="C492" s="265"/>
    </row>
    <row r="493">
      <c r="A493" s="265"/>
      <c r="B493" s="265"/>
      <c r="C493" s="265"/>
    </row>
    <row r="494">
      <c r="A494" s="265"/>
      <c r="B494" s="265"/>
      <c r="C494" s="265"/>
    </row>
    <row r="495">
      <c r="A495" s="265"/>
      <c r="B495" s="265"/>
      <c r="C495" s="265"/>
    </row>
    <row r="496">
      <c r="A496" s="265"/>
      <c r="B496" s="265"/>
      <c r="C496" s="265"/>
    </row>
    <row r="497">
      <c r="A497" s="265"/>
      <c r="B497" s="265"/>
      <c r="C497" s="265"/>
    </row>
    <row r="498">
      <c r="A498" s="265"/>
      <c r="B498" s="265"/>
      <c r="C498" s="265"/>
    </row>
    <row r="499">
      <c r="A499" s="265"/>
      <c r="B499" s="265"/>
      <c r="C499" s="265"/>
    </row>
    <row r="500">
      <c r="A500" s="265"/>
      <c r="B500" s="265"/>
      <c r="C500" s="265"/>
    </row>
    <row r="501">
      <c r="A501" s="265"/>
      <c r="B501" s="265"/>
      <c r="C501" s="265"/>
    </row>
    <row r="502">
      <c r="A502" s="265"/>
      <c r="B502" s="265"/>
      <c r="C502" s="265"/>
    </row>
    <row r="503">
      <c r="A503" s="265"/>
      <c r="B503" s="265"/>
      <c r="C503" s="265"/>
    </row>
    <row r="504">
      <c r="A504" s="265"/>
      <c r="B504" s="265"/>
      <c r="C504" s="265"/>
    </row>
    <row r="505">
      <c r="A505" s="265"/>
      <c r="B505" s="265"/>
      <c r="C505" s="265"/>
    </row>
    <row r="506">
      <c r="A506" s="265"/>
      <c r="B506" s="265"/>
      <c r="C506" s="265"/>
    </row>
    <row r="507">
      <c r="A507" s="265"/>
      <c r="B507" s="265"/>
      <c r="C507" s="265"/>
    </row>
    <row r="508">
      <c r="A508" s="265"/>
      <c r="B508" s="265"/>
      <c r="C508" s="265"/>
    </row>
    <row r="509">
      <c r="A509" s="265"/>
      <c r="B509" s="265"/>
      <c r="C509" s="265"/>
    </row>
    <row r="510">
      <c r="A510" s="265"/>
      <c r="B510" s="265"/>
      <c r="C510" s="265"/>
    </row>
    <row r="511">
      <c r="A511" s="265"/>
      <c r="B511" s="265"/>
      <c r="C511" s="265"/>
    </row>
    <row r="512">
      <c r="A512" s="265"/>
      <c r="B512" s="265"/>
      <c r="C512" s="265"/>
    </row>
    <row r="513">
      <c r="A513" s="265"/>
      <c r="B513" s="265"/>
      <c r="C513" s="265"/>
    </row>
    <row r="514">
      <c r="A514" s="265"/>
      <c r="B514" s="265"/>
      <c r="C514" s="265"/>
    </row>
    <row r="515">
      <c r="A515" s="265"/>
      <c r="B515" s="265"/>
      <c r="C515" s="265"/>
    </row>
    <row r="516">
      <c r="A516" s="265"/>
      <c r="B516" s="265"/>
      <c r="C516" s="265"/>
    </row>
    <row r="517">
      <c r="A517" s="265"/>
      <c r="B517" s="265"/>
      <c r="C517" s="265"/>
    </row>
    <row r="518">
      <c r="A518" s="265"/>
      <c r="B518" s="265"/>
      <c r="C518" s="265"/>
    </row>
    <row r="519">
      <c r="A519" s="265"/>
      <c r="B519" s="265"/>
      <c r="C519" s="265"/>
    </row>
    <row r="520">
      <c r="A520" s="265"/>
      <c r="B520" s="265"/>
      <c r="C520" s="265"/>
    </row>
    <row r="521">
      <c r="A521" s="265"/>
      <c r="B521" s="265"/>
      <c r="C521" s="265"/>
    </row>
    <row r="522">
      <c r="A522" s="265"/>
      <c r="B522" s="265"/>
      <c r="C522" s="265"/>
    </row>
    <row r="523">
      <c r="A523" s="265"/>
      <c r="B523" s="265"/>
      <c r="C523" s="265"/>
    </row>
    <row r="524">
      <c r="A524" s="265"/>
      <c r="B524" s="265"/>
      <c r="C524" s="265"/>
    </row>
    <row r="525">
      <c r="A525" s="265"/>
      <c r="B525" s="265"/>
      <c r="C525" s="265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/>
  </sheetPr>
  <sheetViews>
    <sheetView workbookViewId="0">
      <pane xSplit="7.0" ySplit="5.0" topLeftCell="H6" activePane="bottomRight" state="frozen"/>
      <selection activeCell="H1" sqref="H1" pane="topRight"/>
      <selection activeCell="A6" sqref="A6" pane="bottomLeft"/>
      <selection activeCell="H6" sqref="H6" pane="bottomRight"/>
    </sheetView>
  </sheetViews>
  <sheetFormatPr customHeight="1" defaultColWidth="12.63" defaultRowHeight="15.75" outlineLevelCol="1" outlineLevelRow="1"/>
  <cols>
    <col customWidth="1" min="1" max="1" width="4.13"/>
    <col customWidth="1" min="2" max="2" width="26.38"/>
    <col customWidth="1" hidden="1" min="3" max="4" width="12.0" outlineLevel="1"/>
    <col customWidth="1" hidden="1" min="5" max="5" width="7.63" outlineLevel="1"/>
    <col collapsed="1" customWidth="1" min="6" max="6" width="6.38"/>
    <col customWidth="1" min="7" max="7" width="6.38"/>
    <col customWidth="1" hidden="1" min="8" max="9" width="8.88"/>
    <col customWidth="1" min="10" max="12" width="8.88"/>
    <col customWidth="1" min="13" max="13" width="9.38"/>
    <col customWidth="1" min="14" max="24" width="8.88"/>
    <col customWidth="1" min="25" max="25" width="9.25"/>
    <col customWidth="1" min="26" max="30" width="8.88"/>
    <col customWidth="1" min="31" max="31" width="9.25"/>
    <col customWidth="1" min="32" max="39" width="8.88"/>
    <col customWidth="1" min="40" max="40" width="9.38"/>
    <col customWidth="1" min="41" max="47" width="8.88"/>
    <col customWidth="1" min="48" max="48" width="9.25"/>
    <col customWidth="1" min="49" max="68" width="8.88"/>
  </cols>
  <sheetData>
    <row r="1">
      <c r="A1" s="270" t="s">
        <v>151</v>
      </c>
      <c r="B1" s="271"/>
      <c r="C1" s="272" t="s">
        <v>152</v>
      </c>
      <c r="D1" s="272" t="s">
        <v>153</v>
      </c>
      <c r="E1" s="273" t="s">
        <v>154</v>
      </c>
      <c r="F1" s="274" t="s">
        <v>155</v>
      </c>
      <c r="G1" s="275" t="s">
        <v>156</v>
      </c>
      <c r="H1" s="276">
        <v>1.0</v>
      </c>
      <c r="I1" s="277">
        <v>1.0</v>
      </c>
      <c r="J1" s="278">
        <v>1.0</v>
      </c>
      <c r="K1" s="278">
        <v>2.0</v>
      </c>
      <c r="L1" s="278">
        <v>3.0</v>
      </c>
      <c r="M1" s="279">
        <v>4.0</v>
      </c>
      <c r="N1" s="280">
        <v>1.0</v>
      </c>
      <c r="O1" s="281">
        <v>2.0</v>
      </c>
      <c r="P1" s="281">
        <v>3.0</v>
      </c>
      <c r="Q1" s="281">
        <v>4.0</v>
      </c>
      <c r="R1" s="281">
        <v>5.0</v>
      </c>
      <c r="S1" s="281">
        <v>6.0</v>
      </c>
      <c r="T1" s="281">
        <v>7.0</v>
      </c>
      <c r="U1" s="281">
        <v>8.0</v>
      </c>
      <c r="V1" s="281">
        <v>9.0</v>
      </c>
      <c r="W1" s="281">
        <v>10.0</v>
      </c>
      <c r="X1" s="281">
        <v>11.0</v>
      </c>
      <c r="Y1" s="282">
        <v>12.0</v>
      </c>
      <c r="Z1" s="283">
        <v>1.0</v>
      </c>
      <c r="AA1" s="284">
        <v>2.0</v>
      </c>
      <c r="AB1" s="284">
        <v>3.0</v>
      </c>
      <c r="AC1" s="284">
        <v>4.0</v>
      </c>
      <c r="AD1" s="284">
        <v>5.0</v>
      </c>
      <c r="AE1" s="285">
        <v>6.0</v>
      </c>
      <c r="AF1" s="286">
        <v>1.0</v>
      </c>
      <c r="AG1" s="287">
        <f t="shared" ref="AG1:AJ1" si="1">AF1+1</f>
        <v>2</v>
      </c>
      <c r="AH1" s="287">
        <f t="shared" si="1"/>
        <v>3</v>
      </c>
      <c r="AI1" s="287">
        <f t="shared" si="1"/>
        <v>4</v>
      </c>
      <c r="AJ1" s="287">
        <f t="shared" si="1"/>
        <v>5</v>
      </c>
      <c r="AK1" s="287">
        <v>7.0</v>
      </c>
      <c r="AL1" s="287">
        <f t="shared" ref="AL1:AM1" si="2">AK1+1</f>
        <v>8</v>
      </c>
      <c r="AM1" s="287">
        <f t="shared" si="2"/>
        <v>9</v>
      </c>
      <c r="AN1" s="288">
        <v>10.0</v>
      </c>
      <c r="AO1" s="286">
        <v>1.0</v>
      </c>
      <c r="AP1" s="287">
        <v>2.0</v>
      </c>
      <c r="AQ1" s="287">
        <v>3.0</v>
      </c>
      <c r="AR1" s="287">
        <v>4.0</v>
      </c>
      <c r="AS1" s="287">
        <v>5.0</v>
      </c>
      <c r="AT1" s="287">
        <v>6.0</v>
      </c>
      <c r="AU1" s="289">
        <v>7.0</v>
      </c>
      <c r="AV1" s="290">
        <v>1.0</v>
      </c>
      <c r="AW1" s="286">
        <v>1.0</v>
      </c>
      <c r="AX1" s="287">
        <v>2.0</v>
      </c>
      <c r="AY1" s="287">
        <v>3.0</v>
      </c>
      <c r="AZ1" s="287">
        <v>4.0</v>
      </c>
      <c r="BA1" s="288">
        <v>5.0</v>
      </c>
      <c r="BB1" s="286">
        <v>1.0</v>
      </c>
      <c r="BC1" s="287">
        <v>2.0</v>
      </c>
      <c r="BD1" s="287">
        <v>3.0</v>
      </c>
      <c r="BE1" s="287">
        <v>4.0</v>
      </c>
      <c r="BF1" s="287">
        <v>5.0</v>
      </c>
      <c r="BG1" s="287">
        <v>6.0</v>
      </c>
      <c r="BH1" s="287">
        <v>7.0</v>
      </c>
      <c r="BI1" s="287">
        <v>8.0</v>
      </c>
      <c r="BJ1" s="287">
        <v>9.0</v>
      </c>
      <c r="BK1" s="287">
        <v>10.0</v>
      </c>
      <c r="BL1" s="287">
        <v>11.0</v>
      </c>
      <c r="BM1" s="287">
        <v>12.0</v>
      </c>
      <c r="BN1" s="287">
        <v>13.0</v>
      </c>
      <c r="BO1" s="287">
        <v>14.0</v>
      </c>
      <c r="BP1" s="287">
        <v>15.0</v>
      </c>
    </row>
    <row r="2">
      <c r="A2" s="291" t="s">
        <v>54</v>
      </c>
      <c r="B2" s="271"/>
      <c r="C2" s="292"/>
      <c r="D2" s="292"/>
      <c r="E2" s="292"/>
      <c r="F2" s="292"/>
      <c r="G2" s="292"/>
      <c r="H2" s="293" t="s">
        <v>61</v>
      </c>
      <c r="I2" s="294" t="s">
        <v>65</v>
      </c>
      <c r="J2" s="293" t="s">
        <v>69</v>
      </c>
      <c r="K2" s="293" t="s">
        <v>69</v>
      </c>
      <c r="L2" s="293" t="s">
        <v>69</v>
      </c>
      <c r="M2" s="295" t="s">
        <v>69</v>
      </c>
      <c r="N2" s="296" t="s">
        <v>73</v>
      </c>
      <c r="O2" s="297" t="s">
        <v>73</v>
      </c>
      <c r="P2" s="297" t="s">
        <v>73</v>
      </c>
      <c r="Q2" s="297" t="s">
        <v>73</v>
      </c>
      <c r="R2" s="297" t="s">
        <v>73</v>
      </c>
      <c r="S2" s="297" t="s">
        <v>73</v>
      </c>
      <c r="T2" s="297" t="s">
        <v>73</v>
      </c>
      <c r="U2" s="297" t="s">
        <v>73</v>
      </c>
      <c r="V2" s="297" t="s">
        <v>73</v>
      </c>
      <c r="W2" s="297" t="s">
        <v>73</v>
      </c>
      <c r="X2" s="297" t="s">
        <v>73</v>
      </c>
      <c r="Y2" s="298" t="s">
        <v>73</v>
      </c>
      <c r="Z2" s="296" t="s">
        <v>76</v>
      </c>
      <c r="AA2" s="297" t="s">
        <v>76</v>
      </c>
      <c r="AB2" s="297" t="s">
        <v>76</v>
      </c>
      <c r="AC2" s="297" t="s">
        <v>76</v>
      </c>
      <c r="AD2" s="297" t="s">
        <v>76</v>
      </c>
      <c r="AE2" s="299" t="s">
        <v>76</v>
      </c>
      <c r="AF2" s="296" t="s">
        <v>78</v>
      </c>
      <c r="AG2" s="297" t="s">
        <v>78</v>
      </c>
      <c r="AH2" s="300" t="s">
        <v>78</v>
      </c>
      <c r="AI2" s="297" t="s">
        <v>78</v>
      </c>
      <c r="AJ2" s="297" t="s">
        <v>78</v>
      </c>
      <c r="AK2" s="297" t="s">
        <v>78</v>
      </c>
      <c r="AL2" s="297" t="s">
        <v>78</v>
      </c>
      <c r="AM2" s="297" t="s">
        <v>78</v>
      </c>
      <c r="AN2" s="298" t="s">
        <v>78</v>
      </c>
      <c r="AO2" s="301" t="s">
        <v>80</v>
      </c>
      <c r="AP2" s="300" t="s">
        <v>80</v>
      </c>
      <c r="AQ2" s="297" t="s">
        <v>80</v>
      </c>
      <c r="AR2" s="297" t="s">
        <v>80</v>
      </c>
      <c r="AS2" s="297" t="s">
        <v>80</v>
      </c>
      <c r="AT2" s="297" t="s">
        <v>80</v>
      </c>
      <c r="AU2" s="302" t="s">
        <v>80</v>
      </c>
      <c r="AV2" s="303" t="s">
        <v>157</v>
      </c>
      <c r="AW2" s="301" t="s">
        <v>82</v>
      </c>
      <c r="AX2" s="297" t="s">
        <v>82</v>
      </c>
      <c r="AY2" s="297" t="s">
        <v>82</v>
      </c>
      <c r="AZ2" s="297" t="s">
        <v>82</v>
      </c>
      <c r="BA2" s="298" t="s">
        <v>82</v>
      </c>
      <c r="BB2" s="296" t="s">
        <v>84</v>
      </c>
      <c r="BC2" s="297" t="s">
        <v>84</v>
      </c>
      <c r="BD2" s="297" t="s">
        <v>84</v>
      </c>
      <c r="BE2" s="297" t="s">
        <v>84</v>
      </c>
      <c r="BF2" s="297" t="s">
        <v>84</v>
      </c>
      <c r="BG2" s="297" t="s">
        <v>84</v>
      </c>
      <c r="BH2" s="297" t="s">
        <v>84</v>
      </c>
      <c r="BI2" s="297" t="s">
        <v>84</v>
      </c>
      <c r="BJ2" s="297" t="s">
        <v>84</v>
      </c>
      <c r="BK2" s="297" t="s">
        <v>84</v>
      </c>
      <c r="BL2" s="297" t="s">
        <v>84</v>
      </c>
      <c r="BM2" s="297" t="s">
        <v>84</v>
      </c>
      <c r="BN2" s="297" t="s">
        <v>84</v>
      </c>
      <c r="BO2" s="297" t="s">
        <v>84</v>
      </c>
      <c r="BP2" s="297" t="s">
        <v>84</v>
      </c>
    </row>
    <row r="3">
      <c r="A3" s="304" t="s">
        <v>158</v>
      </c>
      <c r="B3" s="271"/>
      <c r="C3" s="305"/>
      <c r="D3" s="305"/>
      <c r="E3" s="305"/>
      <c r="F3" s="305"/>
      <c r="G3" s="305"/>
      <c r="H3" s="306"/>
      <c r="I3" s="307"/>
      <c r="J3" s="308" t="s">
        <v>159</v>
      </c>
      <c r="K3" s="309" t="s">
        <v>160</v>
      </c>
      <c r="L3" s="310" t="s">
        <v>161</v>
      </c>
      <c r="M3" s="311" t="s">
        <v>162</v>
      </c>
      <c r="N3" s="312" t="s">
        <v>163</v>
      </c>
      <c r="O3" s="310" t="s">
        <v>164</v>
      </c>
      <c r="P3" s="310" t="s">
        <v>165</v>
      </c>
      <c r="Q3" s="310" t="s">
        <v>166</v>
      </c>
      <c r="R3" s="310" t="s">
        <v>167</v>
      </c>
      <c r="S3" s="310" t="s">
        <v>168</v>
      </c>
      <c r="T3" s="310" t="s">
        <v>169</v>
      </c>
      <c r="U3" s="310" t="s">
        <v>170</v>
      </c>
      <c r="V3" s="310" t="s">
        <v>171</v>
      </c>
      <c r="W3" s="310" t="s">
        <v>172</v>
      </c>
      <c r="X3" s="310" t="s">
        <v>173</v>
      </c>
      <c r="Y3" s="311" t="s">
        <v>174</v>
      </c>
      <c r="Z3" s="312" t="s">
        <v>175</v>
      </c>
      <c r="AA3" s="310" t="s">
        <v>176</v>
      </c>
      <c r="AB3" s="310" t="s">
        <v>177</v>
      </c>
      <c r="AC3" s="310" t="s">
        <v>178</v>
      </c>
      <c r="AD3" s="310" t="s">
        <v>179</v>
      </c>
      <c r="AE3" s="311" t="s">
        <v>180</v>
      </c>
      <c r="AF3" s="312" t="s">
        <v>181</v>
      </c>
      <c r="AG3" s="310" t="s">
        <v>182</v>
      </c>
      <c r="AH3" s="313" t="s">
        <v>183</v>
      </c>
      <c r="AI3" s="310" t="s">
        <v>184</v>
      </c>
      <c r="AJ3" s="310" t="s">
        <v>185</v>
      </c>
      <c r="AK3" s="313" t="s">
        <v>186</v>
      </c>
      <c r="AL3" s="310" t="s">
        <v>187</v>
      </c>
      <c r="AM3" s="310" t="s">
        <v>188</v>
      </c>
      <c r="AN3" s="311" t="s">
        <v>189</v>
      </c>
      <c r="AO3" s="312" t="s">
        <v>190</v>
      </c>
      <c r="AP3" s="310" t="s">
        <v>191</v>
      </c>
      <c r="AQ3" s="310" t="s">
        <v>192</v>
      </c>
      <c r="AR3" s="310" t="s">
        <v>193</v>
      </c>
      <c r="AS3" s="310" t="s">
        <v>194</v>
      </c>
      <c r="AT3" s="310" t="s">
        <v>195</v>
      </c>
      <c r="AU3" s="314" t="s">
        <v>196</v>
      </c>
      <c r="AV3" s="315" t="s">
        <v>197</v>
      </c>
      <c r="AW3" s="312" t="s">
        <v>198</v>
      </c>
      <c r="AX3" s="310" t="s">
        <v>199</v>
      </c>
      <c r="AY3" s="310" t="s">
        <v>200</v>
      </c>
      <c r="AZ3" s="310" t="s">
        <v>201</v>
      </c>
      <c r="BA3" s="311" t="s">
        <v>202</v>
      </c>
      <c r="BB3" s="308" t="s">
        <v>203</v>
      </c>
      <c r="BC3" s="316" t="s">
        <v>204</v>
      </c>
      <c r="BD3" s="316" t="s">
        <v>205</v>
      </c>
      <c r="BE3" s="316" t="s">
        <v>206</v>
      </c>
      <c r="BF3" s="316" t="s">
        <v>207</v>
      </c>
      <c r="BG3" s="316" t="s">
        <v>208</v>
      </c>
      <c r="BH3" s="316" t="s">
        <v>209</v>
      </c>
      <c r="BI3" s="316" t="s">
        <v>210</v>
      </c>
      <c r="BJ3" s="316" t="s">
        <v>211</v>
      </c>
      <c r="BK3" s="316" t="s">
        <v>212</v>
      </c>
      <c r="BL3" s="316" t="s">
        <v>213</v>
      </c>
      <c r="BM3" s="316" t="s">
        <v>214</v>
      </c>
      <c r="BN3" s="316" t="s">
        <v>215</v>
      </c>
      <c r="BO3" s="316" t="s">
        <v>216</v>
      </c>
      <c r="BP3" s="316" t="s">
        <v>217</v>
      </c>
    </row>
    <row r="4">
      <c r="A4" s="317" t="s">
        <v>218</v>
      </c>
      <c r="B4" s="271"/>
      <c r="C4" s="318" t="s">
        <v>219</v>
      </c>
      <c r="D4" s="319"/>
      <c r="E4" s="273"/>
      <c r="F4" s="274"/>
      <c r="G4" s="275"/>
      <c r="H4" s="306"/>
      <c r="I4" s="307"/>
      <c r="J4" s="308" t="s">
        <v>220</v>
      </c>
      <c r="K4" s="320" t="s">
        <v>221</v>
      </c>
      <c r="L4" s="321" t="s">
        <v>222</v>
      </c>
      <c r="M4" s="322" t="s">
        <v>223</v>
      </c>
      <c r="N4" s="312" t="s">
        <v>222</v>
      </c>
      <c r="O4" s="310" t="s">
        <v>224</v>
      </c>
      <c r="P4" s="310" t="s">
        <v>225</v>
      </c>
      <c r="Q4" s="310" t="s">
        <v>226</v>
      </c>
      <c r="R4" s="310" t="s">
        <v>227</v>
      </c>
      <c r="S4" s="310" t="s">
        <v>228</v>
      </c>
      <c r="T4" s="310" t="s">
        <v>223</v>
      </c>
      <c r="U4" s="310" t="s">
        <v>223</v>
      </c>
      <c r="V4" s="310" t="s">
        <v>229</v>
      </c>
      <c r="W4" s="310" t="s">
        <v>229</v>
      </c>
      <c r="X4" s="310" t="s">
        <v>229</v>
      </c>
      <c r="Y4" s="311" t="s">
        <v>230</v>
      </c>
      <c r="Z4" s="312" t="s">
        <v>223</v>
      </c>
      <c r="AA4" s="310" t="s">
        <v>229</v>
      </c>
      <c r="AB4" s="310" t="s">
        <v>231</v>
      </c>
      <c r="AC4" s="310" t="s">
        <v>222</v>
      </c>
      <c r="AD4" s="310" t="s">
        <v>232</v>
      </c>
      <c r="AE4" s="323" t="s">
        <v>223</v>
      </c>
      <c r="AF4" s="308" t="s">
        <v>233</v>
      </c>
      <c r="AG4" s="316" t="s">
        <v>221</v>
      </c>
      <c r="AH4" s="316" t="s">
        <v>234</v>
      </c>
      <c r="AI4" s="316" t="s">
        <v>235</v>
      </c>
      <c r="AJ4" s="316" t="s">
        <v>234</v>
      </c>
      <c r="AK4" s="313" t="s">
        <v>223</v>
      </c>
      <c r="AL4" s="310" t="s">
        <v>236</v>
      </c>
      <c r="AM4" s="310" t="s">
        <v>222</v>
      </c>
      <c r="AN4" s="311" t="s">
        <v>237</v>
      </c>
      <c r="AO4" s="308" t="s">
        <v>223</v>
      </c>
      <c r="AP4" s="316" t="s">
        <v>222</v>
      </c>
      <c r="AQ4" s="310" t="s">
        <v>231</v>
      </c>
      <c r="AR4" s="310" t="s">
        <v>238</v>
      </c>
      <c r="AS4" s="310" t="s">
        <v>223</v>
      </c>
      <c r="AT4" s="310" t="s">
        <v>229</v>
      </c>
      <c r="AU4" s="314" t="s">
        <v>239</v>
      </c>
      <c r="AV4" s="324" t="s">
        <v>223</v>
      </c>
      <c r="AW4" s="308" t="s">
        <v>223</v>
      </c>
      <c r="AX4" s="310" t="s">
        <v>223</v>
      </c>
      <c r="AY4" s="310" t="s">
        <v>240</v>
      </c>
      <c r="AZ4" s="310"/>
      <c r="BA4" s="311"/>
      <c r="BB4" s="308" t="s">
        <v>64</v>
      </c>
      <c r="BC4" s="310" t="s">
        <v>64</v>
      </c>
      <c r="BD4" s="316" t="s">
        <v>68</v>
      </c>
      <c r="BE4" s="325" t="s">
        <v>68</v>
      </c>
      <c r="BF4" s="316" t="s">
        <v>68</v>
      </c>
      <c r="BG4" s="316" t="s">
        <v>68</v>
      </c>
      <c r="BH4" s="316" t="s">
        <v>68</v>
      </c>
      <c r="BI4" s="316" t="s">
        <v>68</v>
      </c>
      <c r="BJ4" s="316" t="s">
        <v>72</v>
      </c>
      <c r="BK4" s="316" t="s">
        <v>72</v>
      </c>
      <c r="BL4" s="316" t="s">
        <v>72</v>
      </c>
      <c r="BM4" s="316" t="s">
        <v>72</v>
      </c>
      <c r="BN4" s="316" t="s">
        <v>72</v>
      </c>
      <c r="BO4" s="316" t="s">
        <v>72</v>
      </c>
      <c r="BP4" s="316" t="s">
        <v>72</v>
      </c>
    </row>
    <row r="5">
      <c r="A5" s="326" t="s">
        <v>241</v>
      </c>
      <c r="B5" s="327"/>
      <c r="C5" s="328"/>
      <c r="D5" s="329"/>
      <c r="E5" s="305"/>
      <c r="F5" s="305"/>
      <c r="G5" s="305"/>
      <c r="H5" s="330"/>
      <c r="I5" s="331"/>
      <c r="J5" s="332" t="s">
        <v>242</v>
      </c>
      <c r="K5" s="332" t="s">
        <v>243</v>
      </c>
      <c r="L5" s="332" t="s">
        <v>244</v>
      </c>
      <c r="M5" s="333" t="s">
        <v>245</v>
      </c>
      <c r="N5" s="332" t="s">
        <v>246</v>
      </c>
      <c r="O5" s="334" t="s">
        <v>247</v>
      </c>
      <c r="P5" s="334" t="s">
        <v>248</v>
      </c>
      <c r="Q5" s="334" t="s">
        <v>246</v>
      </c>
      <c r="R5" s="334" t="s">
        <v>249</v>
      </c>
      <c r="S5" s="335" t="s">
        <v>250</v>
      </c>
      <c r="T5" s="334" t="s">
        <v>248</v>
      </c>
      <c r="U5" s="334"/>
      <c r="V5" s="335" t="s">
        <v>250</v>
      </c>
      <c r="W5" s="334" t="s">
        <v>251</v>
      </c>
      <c r="X5" s="334" t="s">
        <v>247</v>
      </c>
      <c r="Y5" s="336" t="s">
        <v>252</v>
      </c>
      <c r="Z5" s="332" t="s">
        <v>249</v>
      </c>
      <c r="AA5" s="334" t="s">
        <v>251</v>
      </c>
      <c r="AB5" s="334" t="s">
        <v>251</v>
      </c>
      <c r="AC5" s="334" t="s">
        <v>137</v>
      </c>
      <c r="AD5" s="334" t="s">
        <v>243</v>
      </c>
      <c r="AE5" s="336" t="s">
        <v>243</v>
      </c>
      <c r="AF5" s="332"/>
      <c r="AG5" s="334"/>
      <c r="AH5" s="334"/>
      <c r="AI5" s="334"/>
      <c r="AJ5" s="334"/>
      <c r="AK5" s="337"/>
      <c r="AL5" s="334"/>
      <c r="AM5" s="334"/>
      <c r="AN5" s="336"/>
      <c r="AO5" s="332"/>
      <c r="AP5" s="334"/>
      <c r="AQ5" s="334"/>
      <c r="AR5" s="334"/>
      <c r="AS5" s="334"/>
      <c r="AT5" s="334"/>
      <c r="AU5" s="330"/>
      <c r="AV5" s="338"/>
      <c r="AW5" s="332"/>
      <c r="AX5" s="334"/>
      <c r="AY5" s="334"/>
      <c r="AZ5" s="334"/>
      <c r="BA5" s="336"/>
      <c r="BB5" s="332"/>
      <c r="BC5" s="334"/>
      <c r="BD5" s="334"/>
      <c r="BE5" s="334"/>
      <c r="BF5" s="334"/>
      <c r="BG5" s="334"/>
      <c r="BH5" s="334"/>
      <c r="BI5" s="334"/>
      <c r="BJ5" s="334"/>
      <c r="BK5" s="334"/>
      <c r="BL5" s="334"/>
      <c r="BM5" s="334"/>
      <c r="BN5" s="334"/>
      <c r="BO5" s="334"/>
      <c r="BP5" s="334"/>
    </row>
    <row r="6">
      <c r="A6" s="339" t="s">
        <v>253</v>
      </c>
      <c r="B6" s="340" t="s">
        <v>254</v>
      </c>
      <c r="C6" s="341" t="s">
        <v>255</v>
      </c>
      <c r="D6" s="341" t="s">
        <v>256</v>
      </c>
      <c r="E6" s="342">
        <v>4.0</v>
      </c>
      <c r="F6" s="343">
        <f t="shared" ref="F6:F21" si="3">IF(E6&gt;0, E6-G6, "-")</f>
        <v>4</v>
      </c>
      <c r="G6" s="344">
        <f t="shared" ref="G6:G17" si="4">SUM(J6:BP6)</f>
        <v>0</v>
      </c>
      <c r="H6" s="345"/>
      <c r="I6" s="346"/>
      <c r="J6" s="347"/>
      <c r="K6" s="347"/>
      <c r="L6" s="347"/>
      <c r="M6" s="348"/>
      <c r="N6" s="349"/>
      <c r="O6" s="350"/>
      <c r="P6" s="350"/>
      <c r="Q6" s="350"/>
      <c r="R6" s="350"/>
      <c r="S6" s="350"/>
      <c r="T6" s="350"/>
      <c r="U6" s="350"/>
      <c r="V6" s="350"/>
      <c r="W6" s="350"/>
      <c r="X6" s="350"/>
      <c r="Y6" s="351"/>
      <c r="Z6" s="352"/>
      <c r="AA6" s="353"/>
      <c r="AB6" s="353"/>
      <c r="AC6" s="353"/>
      <c r="AD6" s="353"/>
      <c r="AE6" s="354"/>
      <c r="AF6" s="347"/>
      <c r="AG6" s="355"/>
      <c r="AH6" s="355"/>
      <c r="AI6" s="355"/>
      <c r="AJ6" s="355"/>
      <c r="AK6" s="353"/>
      <c r="AL6" s="350"/>
      <c r="AM6" s="350"/>
      <c r="AN6" s="351"/>
      <c r="AO6" s="347"/>
      <c r="AP6" s="355"/>
      <c r="AQ6" s="353"/>
      <c r="AR6" s="353"/>
      <c r="AS6" s="353"/>
      <c r="AT6" s="353"/>
      <c r="AU6" s="356"/>
      <c r="AV6" s="357"/>
      <c r="AW6" s="347"/>
      <c r="AX6" s="353"/>
      <c r="AY6" s="353"/>
      <c r="AZ6" s="353"/>
      <c r="BA6" s="358"/>
      <c r="BB6" s="347"/>
      <c r="BC6" s="355"/>
      <c r="BD6" s="355"/>
      <c r="BE6" s="355"/>
      <c r="BF6" s="359"/>
      <c r="BG6" s="359"/>
      <c r="BH6" s="359"/>
      <c r="BI6" s="359"/>
      <c r="BJ6" s="355"/>
      <c r="BK6" s="355"/>
      <c r="BL6" s="355"/>
      <c r="BM6" s="355"/>
      <c r="BN6" s="355"/>
      <c r="BO6" s="355"/>
      <c r="BP6" s="355"/>
    </row>
    <row r="7">
      <c r="A7" s="292"/>
      <c r="B7" s="360" t="s">
        <v>257</v>
      </c>
      <c r="C7" s="361" t="s">
        <v>255</v>
      </c>
      <c r="D7" s="361" t="s">
        <v>258</v>
      </c>
      <c r="E7" s="362">
        <v>1.0</v>
      </c>
      <c r="F7" s="363">
        <f t="shared" si="3"/>
        <v>1</v>
      </c>
      <c r="G7" s="364">
        <f t="shared" si="4"/>
        <v>0</v>
      </c>
      <c r="H7" s="365"/>
      <c r="I7" s="307"/>
      <c r="J7" s="366"/>
      <c r="K7" s="366"/>
      <c r="L7" s="366"/>
      <c r="M7" s="367"/>
      <c r="N7" s="368"/>
      <c r="O7" s="369"/>
      <c r="P7" s="369"/>
      <c r="Q7" s="369"/>
      <c r="R7" s="369"/>
      <c r="S7" s="369"/>
      <c r="T7" s="369"/>
      <c r="U7" s="369"/>
      <c r="V7" s="369"/>
      <c r="W7" s="369"/>
      <c r="X7" s="369"/>
      <c r="Y7" s="370"/>
      <c r="Z7" s="371"/>
      <c r="AA7" s="372"/>
      <c r="AB7" s="372"/>
      <c r="AC7" s="372"/>
      <c r="AD7" s="372"/>
      <c r="AE7" s="373"/>
      <c r="AF7" s="374"/>
      <c r="AG7" s="375"/>
      <c r="AH7" s="375"/>
      <c r="AI7" s="375"/>
      <c r="AJ7" s="375"/>
      <c r="AK7" s="372"/>
      <c r="AL7" s="369"/>
      <c r="AM7" s="369"/>
      <c r="AN7" s="370"/>
      <c r="AO7" s="374"/>
      <c r="AP7" s="375"/>
      <c r="AQ7" s="372"/>
      <c r="AR7" s="372"/>
      <c r="AS7" s="372"/>
      <c r="AT7" s="372"/>
      <c r="AU7" s="376"/>
      <c r="AV7" s="377"/>
      <c r="AW7" s="374"/>
      <c r="AX7" s="372"/>
      <c r="AY7" s="372"/>
      <c r="AZ7" s="372"/>
      <c r="BA7" s="378"/>
      <c r="BB7" s="374"/>
      <c r="BC7" s="375"/>
      <c r="BD7" s="375"/>
      <c r="BE7" s="375"/>
      <c r="BF7" s="316"/>
      <c r="BG7" s="316"/>
      <c r="BH7" s="316"/>
      <c r="BI7" s="316"/>
      <c r="BJ7" s="375"/>
      <c r="BK7" s="375"/>
      <c r="BL7" s="375"/>
      <c r="BM7" s="375"/>
      <c r="BN7" s="375"/>
      <c r="BO7" s="375"/>
      <c r="BP7" s="375"/>
    </row>
    <row r="8">
      <c r="A8" s="292"/>
      <c r="B8" s="360" t="s">
        <v>259</v>
      </c>
      <c r="C8" s="361" t="s">
        <v>255</v>
      </c>
      <c r="D8" s="361" t="s">
        <v>258</v>
      </c>
      <c r="E8" s="362">
        <v>1.0</v>
      </c>
      <c r="F8" s="363">
        <f t="shared" si="3"/>
        <v>1</v>
      </c>
      <c r="G8" s="364">
        <f t="shared" si="4"/>
        <v>0</v>
      </c>
      <c r="H8" s="365"/>
      <c r="I8" s="307"/>
      <c r="J8" s="366"/>
      <c r="K8" s="366"/>
      <c r="L8" s="366"/>
      <c r="M8" s="367"/>
      <c r="N8" s="371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8"/>
      <c r="Z8" s="371"/>
      <c r="AA8" s="372"/>
      <c r="AB8" s="372"/>
      <c r="AC8" s="372"/>
      <c r="AD8" s="372"/>
      <c r="AE8" s="373"/>
      <c r="AF8" s="374"/>
      <c r="AG8" s="375"/>
      <c r="AH8" s="375"/>
      <c r="AI8" s="375"/>
      <c r="AJ8" s="375"/>
      <c r="AK8" s="372"/>
      <c r="AL8" s="372"/>
      <c r="AM8" s="372"/>
      <c r="AN8" s="378"/>
      <c r="AO8" s="374"/>
      <c r="AP8" s="375"/>
      <c r="AQ8" s="372"/>
      <c r="AR8" s="372"/>
      <c r="AS8" s="372"/>
      <c r="AT8" s="372"/>
      <c r="AU8" s="376"/>
      <c r="AV8" s="377"/>
      <c r="AW8" s="374"/>
      <c r="AX8" s="372"/>
      <c r="AY8" s="372"/>
      <c r="AZ8" s="372"/>
      <c r="BA8" s="378"/>
      <c r="BB8" s="374"/>
      <c r="BC8" s="375"/>
      <c r="BD8" s="375"/>
      <c r="BE8" s="375"/>
      <c r="BF8" s="316"/>
      <c r="BG8" s="316"/>
      <c r="BH8" s="316"/>
      <c r="BI8" s="316"/>
      <c r="BJ8" s="375"/>
      <c r="BK8" s="375"/>
      <c r="BL8" s="375"/>
      <c r="BM8" s="375"/>
      <c r="BN8" s="375"/>
      <c r="BO8" s="375"/>
      <c r="BP8" s="375"/>
    </row>
    <row r="9">
      <c r="A9" s="292"/>
      <c r="B9" s="379" t="s">
        <v>260</v>
      </c>
      <c r="C9" s="361" t="s">
        <v>255</v>
      </c>
      <c r="D9" s="361" t="s">
        <v>256</v>
      </c>
      <c r="E9" s="362">
        <v>4.0</v>
      </c>
      <c r="F9" s="363">
        <f t="shared" si="3"/>
        <v>4</v>
      </c>
      <c r="G9" s="364">
        <f t="shared" si="4"/>
        <v>0</v>
      </c>
      <c r="H9" s="365"/>
      <c r="I9" s="307"/>
      <c r="J9" s="366"/>
      <c r="K9" s="366"/>
      <c r="L9" s="366"/>
      <c r="M9" s="367"/>
      <c r="N9" s="368"/>
      <c r="O9" s="369"/>
      <c r="P9" s="369"/>
      <c r="Q9" s="369"/>
      <c r="R9" s="369"/>
      <c r="S9" s="369"/>
      <c r="T9" s="369"/>
      <c r="U9" s="369"/>
      <c r="V9" s="369"/>
      <c r="W9" s="369"/>
      <c r="X9" s="369"/>
      <c r="Y9" s="370"/>
      <c r="Z9" s="368"/>
      <c r="AA9" s="369"/>
      <c r="AB9" s="369"/>
      <c r="AC9" s="369"/>
      <c r="AD9" s="369"/>
      <c r="AE9" s="373"/>
      <c r="AF9" s="374"/>
      <c r="AG9" s="375"/>
      <c r="AH9" s="375"/>
      <c r="AI9" s="375"/>
      <c r="AJ9" s="375"/>
      <c r="AK9" s="369"/>
      <c r="AL9" s="369"/>
      <c r="AM9" s="369"/>
      <c r="AN9" s="370"/>
      <c r="AO9" s="374"/>
      <c r="AP9" s="375"/>
      <c r="AQ9" s="369"/>
      <c r="AR9" s="369"/>
      <c r="AS9" s="369"/>
      <c r="AT9" s="369"/>
      <c r="AU9" s="380"/>
      <c r="AV9" s="377"/>
      <c r="AW9" s="374"/>
      <c r="AX9" s="369"/>
      <c r="AY9" s="369"/>
      <c r="AZ9" s="369"/>
      <c r="BA9" s="370"/>
      <c r="BB9" s="374"/>
      <c r="BC9" s="381"/>
      <c r="BD9" s="375"/>
      <c r="BE9" s="381"/>
      <c r="BF9" s="316"/>
      <c r="BG9" s="316"/>
      <c r="BH9" s="316"/>
      <c r="BI9" s="316"/>
      <c r="BJ9" s="375"/>
      <c r="BK9" s="381"/>
      <c r="BL9" s="375"/>
      <c r="BM9" s="375"/>
      <c r="BN9" s="375"/>
      <c r="BO9" s="375"/>
      <c r="BP9" s="375"/>
    </row>
    <row r="10">
      <c r="A10" s="292"/>
      <c r="B10" s="379" t="s">
        <v>261</v>
      </c>
      <c r="C10" s="361" t="s">
        <v>255</v>
      </c>
      <c r="D10" s="361" t="s">
        <v>258</v>
      </c>
      <c r="E10" s="382">
        <v>1.0</v>
      </c>
      <c r="F10" s="363">
        <f t="shared" si="3"/>
        <v>1</v>
      </c>
      <c r="G10" s="364">
        <f t="shared" si="4"/>
        <v>0</v>
      </c>
      <c r="H10" s="365"/>
      <c r="I10" s="307"/>
      <c r="J10" s="366"/>
      <c r="K10" s="366"/>
      <c r="L10" s="366"/>
      <c r="M10" s="367"/>
      <c r="N10" s="368"/>
      <c r="O10" s="369"/>
      <c r="P10" s="369"/>
      <c r="Q10" s="369"/>
      <c r="R10" s="369"/>
      <c r="S10" s="369"/>
      <c r="T10" s="369"/>
      <c r="U10" s="369"/>
      <c r="V10" s="369"/>
      <c r="W10" s="369"/>
      <c r="X10" s="369"/>
      <c r="Y10" s="370"/>
      <c r="Z10" s="368"/>
      <c r="AA10" s="369"/>
      <c r="AB10" s="369"/>
      <c r="AC10" s="369"/>
      <c r="AD10" s="369"/>
      <c r="AE10" s="373"/>
      <c r="AF10" s="374"/>
      <c r="AG10" s="375"/>
      <c r="AH10" s="375"/>
      <c r="AI10" s="375"/>
      <c r="AJ10" s="375"/>
      <c r="AK10" s="369"/>
      <c r="AL10" s="369"/>
      <c r="AM10" s="369"/>
      <c r="AN10" s="370"/>
      <c r="AO10" s="374"/>
      <c r="AP10" s="375"/>
      <c r="AQ10" s="369"/>
      <c r="AR10" s="369"/>
      <c r="AS10" s="369"/>
      <c r="AT10" s="369"/>
      <c r="AU10" s="380"/>
      <c r="AV10" s="377"/>
      <c r="AW10" s="374"/>
      <c r="AX10" s="369"/>
      <c r="AY10" s="369"/>
      <c r="AZ10" s="369"/>
      <c r="BA10" s="370"/>
      <c r="BB10" s="374"/>
      <c r="BC10" s="381"/>
      <c r="BD10" s="375"/>
      <c r="BE10" s="381"/>
      <c r="BF10" s="316"/>
      <c r="BG10" s="316"/>
      <c r="BH10" s="316"/>
      <c r="BI10" s="316"/>
      <c r="BJ10" s="375"/>
      <c r="BK10" s="381"/>
      <c r="BL10" s="375"/>
      <c r="BM10" s="375"/>
      <c r="BN10" s="375"/>
      <c r="BO10" s="375"/>
      <c r="BP10" s="375"/>
    </row>
    <row r="11">
      <c r="A11" s="292"/>
      <c r="B11" s="379" t="s">
        <v>262</v>
      </c>
      <c r="C11" s="361" t="s">
        <v>255</v>
      </c>
      <c r="D11" s="361" t="s">
        <v>263</v>
      </c>
      <c r="E11" s="382">
        <v>9.0</v>
      </c>
      <c r="F11" s="363">
        <f t="shared" si="3"/>
        <v>9</v>
      </c>
      <c r="G11" s="364">
        <f t="shared" si="4"/>
        <v>0</v>
      </c>
      <c r="H11" s="365"/>
      <c r="I11" s="307"/>
      <c r="J11" s="366"/>
      <c r="K11" s="366"/>
      <c r="L11" s="366"/>
      <c r="M11" s="367"/>
      <c r="N11" s="368"/>
      <c r="O11" s="369"/>
      <c r="P11" s="369"/>
      <c r="Q11" s="369"/>
      <c r="R11" s="369"/>
      <c r="S11" s="369"/>
      <c r="T11" s="369"/>
      <c r="U11" s="369"/>
      <c r="V11" s="369"/>
      <c r="W11" s="369"/>
      <c r="X11" s="369"/>
      <c r="Y11" s="370"/>
      <c r="Z11" s="368"/>
      <c r="AA11" s="369"/>
      <c r="AB11" s="369"/>
      <c r="AC11" s="369"/>
      <c r="AD11" s="369"/>
      <c r="AE11" s="373"/>
      <c r="AF11" s="374"/>
      <c r="AG11" s="375"/>
      <c r="AH11" s="375"/>
      <c r="AI11" s="375"/>
      <c r="AJ11" s="375"/>
      <c r="AK11" s="369"/>
      <c r="AL11" s="369"/>
      <c r="AM11" s="369"/>
      <c r="AN11" s="370"/>
      <c r="AO11" s="374"/>
      <c r="AP11" s="375"/>
      <c r="AQ11" s="369"/>
      <c r="AR11" s="369"/>
      <c r="AS11" s="369"/>
      <c r="AT11" s="369"/>
      <c r="AU11" s="380"/>
      <c r="AV11" s="377"/>
      <c r="AW11" s="374"/>
      <c r="AX11" s="369"/>
      <c r="AY11" s="369"/>
      <c r="AZ11" s="369"/>
      <c r="BA11" s="370"/>
      <c r="BB11" s="374"/>
      <c r="BC11" s="381"/>
      <c r="BD11" s="375"/>
      <c r="BE11" s="381"/>
      <c r="BF11" s="316"/>
      <c r="BG11" s="316"/>
      <c r="BH11" s="316"/>
      <c r="BI11" s="316"/>
      <c r="BJ11" s="375"/>
      <c r="BK11" s="381"/>
      <c r="BL11" s="375"/>
      <c r="BM11" s="375"/>
      <c r="BN11" s="375"/>
      <c r="BO11" s="375"/>
      <c r="BP11" s="375"/>
    </row>
    <row r="12">
      <c r="A12" s="292"/>
      <c r="B12" s="379" t="s">
        <v>264</v>
      </c>
      <c r="C12" s="361" t="s">
        <v>255</v>
      </c>
      <c r="D12" s="361" t="s">
        <v>258</v>
      </c>
      <c r="E12" s="382">
        <v>1.0</v>
      </c>
      <c r="F12" s="363">
        <f t="shared" si="3"/>
        <v>1</v>
      </c>
      <c r="G12" s="364">
        <f t="shared" si="4"/>
        <v>0</v>
      </c>
      <c r="H12" s="365"/>
      <c r="I12" s="307"/>
      <c r="J12" s="366"/>
      <c r="K12" s="366"/>
      <c r="L12" s="366"/>
      <c r="M12" s="367"/>
      <c r="N12" s="368"/>
      <c r="O12" s="369"/>
      <c r="P12" s="369"/>
      <c r="Q12" s="369"/>
      <c r="R12" s="369"/>
      <c r="S12" s="369"/>
      <c r="T12" s="369"/>
      <c r="U12" s="369"/>
      <c r="V12" s="369"/>
      <c r="W12" s="369"/>
      <c r="X12" s="369"/>
      <c r="Y12" s="370"/>
      <c r="Z12" s="371"/>
      <c r="AA12" s="372"/>
      <c r="AB12" s="372"/>
      <c r="AC12" s="372"/>
      <c r="AD12" s="372"/>
      <c r="AE12" s="373"/>
      <c r="AF12" s="374"/>
      <c r="AG12" s="375"/>
      <c r="AH12" s="375"/>
      <c r="AI12" s="375"/>
      <c r="AJ12" s="375"/>
      <c r="AK12" s="372"/>
      <c r="AL12" s="369"/>
      <c r="AM12" s="369"/>
      <c r="AN12" s="370"/>
      <c r="AO12" s="374"/>
      <c r="AP12" s="375"/>
      <c r="AQ12" s="372"/>
      <c r="AR12" s="372"/>
      <c r="AS12" s="372"/>
      <c r="AT12" s="372"/>
      <c r="AU12" s="376"/>
      <c r="AV12" s="377"/>
      <c r="AW12" s="374"/>
      <c r="AX12" s="372"/>
      <c r="AY12" s="372"/>
      <c r="AZ12" s="372"/>
      <c r="BA12" s="378"/>
      <c r="BB12" s="366"/>
      <c r="BC12" s="381"/>
      <c r="BD12" s="381"/>
      <c r="BE12" s="375"/>
      <c r="BF12" s="316"/>
      <c r="BG12" s="316"/>
      <c r="BH12" s="316"/>
      <c r="BI12" s="316"/>
      <c r="BJ12" s="381"/>
      <c r="BK12" s="375"/>
      <c r="BL12" s="381"/>
      <c r="BM12" s="381"/>
      <c r="BN12" s="381"/>
      <c r="BO12" s="381"/>
      <c r="BP12" s="381"/>
    </row>
    <row r="13">
      <c r="A13" s="292"/>
      <c r="B13" s="379" t="s">
        <v>265</v>
      </c>
      <c r="C13" s="361" t="s">
        <v>255</v>
      </c>
      <c r="D13" s="361" t="s">
        <v>258</v>
      </c>
      <c r="E13" s="382">
        <v>1.0</v>
      </c>
      <c r="F13" s="363">
        <f t="shared" si="3"/>
        <v>1</v>
      </c>
      <c r="G13" s="364">
        <f t="shared" si="4"/>
        <v>0</v>
      </c>
      <c r="H13" s="380"/>
      <c r="I13" s="307"/>
      <c r="J13" s="368"/>
      <c r="K13" s="368"/>
      <c r="L13" s="368"/>
      <c r="M13" s="383"/>
      <c r="N13" s="368"/>
      <c r="O13" s="369"/>
      <c r="P13" s="369"/>
      <c r="Q13" s="369"/>
      <c r="R13" s="369"/>
      <c r="S13" s="369"/>
      <c r="T13" s="369"/>
      <c r="U13" s="369"/>
      <c r="V13" s="369"/>
      <c r="W13" s="369"/>
      <c r="X13" s="369"/>
      <c r="Y13" s="370"/>
      <c r="Z13" s="368"/>
      <c r="AA13" s="369"/>
      <c r="AB13" s="369"/>
      <c r="AC13" s="369"/>
      <c r="AD13" s="369"/>
      <c r="AE13" s="384"/>
      <c r="AF13" s="385"/>
      <c r="AG13" s="386"/>
      <c r="AH13" s="386"/>
      <c r="AI13" s="386"/>
      <c r="AJ13" s="386"/>
      <c r="AK13" s="369"/>
      <c r="AL13" s="369"/>
      <c r="AM13" s="369"/>
      <c r="AN13" s="370"/>
      <c r="AO13" s="385"/>
      <c r="AP13" s="386"/>
      <c r="AQ13" s="369"/>
      <c r="AR13" s="369"/>
      <c r="AS13" s="369"/>
      <c r="AT13" s="369"/>
      <c r="AU13" s="380"/>
      <c r="AV13" s="387"/>
      <c r="AW13" s="385"/>
      <c r="AX13" s="369"/>
      <c r="AY13" s="369"/>
      <c r="AZ13" s="369"/>
      <c r="BA13" s="370"/>
      <c r="BB13" s="385"/>
      <c r="BC13" s="381"/>
      <c r="BD13" s="386"/>
      <c r="BE13" s="386"/>
      <c r="BF13" s="316"/>
      <c r="BG13" s="316"/>
      <c r="BH13" s="316"/>
      <c r="BI13" s="316"/>
      <c r="BJ13" s="386"/>
      <c r="BK13" s="386"/>
      <c r="BL13" s="386"/>
      <c r="BM13" s="386"/>
      <c r="BN13" s="386"/>
      <c r="BO13" s="386"/>
      <c r="BP13" s="386"/>
    </row>
    <row r="14">
      <c r="A14" s="292"/>
      <c r="B14" s="379" t="s">
        <v>266</v>
      </c>
      <c r="C14" s="361" t="s">
        <v>255</v>
      </c>
      <c r="D14" s="361" t="s">
        <v>263</v>
      </c>
      <c r="E14" s="382">
        <v>9.0</v>
      </c>
      <c r="F14" s="363">
        <f t="shared" si="3"/>
        <v>9</v>
      </c>
      <c r="G14" s="364">
        <f t="shared" si="4"/>
        <v>0</v>
      </c>
      <c r="H14" s="380"/>
      <c r="I14" s="307"/>
      <c r="J14" s="368"/>
      <c r="K14" s="368"/>
      <c r="L14" s="368"/>
      <c r="M14" s="383"/>
      <c r="N14" s="368"/>
      <c r="O14" s="369"/>
      <c r="P14" s="369"/>
      <c r="Q14" s="369"/>
      <c r="R14" s="369"/>
      <c r="S14" s="369"/>
      <c r="T14" s="369"/>
      <c r="U14" s="369"/>
      <c r="V14" s="369"/>
      <c r="W14" s="369"/>
      <c r="X14" s="369"/>
      <c r="Y14" s="370"/>
      <c r="Z14" s="368"/>
      <c r="AA14" s="369"/>
      <c r="AB14" s="369"/>
      <c r="AC14" s="369"/>
      <c r="AD14" s="369"/>
      <c r="AE14" s="384"/>
      <c r="AF14" s="385"/>
      <c r="AG14" s="386"/>
      <c r="AH14" s="386"/>
      <c r="AI14" s="386"/>
      <c r="AJ14" s="386"/>
      <c r="AK14" s="369"/>
      <c r="AL14" s="369"/>
      <c r="AM14" s="369"/>
      <c r="AN14" s="370"/>
      <c r="AO14" s="385"/>
      <c r="AP14" s="386"/>
      <c r="AQ14" s="369"/>
      <c r="AR14" s="369"/>
      <c r="AS14" s="369"/>
      <c r="AT14" s="369"/>
      <c r="AU14" s="380"/>
      <c r="AV14" s="387"/>
      <c r="AW14" s="385"/>
      <c r="AX14" s="369"/>
      <c r="AY14" s="369"/>
      <c r="AZ14" s="369"/>
      <c r="BA14" s="370"/>
      <c r="BB14" s="385"/>
      <c r="BC14" s="381"/>
      <c r="BD14" s="386"/>
      <c r="BE14" s="386"/>
      <c r="BF14" s="316"/>
      <c r="BG14" s="316"/>
      <c r="BH14" s="316"/>
      <c r="BI14" s="316"/>
      <c r="BJ14" s="386"/>
      <c r="BK14" s="386"/>
      <c r="BL14" s="386"/>
      <c r="BM14" s="386"/>
      <c r="BN14" s="386"/>
      <c r="BO14" s="386"/>
      <c r="BP14" s="386"/>
    </row>
    <row r="15">
      <c r="A15" s="292"/>
      <c r="B15" s="379" t="s">
        <v>267</v>
      </c>
      <c r="C15" s="361" t="s">
        <v>255</v>
      </c>
      <c r="D15" s="361" t="s">
        <v>268</v>
      </c>
      <c r="E15" s="362">
        <v>-1.0</v>
      </c>
      <c r="F15" s="363" t="str">
        <f t="shared" si="3"/>
        <v>-</v>
      </c>
      <c r="G15" s="364">
        <f t="shared" si="4"/>
        <v>0</v>
      </c>
      <c r="H15" s="380"/>
      <c r="I15" s="307"/>
      <c r="J15" s="368"/>
      <c r="K15" s="368"/>
      <c r="L15" s="368"/>
      <c r="M15" s="383"/>
      <c r="N15" s="368"/>
      <c r="O15" s="369"/>
      <c r="P15" s="369"/>
      <c r="Q15" s="369"/>
      <c r="R15" s="369"/>
      <c r="S15" s="369"/>
      <c r="T15" s="369"/>
      <c r="U15" s="369"/>
      <c r="V15" s="369"/>
      <c r="W15" s="369"/>
      <c r="X15" s="369"/>
      <c r="Y15" s="370"/>
      <c r="Z15" s="368"/>
      <c r="AA15" s="369"/>
      <c r="AB15" s="369"/>
      <c r="AC15" s="369"/>
      <c r="AD15" s="369"/>
      <c r="AE15" s="384"/>
      <c r="AF15" s="385"/>
      <c r="AG15" s="386"/>
      <c r="AH15" s="386"/>
      <c r="AI15" s="386"/>
      <c r="AJ15" s="386"/>
      <c r="AK15" s="369"/>
      <c r="AL15" s="369"/>
      <c r="AM15" s="369"/>
      <c r="AN15" s="370"/>
      <c r="AO15" s="385"/>
      <c r="AP15" s="386"/>
      <c r="AQ15" s="369"/>
      <c r="AR15" s="369"/>
      <c r="AS15" s="369"/>
      <c r="AT15" s="369"/>
      <c r="AU15" s="380"/>
      <c r="AV15" s="387"/>
      <c r="AW15" s="385"/>
      <c r="AX15" s="369"/>
      <c r="AY15" s="369"/>
      <c r="AZ15" s="369"/>
      <c r="BA15" s="370"/>
      <c r="BB15" s="385"/>
      <c r="BC15" s="381"/>
      <c r="BD15" s="386"/>
      <c r="BE15" s="386"/>
      <c r="BF15" s="316"/>
      <c r="BG15" s="316"/>
      <c r="BH15" s="316"/>
      <c r="BI15" s="316"/>
      <c r="BJ15" s="386"/>
      <c r="BK15" s="386"/>
      <c r="BL15" s="386"/>
      <c r="BM15" s="386"/>
      <c r="BN15" s="386"/>
      <c r="BO15" s="386"/>
      <c r="BP15" s="386"/>
    </row>
    <row r="16">
      <c r="A16" s="292"/>
      <c r="B16" s="379" t="s">
        <v>269</v>
      </c>
      <c r="C16" s="361" t="s">
        <v>255</v>
      </c>
      <c r="D16" s="361" t="s">
        <v>270</v>
      </c>
      <c r="E16" s="362">
        <v>-1.0</v>
      </c>
      <c r="F16" s="363" t="str">
        <f t="shared" si="3"/>
        <v>-</v>
      </c>
      <c r="G16" s="364">
        <f t="shared" si="4"/>
        <v>0</v>
      </c>
      <c r="H16" s="380"/>
      <c r="I16" s="307"/>
      <c r="J16" s="368"/>
      <c r="K16" s="368"/>
      <c r="L16" s="368"/>
      <c r="M16" s="383"/>
      <c r="N16" s="368"/>
      <c r="O16" s="369"/>
      <c r="P16" s="369"/>
      <c r="Q16" s="369"/>
      <c r="R16" s="369"/>
      <c r="S16" s="369"/>
      <c r="T16" s="369"/>
      <c r="U16" s="369"/>
      <c r="V16" s="369"/>
      <c r="W16" s="369"/>
      <c r="X16" s="369"/>
      <c r="Y16" s="370"/>
      <c r="Z16" s="368"/>
      <c r="AA16" s="369"/>
      <c r="AB16" s="369"/>
      <c r="AC16" s="369"/>
      <c r="AD16" s="369"/>
      <c r="AE16" s="384"/>
      <c r="AF16" s="385"/>
      <c r="AG16" s="386"/>
      <c r="AH16" s="386"/>
      <c r="AI16" s="386"/>
      <c r="AJ16" s="386"/>
      <c r="AK16" s="388"/>
      <c r="AL16" s="369"/>
      <c r="AM16" s="369"/>
      <c r="AN16" s="370"/>
      <c r="AO16" s="385"/>
      <c r="AP16" s="386"/>
      <c r="AQ16" s="369"/>
      <c r="AR16" s="369"/>
      <c r="AS16" s="369"/>
      <c r="AT16" s="369"/>
      <c r="AU16" s="380"/>
      <c r="AV16" s="387"/>
      <c r="AW16" s="385"/>
      <c r="AX16" s="369"/>
      <c r="AY16" s="369"/>
      <c r="AZ16" s="369"/>
      <c r="BA16" s="370"/>
      <c r="BB16" s="385"/>
      <c r="BC16" s="381"/>
      <c r="BD16" s="386"/>
      <c r="BE16" s="386"/>
      <c r="BF16" s="316"/>
      <c r="BG16" s="316"/>
      <c r="BH16" s="316"/>
      <c r="BI16" s="316"/>
      <c r="BJ16" s="386"/>
      <c r="BK16" s="386"/>
      <c r="BL16" s="386"/>
      <c r="BM16" s="386"/>
      <c r="BN16" s="386"/>
      <c r="BO16" s="386"/>
      <c r="BP16" s="386"/>
    </row>
    <row r="17">
      <c r="A17" s="389"/>
      <c r="B17" s="390" t="s">
        <v>271</v>
      </c>
      <c r="C17" s="391" t="s">
        <v>255</v>
      </c>
      <c r="D17" s="391" t="s">
        <v>256</v>
      </c>
      <c r="E17" s="392">
        <v>-1.0</v>
      </c>
      <c r="F17" s="393" t="str">
        <f t="shared" si="3"/>
        <v>-</v>
      </c>
      <c r="G17" s="394">
        <f t="shared" si="4"/>
        <v>0</v>
      </c>
      <c r="H17" s="395"/>
      <c r="I17" s="396"/>
      <c r="J17" s="397"/>
      <c r="K17" s="397"/>
      <c r="L17" s="397"/>
      <c r="M17" s="398"/>
      <c r="N17" s="399"/>
      <c r="O17" s="400"/>
      <c r="P17" s="400"/>
      <c r="Q17" s="400"/>
      <c r="R17" s="400"/>
      <c r="S17" s="400"/>
      <c r="T17" s="400"/>
      <c r="U17" s="400"/>
      <c r="V17" s="400"/>
      <c r="W17" s="400"/>
      <c r="X17" s="400"/>
      <c r="Y17" s="401"/>
      <c r="Z17" s="402"/>
      <c r="AA17" s="403"/>
      <c r="AB17" s="403"/>
      <c r="AC17" s="403"/>
      <c r="AD17" s="403"/>
      <c r="AE17" s="404"/>
      <c r="AF17" s="405"/>
      <c r="AG17" s="406"/>
      <c r="AH17" s="406"/>
      <c r="AI17" s="406"/>
      <c r="AJ17" s="406"/>
      <c r="AK17" s="403"/>
      <c r="AL17" s="400"/>
      <c r="AM17" s="400"/>
      <c r="AN17" s="401"/>
      <c r="AO17" s="405"/>
      <c r="AP17" s="406"/>
      <c r="AQ17" s="403"/>
      <c r="AR17" s="403"/>
      <c r="AS17" s="403"/>
      <c r="AT17" s="403"/>
      <c r="AU17" s="407"/>
      <c r="AV17" s="408"/>
      <c r="AW17" s="405"/>
      <c r="AX17" s="403"/>
      <c r="AY17" s="403"/>
      <c r="AZ17" s="403"/>
      <c r="BA17" s="409"/>
      <c r="BB17" s="405"/>
      <c r="BC17" s="406"/>
      <c r="BD17" s="406"/>
      <c r="BE17" s="406"/>
      <c r="BF17" s="410"/>
      <c r="BG17" s="410"/>
      <c r="BH17" s="410"/>
      <c r="BI17" s="410"/>
      <c r="BJ17" s="406"/>
      <c r="BK17" s="406"/>
      <c r="BL17" s="406"/>
      <c r="BM17" s="406"/>
      <c r="BN17" s="406"/>
      <c r="BO17" s="406"/>
      <c r="BP17" s="406"/>
    </row>
    <row r="18">
      <c r="A18" s="339" t="s">
        <v>272</v>
      </c>
      <c r="B18" s="411" t="s">
        <v>273</v>
      </c>
      <c r="C18" s="412">
        <v>200000.0</v>
      </c>
      <c r="D18" s="341"/>
      <c r="E18" s="342">
        <v>2.0</v>
      </c>
      <c r="F18" s="413">
        <f t="shared" si="3"/>
        <v>2</v>
      </c>
      <c r="G18" s="414">
        <f t="shared" ref="G18:G48" si="5">SUM(H18:BP18)</f>
        <v>0</v>
      </c>
      <c r="H18" s="415"/>
      <c r="I18" s="346"/>
      <c r="J18" s="416"/>
      <c r="K18" s="416"/>
      <c r="L18" s="416"/>
      <c r="M18" s="417"/>
      <c r="N18" s="352"/>
      <c r="O18" s="353"/>
      <c r="P18" s="353"/>
      <c r="Q18" s="353"/>
      <c r="R18" s="353"/>
      <c r="S18" s="353"/>
      <c r="T18" s="353"/>
      <c r="U18" s="353"/>
      <c r="V18" s="353"/>
      <c r="W18" s="353"/>
      <c r="X18" s="353"/>
      <c r="Y18" s="358"/>
      <c r="Z18" s="352"/>
      <c r="AA18" s="353"/>
      <c r="AB18" s="353"/>
      <c r="AC18" s="353"/>
      <c r="AD18" s="353"/>
      <c r="AE18" s="418"/>
      <c r="AF18" s="347"/>
      <c r="AG18" s="355"/>
      <c r="AH18" s="355"/>
      <c r="AI18" s="355"/>
      <c r="AJ18" s="355"/>
      <c r="AK18" s="353"/>
      <c r="AL18" s="353"/>
      <c r="AM18" s="353"/>
      <c r="AN18" s="358"/>
      <c r="AO18" s="416"/>
      <c r="AP18" s="419"/>
      <c r="AQ18" s="353"/>
      <c r="AR18" s="353"/>
      <c r="AS18" s="353"/>
      <c r="AT18" s="353"/>
      <c r="AU18" s="356"/>
      <c r="AV18" s="420"/>
      <c r="AW18" s="416"/>
      <c r="AX18" s="353"/>
      <c r="AY18" s="353"/>
      <c r="AZ18" s="353"/>
      <c r="BA18" s="358"/>
      <c r="BB18" s="347"/>
      <c r="BC18" s="355"/>
      <c r="BD18" s="355"/>
      <c r="BE18" s="355"/>
      <c r="BF18" s="359"/>
      <c r="BG18" s="359"/>
      <c r="BH18" s="359"/>
      <c r="BI18" s="359"/>
      <c r="BJ18" s="355"/>
      <c r="BK18" s="355"/>
      <c r="BL18" s="355"/>
      <c r="BM18" s="355"/>
      <c r="BN18" s="355"/>
      <c r="BO18" s="355"/>
      <c r="BP18" s="355"/>
    </row>
    <row r="19">
      <c r="A19" s="292"/>
      <c r="B19" s="421" t="s">
        <v>274</v>
      </c>
      <c r="C19" s="422">
        <v>250000.0</v>
      </c>
      <c r="D19" s="423"/>
      <c r="E19" s="424">
        <v>2.0</v>
      </c>
      <c r="F19" s="425">
        <f t="shared" si="3"/>
        <v>0</v>
      </c>
      <c r="G19" s="426">
        <f t="shared" si="5"/>
        <v>2</v>
      </c>
      <c r="H19" s="427"/>
      <c r="I19" s="307"/>
      <c r="J19" s="428"/>
      <c r="K19" s="428"/>
      <c r="L19" s="428"/>
      <c r="M19" s="429"/>
      <c r="N19" s="430"/>
      <c r="O19" s="431"/>
      <c r="P19" s="432"/>
      <c r="Q19" s="432"/>
      <c r="R19" s="432"/>
      <c r="S19" s="432"/>
      <c r="T19" s="432"/>
      <c r="U19" s="432"/>
      <c r="V19" s="432"/>
      <c r="W19" s="432"/>
      <c r="X19" s="432"/>
      <c r="Y19" s="433"/>
      <c r="Z19" s="430"/>
      <c r="AA19" s="431"/>
      <c r="AB19" s="431"/>
      <c r="AC19" s="431"/>
      <c r="AD19" s="431"/>
      <c r="AE19" s="434"/>
      <c r="AF19" s="435"/>
      <c r="AG19" s="436"/>
      <c r="AH19" s="436">
        <v>1.0</v>
      </c>
      <c r="AI19" s="437"/>
      <c r="AJ19" s="437"/>
      <c r="AK19" s="431"/>
      <c r="AL19" s="432"/>
      <c r="AM19" s="432"/>
      <c r="AN19" s="433"/>
      <c r="AO19" s="428">
        <v>1.0</v>
      </c>
      <c r="AP19" s="436"/>
      <c r="AQ19" s="431"/>
      <c r="AR19" s="431"/>
      <c r="AS19" s="431"/>
      <c r="AT19" s="431"/>
      <c r="AU19" s="438"/>
      <c r="AV19" s="439"/>
      <c r="AW19" s="428"/>
      <c r="AX19" s="431"/>
      <c r="AY19" s="431"/>
      <c r="AZ19" s="431"/>
      <c r="BA19" s="440"/>
      <c r="BB19" s="428"/>
      <c r="BC19" s="437"/>
      <c r="BD19" s="436"/>
      <c r="BE19" s="437"/>
      <c r="BF19" s="441"/>
      <c r="BG19" s="441"/>
      <c r="BH19" s="441"/>
      <c r="BI19" s="441"/>
      <c r="BJ19" s="436"/>
      <c r="BK19" s="436"/>
      <c r="BL19" s="436"/>
      <c r="BM19" s="436"/>
      <c r="BN19" s="436"/>
      <c r="BO19" s="436"/>
      <c r="BP19" s="436"/>
    </row>
    <row r="20">
      <c r="A20" s="292"/>
      <c r="B20" s="442" t="s">
        <v>275</v>
      </c>
      <c r="C20" s="412">
        <v>250000.0</v>
      </c>
      <c r="D20" s="341"/>
      <c r="E20" s="342">
        <v>2.0</v>
      </c>
      <c r="F20" s="413">
        <f t="shared" si="3"/>
        <v>2</v>
      </c>
      <c r="G20" s="443">
        <f t="shared" si="5"/>
        <v>0</v>
      </c>
      <c r="H20" s="415"/>
      <c r="I20" s="307"/>
      <c r="J20" s="416"/>
      <c r="K20" s="416"/>
      <c r="L20" s="416"/>
      <c r="M20" s="417"/>
      <c r="N20" s="349"/>
      <c r="O20" s="350"/>
      <c r="P20" s="350"/>
      <c r="Q20" s="350"/>
      <c r="R20" s="350"/>
      <c r="S20" s="350"/>
      <c r="T20" s="350"/>
      <c r="U20" s="350"/>
      <c r="V20" s="350"/>
      <c r="W20" s="350"/>
      <c r="X20" s="350"/>
      <c r="Y20" s="351"/>
      <c r="Z20" s="352"/>
      <c r="AA20" s="353"/>
      <c r="AB20" s="353"/>
      <c r="AC20" s="353"/>
      <c r="AD20" s="353"/>
      <c r="AE20" s="354"/>
      <c r="AF20" s="347"/>
      <c r="AG20" s="355"/>
      <c r="AH20" s="355"/>
      <c r="AI20" s="355"/>
      <c r="AJ20" s="355"/>
      <c r="AK20" s="353"/>
      <c r="AL20" s="350"/>
      <c r="AM20" s="350"/>
      <c r="AN20" s="351"/>
      <c r="AO20" s="347"/>
      <c r="AP20" s="355"/>
      <c r="AQ20" s="353"/>
      <c r="AR20" s="353"/>
      <c r="AS20" s="353"/>
      <c r="AT20" s="353"/>
      <c r="AU20" s="356"/>
      <c r="AV20" s="357"/>
      <c r="AW20" s="347"/>
      <c r="AX20" s="353"/>
      <c r="AY20" s="353"/>
      <c r="AZ20" s="353"/>
      <c r="BA20" s="358"/>
      <c r="BB20" s="347"/>
      <c r="BC20" s="355"/>
      <c r="BD20" s="355"/>
      <c r="BE20" s="355"/>
      <c r="BF20" s="359"/>
      <c r="BG20" s="359"/>
      <c r="BH20" s="359"/>
      <c r="BI20" s="359"/>
      <c r="BJ20" s="355"/>
      <c r="BK20" s="355"/>
      <c r="BL20" s="355"/>
      <c r="BM20" s="355"/>
      <c r="BN20" s="355"/>
      <c r="BO20" s="355"/>
      <c r="BP20" s="355"/>
    </row>
    <row r="21">
      <c r="A21" s="292"/>
      <c r="B21" s="444" t="s">
        <v>276</v>
      </c>
      <c r="C21" s="445">
        <v>200000.0</v>
      </c>
      <c r="D21" s="361"/>
      <c r="E21" s="382">
        <v>2.0</v>
      </c>
      <c r="F21" s="363">
        <f t="shared" si="3"/>
        <v>1</v>
      </c>
      <c r="G21" s="414">
        <f t="shared" si="5"/>
        <v>1</v>
      </c>
      <c r="H21" s="365"/>
      <c r="I21" s="307"/>
      <c r="J21" s="366"/>
      <c r="K21" s="366"/>
      <c r="L21" s="366"/>
      <c r="M21" s="367">
        <v>1.0</v>
      </c>
      <c r="N21" s="368"/>
      <c r="O21" s="369"/>
      <c r="P21" s="369"/>
      <c r="Q21" s="369"/>
      <c r="R21" s="369"/>
      <c r="S21" s="369"/>
      <c r="T21" s="369"/>
      <c r="U21" s="369"/>
      <c r="V21" s="369"/>
      <c r="W21" s="369"/>
      <c r="X21" s="369"/>
      <c r="Y21" s="370"/>
      <c r="Z21" s="371"/>
      <c r="AA21" s="372"/>
      <c r="AB21" s="372"/>
      <c r="AC21" s="372"/>
      <c r="AD21" s="372"/>
      <c r="AE21" s="373"/>
      <c r="AF21" s="374"/>
      <c r="AG21" s="375"/>
      <c r="AH21" s="375"/>
      <c r="AI21" s="375"/>
      <c r="AJ21" s="375"/>
      <c r="AK21" s="372"/>
      <c r="AL21" s="369"/>
      <c r="AM21" s="369"/>
      <c r="AN21" s="370"/>
      <c r="AO21" s="374"/>
      <c r="AP21" s="375"/>
      <c r="AQ21" s="372"/>
      <c r="AR21" s="372"/>
      <c r="AS21" s="372"/>
      <c r="AT21" s="372"/>
      <c r="AU21" s="376"/>
      <c r="AV21" s="377"/>
      <c r="AW21" s="374"/>
      <c r="AX21" s="372"/>
      <c r="AY21" s="372"/>
      <c r="AZ21" s="372"/>
      <c r="BA21" s="378"/>
      <c r="BB21" s="374"/>
      <c r="BC21" s="375"/>
      <c r="BD21" s="375"/>
      <c r="BE21" s="375"/>
      <c r="BF21" s="316"/>
      <c r="BG21" s="316"/>
      <c r="BH21" s="316"/>
      <c r="BI21" s="316"/>
      <c r="BJ21" s="375"/>
      <c r="BK21" s="375"/>
      <c r="BL21" s="375"/>
      <c r="BM21" s="375"/>
      <c r="BN21" s="375"/>
      <c r="BO21" s="375"/>
      <c r="BP21" s="375"/>
    </row>
    <row r="22">
      <c r="A22" s="292"/>
      <c r="B22" s="444" t="s">
        <v>277</v>
      </c>
      <c r="C22" s="445">
        <v>300000.0</v>
      </c>
      <c r="D22" s="361"/>
      <c r="E22" s="362">
        <v>2.0</v>
      </c>
      <c r="F22" s="363">
        <v>2.0</v>
      </c>
      <c r="G22" s="414">
        <f t="shared" si="5"/>
        <v>0</v>
      </c>
      <c r="H22" s="365"/>
      <c r="I22" s="307"/>
      <c r="J22" s="366"/>
      <c r="K22" s="366"/>
      <c r="L22" s="366"/>
      <c r="M22" s="367"/>
      <c r="N22" s="371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8"/>
      <c r="Z22" s="368"/>
      <c r="AA22" s="369"/>
      <c r="AB22" s="369"/>
      <c r="AC22" s="369"/>
      <c r="AD22" s="369"/>
      <c r="AE22" s="446"/>
      <c r="AF22" s="374"/>
      <c r="AG22" s="381"/>
      <c r="AH22" s="375"/>
      <c r="AI22" s="375"/>
      <c r="AJ22" s="375"/>
      <c r="AK22" s="372"/>
      <c r="AL22" s="372"/>
      <c r="AM22" s="372"/>
      <c r="AN22" s="378"/>
      <c r="AO22" s="366"/>
      <c r="AP22" s="381"/>
      <c r="AQ22" s="369"/>
      <c r="AR22" s="369"/>
      <c r="AS22" s="369"/>
      <c r="AT22" s="369"/>
      <c r="AU22" s="380"/>
      <c r="AV22" s="447"/>
      <c r="AW22" s="366"/>
      <c r="AX22" s="369"/>
      <c r="AY22" s="369"/>
      <c r="AZ22" s="369"/>
      <c r="BA22" s="370"/>
      <c r="BB22" s="366"/>
      <c r="BC22" s="381"/>
      <c r="BD22" s="381"/>
      <c r="BE22" s="375"/>
      <c r="BF22" s="316"/>
      <c r="BG22" s="316"/>
      <c r="BH22" s="316"/>
      <c r="BI22" s="316"/>
      <c r="BJ22" s="381"/>
      <c r="BK22" s="381"/>
      <c r="BL22" s="381"/>
      <c r="BM22" s="381"/>
      <c r="BN22" s="381"/>
      <c r="BO22" s="381"/>
      <c r="BP22" s="381"/>
    </row>
    <row r="23">
      <c r="A23" s="389"/>
      <c r="B23" s="448" t="s">
        <v>278</v>
      </c>
      <c r="C23" s="449">
        <v>220000.0</v>
      </c>
      <c r="D23" s="450"/>
      <c r="E23" s="451">
        <v>2.0</v>
      </c>
      <c r="F23" s="452">
        <f t="shared" ref="F23:F48" si="6">IF(E23&gt;0, E23-G23, "-")</f>
        <v>2</v>
      </c>
      <c r="G23" s="453">
        <f t="shared" si="5"/>
        <v>0</v>
      </c>
      <c r="H23" s="454"/>
      <c r="I23" s="396"/>
      <c r="J23" s="455"/>
      <c r="K23" s="455"/>
      <c r="L23" s="455"/>
      <c r="M23" s="456"/>
      <c r="N23" s="457"/>
      <c r="O23" s="458"/>
      <c r="P23" s="458"/>
      <c r="Q23" s="458"/>
      <c r="R23" s="458"/>
      <c r="S23" s="458"/>
      <c r="T23" s="458"/>
      <c r="U23" s="458"/>
      <c r="V23" s="458"/>
      <c r="W23" s="458"/>
      <c r="X23" s="458"/>
      <c r="Y23" s="459"/>
      <c r="Z23" s="460"/>
      <c r="AA23" s="461"/>
      <c r="AB23" s="461"/>
      <c r="AC23" s="461"/>
      <c r="AD23" s="461"/>
      <c r="AE23" s="462"/>
      <c r="AF23" s="463"/>
      <c r="AG23" s="464"/>
      <c r="AH23" s="465"/>
      <c r="AI23" s="465"/>
      <c r="AJ23" s="465"/>
      <c r="AK23" s="458"/>
      <c r="AL23" s="458"/>
      <c r="AM23" s="458"/>
      <c r="AN23" s="459"/>
      <c r="AO23" s="455"/>
      <c r="AP23" s="464"/>
      <c r="AQ23" s="461"/>
      <c r="AR23" s="461"/>
      <c r="AS23" s="461"/>
      <c r="AT23" s="461"/>
      <c r="AU23" s="466"/>
      <c r="AV23" s="467"/>
      <c r="AW23" s="455"/>
      <c r="AX23" s="461"/>
      <c r="AY23" s="461"/>
      <c r="AZ23" s="461"/>
      <c r="BA23" s="468"/>
      <c r="BB23" s="455"/>
      <c r="BC23" s="464"/>
      <c r="BD23" s="464"/>
      <c r="BE23" s="465"/>
      <c r="BF23" s="469"/>
      <c r="BG23" s="469"/>
      <c r="BH23" s="469"/>
      <c r="BI23" s="469"/>
      <c r="BJ23" s="464"/>
      <c r="BK23" s="464"/>
      <c r="BL23" s="464"/>
      <c r="BM23" s="464"/>
      <c r="BN23" s="464"/>
      <c r="BO23" s="464"/>
      <c r="BP23" s="464"/>
    </row>
    <row r="24">
      <c r="A24" s="339" t="s">
        <v>279</v>
      </c>
      <c r="B24" s="470" t="s">
        <v>280</v>
      </c>
      <c r="C24" s="471">
        <v>120000.0</v>
      </c>
      <c r="D24" s="472"/>
      <c r="E24" s="473">
        <v>28.0</v>
      </c>
      <c r="F24" s="474">
        <f t="shared" si="6"/>
        <v>8</v>
      </c>
      <c r="G24" s="443">
        <f t="shared" si="5"/>
        <v>20</v>
      </c>
      <c r="H24" s="475"/>
      <c r="I24" s="346"/>
      <c r="J24" s="476"/>
      <c r="K24" s="476">
        <v>1.0</v>
      </c>
      <c r="L24" s="477"/>
      <c r="M24" s="478"/>
      <c r="N24" s="476">
        <v>1.0</v>
      </c>
      <c r="O24" s="477"/>
      <c r="P24" s="477">
        <v>1.0</v>
      </c>
      <c r="Q24" s="477">
        <v>1.0</v>
      </c>
      <c r="R24" s="477"/>
      <c r="S24" s="477">
        <v>1.0</v>
      </c>
      <c r="T24" s="477">
        <v>1.0</v>
      </c>
      <c r="U24" s="477">
        <v>1.0</v>
      </c>
      <c r="V24" s="477">
        <v>1.0</v>
      </c>
      <c r="W24" s="477">
        <v>1.0</v>
      </c>
      <c r="X24" s="477">
        <v>1.0</v>
      </c>
      <c r="Y24" s="479">
        <v>1.0</v>
      </c>
      <c r="Z24" s="476"/>
      <c r="AA24" s="477"/>
      <c r="AB24" s="477"/>
      <c r="AC24" s="477"/>
      <c r="AD24" s="477"/>
      <c r="AE24" s="480"/>
      <c r="AF24" s="481">
        <v>1.0</v>
      </c>
      <c r="AG24" s="482">
        <v>1.0</v>
      </c>
      <c r="AH24" s="482">
        <v>1.0</v>
      </c>
      <c r="AI24" s="482">
        <v>1.0</v>
      </c>
      <c r="AJ24" s="482">
        <v>1.0</v>
      </c>
      <c r="AK24" s="477">
        <v>1.0</v>
      </c>
      <c r="AL24" s="477">
        <v>1.0</v>
      </c>
      <c r="AM24" s="477">
        <v>1.0</v>
      </c>
      <c r="AN24" s="479">
        <v>1.0</v>
      </c>
      <c r="AO24" s="481"/>
      <c r="AP24" s="482"/>
      <c r="AQ24" s="477"/>
      <c r="AR24" s="477"/>
      <c r="AS24" s="477"/>
      <c r="AT24" s="477"/>
      <c r="AU24" s="475"/>
      <c r="AV24" s="483"/>
      <c r="AW24" s="481"/>
      <c r="AX24" s="477"/>
      <c r="AY24" s="477"/>
      <c r="AZ24" s="477"/>
      <c r="BA24" s="479"/>
      <c r="BB24" s="484"/>
      <c r="BC24" s="485"/>
      <c r="BD24" s="485"/>
      <c r="BE24" s="485"/>
      <c r="BF24" s="486"/>
      <c r="BG24" s="486"/>
      <c r="BH24" s="486"/>
      <c r="BI24" s="486"/>
      <c r="BJ24" s="485"/>
      <c r="BK24" s="482"/>
      <c r="BL24" s="485"/>
      <c r="BM24" s="485"/>
      <c r="BN24" s="485"/>
      <c r="BO24" s="485"/>
      <c r="BP24" s="485"/>
    </row>
    <row r="25">
      <c r="A25" s="292"/>
      <c r="B25" s="421" t="s">
        <v>281</v>
      </c>
      <c r="C25" s="422">
        <v>150000.0</v>
      </c>
      <c r="D25" s="423"/>
      <c r="E25" s="424">
        <v>8.0</v>
      </c>
      <c r="F25" s="425">
        <f t="shared" si="6"/>
        <v>6</v>
      </c>
      <c r="G25" s="426">
        <f t="shared" si="5"/>
        <v>2</v>
      </c>
      <c r="H25" s="436"/>
      <c r="I25" s="487"/>
      <c r="J25" s="436">
        <v>1.0</v>
      </c>
      <c r="K25" s="436"/>
      <c r="L25" s="431"/>
      <c r="M25" s="434"/>
      <c r="N25" s="430"/>
      <c r="O25" s="431"/>
      <c r="P25" s="431"/>
      <c r="Q25" s="432"/>
      <c r="R25" s="432">
        <v>1.0</v>
      </c>
      <c r="S25" s="432"/>
      <c r="T25" s="432"/>
      <c r="U25" s="432"/>
      <c r="V25" s="432"/>
      <c r="W25" s="432"/>
      <c r="X25" s="432"/>
      <c r="Y25" s="433"/>
      <c r="Z25" s="430"/>
      <c r="AA25" s="431"/>
      <c r="AB25" s="431"/>
      <c r="AC25" s="431"/>
      <c r="AD25" s="431"/>
      <c r="AE25" s="434"/>
      <c r="AF25" s="435"/>
      <c r="AG25" s="436"/>
      <c r="AH25" s="437"/>
      <c r="AI25" s="437"/>
      <c r="AJ25" s="437"/>
      <c r="AK25" s="432"/>
      <c r="AL25" s="432"/>
      <c r="AM25" s="432"/>
      <c r="AN25" s="433"/>
      <c r="AO25" s="428"/>
      <c r="AP25" s="436"/>
      <c r="AQ25" s="431"/>
      <c r="AR25" s="431"/>
      <c r="AS25" s="431"/>
      <c r="AT25" s="431"/>
      <c r="AU25" s="438"/>
      <c r="AV25" s="439"/>
      <c r="AW25" s="428"/>
      <c r="AX25" s="431"/>
      <c r="AY25" s="431"/>
      <c r="AZ25" s="431"/>
      <c r="BA25" s="440"/>
      <c r="BB25" s="428"/>
      <c r="BC25" s="437"/>
      <c r="BD25" s="436"/>
      <c r="BE25" s="437"/>
      <c r="BF25" s="441"/>
      <c r="BG25" s="441"/>
      <c r="BH25" s="441"/>
      <c r="BI25" s="441"/>
      <c r="BJ25" s="436"/>
      <c r="BK25" s="436"/>
      <c r="BL25" s="436"/>
      <c r="BM25" s="436"/>
      <c r="BN25" s="436"/>
      <c r="BO25" s="436"/>
      <c r="BP25" s="436"/>
    </row>
    <row r="26">
      <c r="A26" s="389"/>
      <c r="B26" s="488" t="s">
        <v>282</v>
      </c>
      <c r="C26" s="489">
        <v>150000.0</v>
      </c>
      <c r="D26" s="490"/>
      <c r="E26" s="491">
        <v>3.0</v>
      </c>
      <c r="F26" s="492">
        <f t="shared" si="6"/>
        <v>2</v>
      </c>
      <c r="G26" s="493">
        <f t="shared" si="5"/>
        <v>1</v>
      </c>
      <c r="H26" s="494"/>
      <c r="I26" s="494"/>
      <c r="J26" s="494"/>
      <c r="K26" s="494"/>
      <c r="L26" s="495"/>
      <c r="M26" s="496"/>
      <c r="N26" s="497"/>
      <c r="O26" s="495">
        <v>1.0</v>
      </c>
      <c r="P26" s="498"/>
      <c r="Q26" s="498"/>
      <c r="R26" s="498"/>
      <c r="S26" s="498"/>
      <c r="T26" s="498"/>
      <c r="U26" s="498"/>
      <c r="V26" s="498"/>
      <c r="W26" s="498"/>
      <c r="X26" s="498"/>
      <c r="Y26" s="499"/>
      <c r="Z26" s="497"/>
      <c r="AA26" s="498"/>
      <c r="AB26" s="498"/>
      <c r="AC26" s="498"/>
      <c r="AD26" s="498"/>
      <c r="AE26" s="496"/>
      <c r="AF26" s="500"/>
      <c r="AG26" s="494"/>
      <c r="AH26" s="501"/>
      <c r="AI26" s="501"/>
      <c r="AJ26" s="501"/>
      <c r="AK26" s="498"/>
      <c r="AL26" s="498"/>
      <c r="AM26" s="495"/>
      <c r="AN26" s="502"/>
      <c r="AO26" s="503"/>
      <c r="AP26" s="494"/>
      <c r="AQ26" s="498"/>
      <c r="AR26" s="498"/>
      <c r="AS26" s="498"/>
      <c r="AT26" s="498"/>
      <c r="AU26" s="504"/>
      <c r="AV26" s="505"/>
      <c r="AW26" s="503"/>
      <c r="AX26" s="498"/>
      <c r="AY26" s="498"/>
      <c r="AZ26" s="498"/>
      <c r="BA26" s="499"/>
      <c r="BB26" s="503"/>
      <c r="BC26" s="494"/>
      <c r="BD26" s="494"/>
      <c r="BE26" s="501"/>
      <c r="BF26" s="506"/>
      <c r="BG26" s="506"/>
      <c r="BH26" s="506"/>
      <c r="BI26" s="506"/>
      <c r="BJ26" s="494"/>
      <c r="BK26" s="494"/>
      <c r="BL26" s="494"/>
      <c r="BM26" s="494"/>
      <c r="BN26" s="494"/>
      <c r="BO26" s="494"/>
      <c r="BP26" s="494"/>
    </row>
    <row r="27">
      <c r="A27" s="339" t="s">
        <v>283</v>
      </c>
      <c r="B27" s="442" t="s">
        <v>284</v>
      </c>
      <c r="C27" s="412">
        <v>50000.0</v>
      </c>
      <c r="D27" s="341"/>
      <c r="E27" s="507">
        <v>16.0</v>
      </c>
      <c r="F27" s="508">
        <f t="shared" si="6"/>
        <v>0</v>
      </c>
      <c r="G27" s="509">
        <f t="shared" si="5"/>
        <v>16</v>
      </c>
      <c r="H27" s="510"/>
      <c r="I27" s="510"/>
      <c r="J27" s="511">
        <v>1.0</v>
      </c>
      <c r="K27" s="511">
        <v>1.0</v>
      </c>
      <c r="L27" s="511">
        <v>1.0</v>
      </c>
      <c r="M27" s="512">
        <v>1.0</v>
      </c>
      <c r="N27" s="513">
        <v>1.0</v>
      </c>
      <c r="O27" s="511">
        <v>1.0</v>
      </c>
      <c r="P27" s="511">
        <v>1.0</v>
      </c>
      <c r="Q27" s="511">
        <v>1.0</v>
      </c>
      <c r="R27" s="514"/>
      <c r="S27" s="511">
        <v>1.0</v>
      </c>
      <c r="T27" s="515"/>
      <c r="U27" s="511">
        <v>1.0</v>
      </c>
      <c r="V27" s="511">
        <v>1.0</v>
      </c>
      <c r="W27" s="515"/>
      <c r="X27" s="511">
        <v>1.0</v>
      </c>
      <c r="Y27" s="516"/>
      <c r="Z27" s="517"/>
      <c r="AA27" s="518">
        <v>1.0</v>
      </c>
      <c r="AB27" s="511">
        <v>1.0</v>
      </c>
      <c r="AC27" s="511">
        <v>1.0</v>
      </c>
      <c r="AD27" s="511">
        <v>1.0</v>
      </c>
      <c r="AE27" s="519"/>
      <c r="AF27" s="520"/>
      <c r="AG27" s="510"/>
      <c r="AH27" s="521"/>
      <c r="AI27" s="521"/>
      <c r="AJ27" s="521"/>
      <c r="AK27" s="515"/>
      <c r="AL27" s="515"/>
      <c r="AM27" s="515"/>
      <c r="AN27" s="516"/>
      <c r="AO27" s="520"/>
      <c r="AP27" s="510"/>
      <c r="AQ27" s="515"/>
      <c r="AR27" s="515"/>
      <c r="AS27" s="515"/>
      <c r="AT27" s="515"/>
      <c r="AU27" s="522"/>
      <c r="AV27" s="523"/>
      <c r="AW27" s="524"/>
      <c r="AX27" s="514"/>
      <c r="AY27" s="514"/>
      <c r="AZ27" s="514"/>
      <c r="BA27" s="525"/>
      <c r="BB27" s="524"/>
      <c r="BC27" s="521"/>
      <c r="BD27" s="510"/>
      <c r="BE27" s="521"/>
      <c r="BF27" s="359"/>
      <c r="BG27" s="359"/>
      <c r="BH27" s="359"/>
      <c r="BI27" s="359"/>
      <c r="BJ27" s="510"/>
      <c r="BK27" s="510"/>
      <c r="BL27" s="510"/>
      <c r="BM27" s="510"/>
      <c r="BN27" s="510"/>
      <c r="BO27" s="510"/>
      <c r="BP27" s="510"/>
    </row>
    <row r="28">
      <c r="A28" s="292"/>
      <c r="B28" s="379" t="s">
        <v>285</v>
      </c>
      <c r="C28" s="445">
        <v>45000.0</v>
      </c>
      <c r="D28" s="361"/>
      <c r="E28" s="362">
        <v>28.0</v>
      </c>
      <c r="F28" s="363">
        <f t="shared" si="6"/>
        <v>16</v>
      </c>
      <c r="G28" s="414">
        <f t="shared" si="5"/>
        <v>12</v>
      </c>
      <c r="H28" s="369"/>
      <c r="I28" s="369"/>
      <c r="J28" s="369">
        <v>1.0</v>
      </c>
      <c r="K28" s="369">
        <v>1.0</v>
      </c>
      <c r="L28" s="369">
        <v>1.0</v>
      </c>
      <c r="M28" s="370">
        <v>2.0</v>
      </c>
      <c r="N28" s="368"/>
      <c r="O28" s="369"/>
      <c r="P28" s="369"/>
      <c r="Q28" s="369">
        <v>1.0</v>
      </c>
      <c r="R28" s="369"/>
      <c r="S28" s="369"/>
      <c r="T28" s="369"/>
      <c r="U28" s="369"/>
      <c r="V28" s="369"/>
      <c r="W28" s="369">
        <v>1.0</v>
      </c>
      <c r="X28" s="369">
        <v>1.0</v>
      </c>
      <c r="Y28" s="370">
        <v>1.0</v>
      </c>
      <c r="Z28" s="368">
        <v>1.0</v>
      </c>
      <c r="AA28" s="369"/>
      <c r="AB28" s="369"/>
      <c r="AC28" s="369">
        <v>1.0</v>
      </c>
      <c r="AD28" s="369"/>
      <c r="AE28" s="373"/>
      <c r="AF28" s="374"/>
      <c r="AG28" s="381"/>
      <c r="AH28" s="375"/>
      <c r="AI28" s="375"/>
      <c r="AJ28" s="375"/>
      <c r="AK28" s="369"/>
      <c r="AL28" s="369"/>
      <c r="AM28" s="369"/>
      <c r="AN28" s="370"/>
      <c r="AO28" s="374"/>
      <c r="AP28" s="375"/>
      <c r="AQ28" s="369">
        <v>1.0</v>
      </c>
      <c r="AR28" s="369"/>
      <c r="AS28" s="369"/>
      <c r="AT28" s="369"/>
      <c r="AU28" s="380"/>
      <c r="AV28" s="377"/>
      <c r="AW28" s="374"/>
      <c r="AX28" s="369"/>
      <c r="AY28" s="369"/>
      <c r="AZ28" s="369"/>
      <c r="BA28" s="370"/>
      <c r="BB28" s="366"/>
      <c r="BC28" s="381"/>
      <c r="BD28" s="381"/>
      <c r="BE28" s="381"/>
      <c r="BF28" s="316"/>
      <c r="BG28" s="316"/>
      <c r="BH28" s="316"/>
      <c r="BI28" s="316"/>
      <c r="BJ28" s="381"/>
      <c r="BK28" s="381"/>
      <c r="BL28" s="381"/>
      <c r="BM28" s="381"/>
      <c r="BN28" s="381"/>
      <c r="BO28" s="381"/>
      <c r="BP28" s="381"/>
    </row>
    <row r="29">
      <c r="A29" s="292"/>
      <c r="B29" s="379" t="s">
        <v>286</v>
      </c>
      <c r="C29" s="445">
        <v>45000.0</v>
      </c>
      <c r="D29" s="361"/>
      <c r="E29" s="362">
        <v>28.0</v>
      </c>
      <c r="F29" s="363">
        <f t="shared" si="6"/>
        <v>12</v>
      </c>
      <c r="G29" s="414">
        <f t="shared" si="5"/>
        <v>16</v>
      </c>
      <c r="H29" s="369"/>
      <c r="I29" s="369"/>
      <c r="J29" s="369">
        <v>1.0</v>
      </c>
      <c r="K29" s="369">
        <v>1.0</v>
      </c>
      <c r="L29" s="369">
        <v>1.0</v>
      </c>
      <c r="M29" s="370">
        <v>1.0</v>
      </c>
      <c r="N29" s="368">
        <v>1.0</v>
      </c>
      <c r="O29" s="369"/>
      <c r="P29" s="369">
        <v>1.0</v>
      </c>
      <c r="Q29" s="369"/>
      <c r="R29" s="369">
        <v>1.0</v>
      </c>
      <c r="S29" s="369">
        <v>1.0</v>
      </c>
      <c r="T29" s="369">
        <v>1.0</v>
      </c>
      <c r="U29" s="369">
        <v>1.0</v>
      </c>
      <c r="V29" s="369">
        <v>1.0</v>
      </c>
      <c r="W29" s="369">
        <v>1.0</v>
      </c>
      <c r="X29" s="369"/>
      <c r="Y29" s="370"/>
      <c r="Z29" s="368">
        <v>1.0</v>
      </c>
      <c r="AA29" s="369">
        <v>1.0</v>
      </c>
      <c r="AB29" s="369"/>
      <c r="AC29" s="369"/>
      <c r="AD29" s="369">
        <v>1.0</v>
      </c>
      <c r="AE29" s="446"/>
      <c r="AF29" s="374"/>
      <c r="AG29" s="381"/>
      <c r="AH29" s="375"/>
      <c r="AI29" s="375"/>
      <c r="AJ29" s="375"/>
      <c r="AK29" s="369"/>
      <c r="AL29" s="369"/>
      <c r="AM29" s="369"/>
      <c r="AN29" s="370"/>
      <c r="AO29" s="374"/>
      <c r="AP29" s="375"/>
      <c r="AQ29" s="369"/>
      <c r="AR29" s="369"/>
      <c r="AS29" s="369">
        <v>1.0</v>
      </c>
      <c r="AT29" s="369"/>
      <c r="AU29" s="380"/>
      <c r="AV29" s="377"/>
      <c r="AW29" s="374"/>
      <c r="AX29" s="369"/>
      <c r="AY29" s="369"/>
      <c r="AZ29" s="369"/>
      <c r="BA29" s="370"/>
      <c r="BB29" s="366"/>
      <c r="BC29" s="381"/>
      <c r="BD29" s="381"/>
      <c r="BE29" s="375"/>
      <c r="BF29" s="316"/>
      <c r="BG29" s="316"/>
      <c r="BH29" s="316"/>
      <c r="BI29" s="316"/>
      <c r="BJ29" s="381"/>
      <c r="BK29" s="381"/>
      <c r="BL29" s="381"/>
      <c r="BM29" s="381"/>
      <c r="BN29" s="381"/>
      <c r="BO29" s="381"/>
      <c r="BP29" s="381"/>
    </row>
    <row r="30">
      <c r="A30" s="389"/>
      <c r="B30" s="526" t="s">
        <v>287</v>
      </c>
      <c r="C30" s="527">
        <v>45000.0</v>
      </c>
      <c r="D30" s="528"/>
      <c r="E30" s="529">
        <v>28.0</v>
      </c>
      <c r="F30" s="530">
        <f t="shared" si="6"/>
        <v>19</v>
      </c>
      <c r="G30" s="414">
        <f t="shared" si="5"/>
        <v>9</v>
      </c>
      <c r="H30" s="531"/>
      <c r="I30" s="531"/>
      <c r="J30" s="531">
        <v>1.0</v>
      </c>
      <c r="K30" s="531">
        <v>1.0</v>
      </c>
      <c r="L30" s="531">
        <v>1.0</v>
      </c>
      <c r="M30" s="532"/>
      <c r="N30" s="533"/>
      <c r="O30" s="531">
        <v>1.0</v>
      </c>
      <c r="P30" s="531"/>
      <c r="Q30" s="531"/>
      <c r="R30" s="531">
        <v>1.0</v>
      </c>
      <c r="S30" s="531"/>
      <c r="T30" s="531">
        <v>1.0</v>
      </c>
      <c r="U30" s="531"/>
      <c r="V30" s="531"/>
      <c r="W30" s="531">
        <v>1.0</v>
      </c>
      <c r="X30" s="531"/>
      <c r="Y30" s="532">
        <v>1.0</v>
      </c>
      <c r="Z30" s="533"/>
      <c r="AA30" s="531"/>
      <c r="AB30" s="531">
        <v>1.0</v>
      </c>
      <c r="AC30" s="531"/>
      <c r="AD30" s="531"/>
      <c r="AE30" s="534"/>
      <c r="AF30" s="535"/>
      <c r="AG30" s="536"/>
      <c r="AH30" s="537"/>
      <c r="AI30" s="536"/>
      <c r="AJ30" s="536"/>
      <c r="AK30" s="531"/>
      <c r="AL30" s="531"/>
      <c r="AM30" s="531"/>
      <c r="AN30" s="532"/>
      <c r="AO30" s="535"/>
      <c r="AP30" s="536"/>
      <c r="AQ30" s="531"/>
      <c r="AR30" s="531"/>
      <c r="AS30" s="531"/>
      <c r="AT30" s="531"/>
      <c r="AU30" s="538"/>
      <c r="AV30" s="539"/>
      <c r="AW30" s="535"/>
      <c r="AX30" s="531"/>
      <c r="AY30" s="531"/>
      <c r="AZ30" s="531"/>
      <c r="BA30" s="532"/>
      <c r="BB30" s="535"/>
      <c r="BC30" s="537"/>
      <c r="BD30" s="536"/>
      <c r="BE30" s="536"/>
      <c r="BF30" s="540"/>
      <c r="BG30" s="540"/>
      <c r="BH30" s="540"/>
      <c r="BI30" s="540"/>
      <c r="BJ30" s="536"/>
      <c r="BK30" s="536"/>
      <c r="BL30" s="536"/>
      <c r="BM30" s="536"/>
      <c r="BN30" s="536"/>
      <c r="BO30" s="536"/>
      <c r="BP30" s="536"/>
    </row>
    <row r="31">
      <c r="A31" s="541" t="s">
        <v>288</v>
      </c>
      <c r="B31" s="542" t="s">
        <v>289</v>
      </c>
      <c r="C31" s="543">
        <v>35000.0</v>
      </c>
      <c r="D31" s="544"/>
      <c r="E31" s="545">
        <v>28.0</v>
      </c>
      <c r="F31" s="546">
        <f t="shared" si="6"/>
        <v>0</v>
      </c>
      <c r="G31" s="547">
        <f t="shared" si="5"/>
        <v>28</v>
      </c>
      <c r="H31" s="548"/>
      <c r="I31" s="548"/>
      <c r="J31" s="518">
        <v>1.0</v>
      </c>
      <c r="K31" s="518">
        <v>1.0</v>
      </c>
      <c r="L31" s="518">
        <v>1.0</v>
      </c>
      <c r="M31" s="549">
        <v>1.0</v>
      </c>
      <c r="N31" s="550">
        <v>1.0</v>
      </c>
      <c r="O31" s="551">
        <v>3.0</v>
      </c>
      <c r="P31" s="551">
        <v>1.0</v>
      </c>
      <c r="Q31" s="518">
        <v>1.0</v>
      </c>
      <c r="R31" s="518">
        <v>1.0</v>
      </c>
      <c r="S31" s="518">
        <v>1.0</v>
      </c>
      <c r="T31" s="518">
        <v>1.0</v>
      </c>
      <c r="U31" s="518">
        <v>1.0</v>
      </c>
      <c r="V31" s="518">
        <v>3.0</v>
      </c>
      <c r="W31" s="518">
        <v>1.0</v>
      </c>
      <c r="X31" s="518">
        <v>1.0</v>
      </c>
      <c r="Y31" s="549">
        <v>1.0</v>
      </c>
      <c r="Z31" s="550">
        <v>1.0</v>
      </c>
      <c r="AA31" s="518">
        <v>1.0</v>
      </c>
      <c r="AB31" s="552"/>
      <c r="AC31" s="518">
        <v>1.0</v>
      </c>
      <c r="AD31" s="518">
        <v>1.0</v>
      </c>
      <c r="AE31" s="553"/>
      <c r="AF31" s="554"/>
      <c r="AG31" s="548"/>
      <c r="AH31" s="552"/>
      <c r="AI31" s="552"/>
      <c r="AJ31" s="552"/>
      <c r="AK31" s="548"/>
      <c r="AL31" s="548"/>
      <c r="AM31" s="548"/>
      <c r="AN31" s="553"/>
      <c r="AO31" s="554"/>
      <c r="AP31" s="552"/>
      <c r="AQ31" s="518">
        <v>1.0</v>
      </c>
      <c r="AR31" s="552"/>
      <c r="AS31" s="552"/>
      <c r="AT31" s="552"/>
      <c r="AU31" s="555"/>
      <c r="AV31" s="556"/>
      <c r="AW31" s="554"/>
      <c r="AX31" s="518">
        <v>1.0</v>
      </c>
      <c r="AY31" s="548"/>
      <c r="AZ31" s="557">
        <v>2.0</v>
      </c>
      <c r="BA31" s="553"/>
      <c r="BB31" s="558"/>
      <c r="BC31" s="548"/>
      <c r="BD31" s="548"/>
      <c r="BE31" s="552"/>
      <c r="BF31" s="559"/>
      <c r="BG31" s="559"/>
      <c r="BH31" s="559"/>
      <c r="BI31" s="559"/>
      <c r="BJ31" s="548"/>
      <c r="BK31" s="548"/>
      <c r="BL31" s="548"/>
      <c r="BM31" s="548"/>
      <c r="BN31" s="548"/>
      <c r="BO31" s="560"/>
      <c r="BP31" s="560"/>
    </row>
    <row r="32">
      <c r="A32" s="561"/>
      <c r="B32" s="442" t="s">
        <v>290</v>
      </c>
      <c r="C32" s="412">
        <v>30000.0</v>
      </c>
      <c r="D32" s="341"/>
      <c r="E32" s="562">
        <v>20.0</v>
      </c>
      <c r="F32" s="413">
        <f t="shared" si="6"/>
        <v>13</v>
      </c>
      <c r="G32" s="443">
        <f t="shared" si="5"/>
        <v>7</v>
      </c>
      <c r="H32" s="350"/>
      <c r="I32" s="350"/>
      <c r="J32" s="350"/>
      <c r="K32" s="350">
        <v>1.0</v>
      </c>
      <c r="L32" s="350"/>
      <c r="M32" s="351"/>
      <c r="N32" s="349"/>
      <c r="O32" s="350"/>
      <c r="P32" s="350">
        <v>1.0</v>
      </c>
      <c r="Q32" s="350"/>
      <c r="R32" s="350"/>
      <c r="S32" s="350"/>
      <c r="T32" s="350"/>
      <c r="U32" s="350">
        <v>1.0</v>
      </c>
      <c r="V32" s="350">
        <v>1.0</v>
      </c>
      <c r="W32" s="350"/>
      <c r="X32" s="350">
        <v>1.0</v>
      </c>
      <c r="Y32" s="351">
        <v>1.0</v>
      </c>
      <c r="Z32" s="349"/>
      <c r="AA32" s="350"/>
      <c r="AB32" s="350">
        <v>1.0</v>
      </c>
      <c r="AC32" s="350"/>
      <c r="AD32" s="350"/>
      <c r="AE32" s="351"/>
      <c r="AF32" s="352"/>
      <c r="AG32" s="350"/>
      <c r="AH32" s="350"/>
      <c r="AI32" s="350"/>
      <c r="AJ32" s="353"/>
      <c r="AK32" s="350"/>
      <c r="AL32" s="350"/>
      <c r="AM32" s="350"/>
      <c r="AN32" s="351"/>
      <c r="AO32" s="349"/>
      <c r="AP32" s="350"/>
      <c r="AQ32" s="350"/>
      <c r="AR32" s="350"/>
      <c r="AS32" s="350"/>
      <c r="AT32" s="350"/>
      <c r="AU32" s="563"/>
      <c r="AV32" s="564"/>
      <c r="AW32" s="349"/>
      <c r="AX32" s="350"/>
      <c r="AY32" s="350"/>
      <c r="AZ32" s="350"/>
      <c r="BA32" s="351"/>
      <c r="BB32" s="349"/>
      <c r="BC32" s="353"/>
      <c r="BD32" s="350"/>
      <c r="BE32" s="350"/>
      <c r="BF32" s="565"/>
      <c r="BG32" s="565"/>
      <c r="BH32" s="565"/>
      <c r="BI32" s="565"/>
      <c r="BJ32" s="353"/>
      <c r="BK32" s="353"/>
      <c r="BL32" s="350"/>
      <c r="BM32" s="350"/>
      <c r="BN32" s="353"/>
      <c r="BO32" s="353"/>
      <c r="BP32" s="353"/>
    </row>
    <row r="33">
      <c r="A33" s="561"/>
      <c r="B33" s="379" t="s">
        <v>291</v>
      </c>
      <c r="C33" s="445">
        <v>30000.0</v>
      </c>
      <c r="D33" s="528"/>
      <c r="E33" s="362">
        <v>20.0</v>
      </c>
      <c r="F33" s="363">
        <f t="shared" si="6"/>
        <v>7</v>
      </c>
      <c r="G33" s="414">
        <f t="shared" si="5"/>
        <v>13</v>
      </c>
      <c r="H33" s="531"/>
      <c r="I33" s="531"/>
      <c r="J33" s="531">
        <v>1.0</v>
      </c>
      <c r="K33" s="531">
        <v>1.0</v>
      </c>
      <c r="L33" s="531">
        <v>1.0</v>
      </c>
      <c r="M33" s="532">
        <v>1.0</v>
      </c>
      <c r="N33" s="533">
        <v>1.0</v>
      </c>
      <c r="O33" s="531"/>
      <c r="P33" s="531">
        <v>1.0</v>
      </c>
      <c r="Q33" s="531">
        <v>1.0</v>
      </c>
      <c r="R33" s="531">
        <v>1.0</v>
      </c>
      <c r="S33" s="531">
        <v>1.0</v>
      </c>
      <c r="T33" s="531">
        <v>1.0</v>
      </c>
      <c r="U33" s="531"/>
      <c r="V33" s="531">
        <v>1.0</v>
      </c>
      <c r="W33" s="531">
        <v>1.0</v>
      </c>
      <c r="X33" s="531">
        <v>1.0</v>
      </c>
      <c r="Y33" s="532"/>
      <c r="Z33" s="533"/>
      <c r="AA33" s="531"/>
      <c r="AB33" s="531"/>
      <c r="AC33" s="531"/>
      <c r="AD33" s="531"/>
      <c r="AE33" s="532"/>
      <c r="AF33" s="566"/>
      <c r="AG33" s="531"/>
      <c r="AH33" s="531"/>
      <c r="AI33" s="531"/>
      <c r="AJ33" s="567"/>
      <c r="AK33" s="531"/>
      <c r="AL33" s="531"/>
      <c r="AM33" s="531"/>
      <c r="AN33" s="532"/>
      <c r="AO33" s="533"/>
      <c r="AP33" s="531"/>
      <c r="AQ33" s="531"/>
      <c r="AR33" s="531"/>
      <c r="AS33" s="531"/>
      <c r="AT33" s="531"/>
      <c r="AU33" s="538"/>
      <c r="AV33" s="568"/>
      <c r="AW33" s="533"/>
      <c r="AX33" s="531"/>
      <c r="AY33" s="569"/>
      <c r="AZ33" s="531"/>
      <c r="BA33" s="532"/>
      <c r="BB33" s="533"/>
      <c r="BC33" s="567"/>
      <c r="BD33" s="531"/>
      <c r="BE33" s="531"/>
      <c r="BF33" s="570"/>
      <c r="BG33" s="570"/>
      <c r="BH33" s="570"/>
      <c r="BI33" s="570"/>
      <c r="BJ33" s="567"/>
      <c r="BK33" s="567"/>
      <c r="BL33" s="531"/>
      <c r="BM33" s="531"/>
      <c r="BN33" s="567"/>
      <c r="BO33" s="567"/>
      <c r="BP33" s="567"/>
    </row>
    <row r="34">
      <c r="A34" s="571"/>
      <c r="B34" s="526" t="s">
        <v>292</v>
      </c>
      <c r="C34" s="527">
        <v>30000.0</v>
      </c>
      <c r="D34" s="528"/>
      <c r="E34" s="529">
        <v>20.0</v>
      </c>
      <c r="F34" s="530">
        <f t="shared" si="6"/>
        <v>8</v>
      </c>
      <c r="G34" s="414">
        <f t="shared" si="5"/>
        <v>12</v>
      </c>
      <c r="H34" s="531"/>
      <c r="I34" s="531"/>
      <c r="J34" s="531">
        <v>1.0</v>
      </c>
      <c r="K34" s="531"/>
      <c r="L34" s="531">
        <v>1.0</v>
      </c>
      <c r="M34" s="532">
        <v>1.0</v>
      </c>
      <c r="N34" s="533">
        <v>1.0</v>
      </c>
      <c r="O34" s="531"/>
      <c r="P34" s="531"/>
      <c r="Q34" s="531">
        <v>1.0</v>
      </c>
      <c r="R34" s="531">
        <v>1.0</v>
      </c>
      <c r="S34" s="531">
        <v>1.0</v>
      </c>
      <c r="T34" s="531">
        <v>1.0</v>
      </c>
      <c r="U34" s="531">
        <v>1.0</v>
      </c>
      <c r="V34" s="531">
        <v>1.0</v>
      </c>
      <c r="W34" s="531">
        <v>1.0</v>
      </c>
      <c r="X34" s="531"/>
      <c r="Y34" s="532">
        <v>1.0</v>
      </c>
      <c r="Z34" s="533"/>
      <c r="AA34" s="531"/>
      <c r="AB34" s="531"/>
      <c r="AC34" s="531"/>
      <c r="AD34" s="531"/>
      <c r="AE34" s="532"/>
      <c r="AF34" s="566"/>
      <c r="AG34" s="531"/>
      <c r="AH34" s="531"/>
      <c r="AI34" s="531"/>
      <c r="AJ34" s="567"/>
      <c r="AK34" s="531"/>
      <c r="AL34" s="531"/>
      <c r="AM34" s="531"/>
      <c r="AN34" s="532"/>
      <c r="AO34" s="533"/>
      <c r="AP34" s="531"/>
      <c r="AQ34" s="531"/>
      <c r="AR34" s="531"/>
      <c r="AS34" s="531"/>
      <c r="AT34" s="531"/>
      <c r="AU34" s="538"/>
      <c r="AV34" s="568"/>
      <c r="AW34" s="533"/>
      <c r="AX34" s="531"/>
      <c r="AY34" s="531"/>
      <c r="AZ34" s="531"/>
      <c r="BA34" s="532"/>
      <c r="BB34" s="533"/>
      <c r="BC34" s="567"/>
      <c r="BD34" s="531"/>
      <c r="BE34" s="531"/>
      <c r="BF34" s="570"/>
      <c r="BG34" s="570"/>
      <c r="BH34" s="570"/>
      <c r="BI34" s="570"/>
      <c r="BJ34" s="567"/>
      <c r="BK34" s="567"/>
      <c r="BL34" s="531"/>
      <c r="BM34" s="531"/>
      <c r="BN34" s="567"/>
      <c r="BO34" s="567"/>
      <c r="BP34" s="567"/>
    </row>
    <row r="35">
      <c r="A35" s="572" t="s">
        <v>293</v>
      </c>
      <c r="B35" s="573" t="s">
        <v>294</v>
      </c>
      <c r="C35" s="574">
        <v>18000.0</v>
      </c>
      <c r="D35" s="575"/>
      <c r="E35" s="576">
        <v>40.0</v>
      </c>
      <c r="F35" s="577">
        <f t="shared" si="6"/>
        <v>16</v>
      </c>
      <c r="G35" s="578">
        <f t="shared" si="5"/>
        <v>24</v>
      </c>
      <c r="H35" s="579"/>
      <c r="I35" s="579"/>
      <c r="J35" s="579"/>
      <c r="K35" s="580">
        <v>1.0</v>
      </c>
      <c r="L35" s="580">
        <v>1.0</v>
      </c>
      <c r="M35" s="581">
        <v>2.0</v>
      </c>
      <c r="N35" s="582">
        <v>1.0</v>
      </c>
      <c r="O35" s="580">
        <v>2.0</v>
      </c>
      <c r="P35" s="579"/>
      <c r="Q35" s="580">
        <v>2.0</v>
      </c>
      <c r="R35" s="580">
        <v>1.0</v>
      </c>
      <c r="S35" s="580">
        <v>1.0</v>
      </c>
      <c r="T35" s="579"/>
      <c r="U35" s="579"/>
      <c r="V35" s="583">
        <v>1.0</v>
      </c>
      <c r="W35" s="580">
        <v>1.0</v>
      </c>
      <c r="X35" s="580">
        <v>1.0</v>
      </c>
      <c r="Y35" s="581">
        <v>1.0</v>
      </c>
      <c r="Z35" s="584"/>
      <c r="AA35" s="580">
        <v>1.0</v>
      </c>
      <c r="AB35" s="579"/>
      <c r="AC35" s="580">
        <v>1.0</v>
      </c>
      <c r="AD35" s="580">
        <v>1.0</v>
      </c>
      <c r="AE35" s="585"/>
      <c r="AF35" s="586"/>
      <c r="AG35" s="579"/>
      <c r="AH35" s="587"/>
      <c r="AI35" s="587"/>
      <c r="AJ35" s="587"/>
      <c r="AK35" s="579"/>
      <c r="AL35" s="579"/>
      <c r="AM35" s="579"/>
      <c r="AN35" s="585"/>
      <c r="AO35" s="586"/>
      <c r="AP35" s="587"/>
      <c r="AQ35" s="579"/>
      <c r="AR35" s="579"/>
      <c r="AS35" s="580">
        <v>1.0</v>
      </c>
      <c r="AT35" s="579"/>
      <c r="AU35" s="588">
        <v>2.0</v>
      </c>
      <c r="AV35" s="589"/>
      <c r="AW35" s="586"/>
      <c r="AX35" s="579"/>
      <c r="AY35" s="580">
        <v>1.0</v>
      </c>
      <c r="AZ35" s="579"/>
      <c r="BA35" s="590">
        <v>2.0</v>
      </c>
      <c r="BB35" s="584"/>
      <c r="BC35" s="587"/>
      <c r="BD35" s="579"/>
      <c r="BE35" s="587"/>
      <c r="BF35" s="591"/>
      <c r="BG35" s="591"/>
      <c r="BH35" s="591"/>
      <c r="BI35" s="591"/>
      <c r="BJ35" s="579"/>
      <c r="BK35" s="579"/>
      <c r="BL35" s="579"/>
      <c r="BM35" s="579"/>
      <c r="BN35" s="579"/>
      <c r="BO35" s="592"/>
      <c r="BP35" s="592"/>
    </row>
    <row r="36">
      <c r="A36" s="593"/>
      <c r="B36" s="594" t="s">
        <v>295</v>
      </c>
      <c r="C36" s="595">
        <v>25000.0</v>
      </c>
      <c r="D36" s="596"/>
      <c r="E36" s="597">
        <v>24.0</v>
      </c>
      <c r="F36" s="598">
        <f t="shared" si="6"/>
        <v>4</v>
      </c>
      <c r="G36" s="599">
        <f t="shared" si="5"/>
        <v>20</v>
      </c>
      <c r="H36" s="600"/>
      <c r="I36" s="600"/>
      <c r="J36" s="601">
        <v>1.0</v>
      </c>
      <c r="K36" s="601">
        <v>1.0</v>
      </c>
      <c r="L36" s="601">
        <v>1.0</v>
      </c>
      <c r="M36" s="590">
        <v>1.0</v>
      </c>
      <c r="N36" s="602">
        <v>1.0</v>
      </c>
      <c r="O36" s="600"/>
      <c r="P36" s="511">
        <v>1.0</v>
      </c>
      <c r="Q36" s="600"/>
      <c r="R36" s="600"/>
      <c r="S36" s="600"/>
      <c r="T36" s="600"/>
      <c r="U36" s="601">
        <v>1.0</v>
      </c>
      <c r="V36" s="600"/>
      <c r="W36" s="601">
        <v>1.0</v>
      </c>
      <c r="X36" s="601">
        <v>1.0</v>
      </c>
      <c r="Y36" s="603"/>
      <c r="Z36" s="602">
        <v>1.0</v>
      </c>
      <c r="AA36" s="600"/>
      <c r="AB36" s="601">
        <v>1.0</v>
      </c>
      <c r="AC36" s="601">
        <v>1.0</v>
      </c>
      <c r="AD36" s="601">
        <v>1.0</v>
      </c>
      <c r="AE36" s="603">
        <v>2.0</v>
      </c>
      <c r="AF36" s="604"/>
      <c r="AG36" s="600"/>
      <c r="AH36" s="605"/>
      <c r="AI36" s="605"/>
      <c r="AJ36" s="605"/>
      <c r="AK36" s="600"/>
      <c r="AL36" s="600"/>
      <c r="AM36" s="600"/>
      <c r="AN36" s="603"/>
      <c r="AO36" s="604"/>
      <c r="AP36" s="605"/>
      <c r="AQ36" s="601">
        <v>1.0</v>
      </c>
      <c r="AR36" s="601">
        <v>1.0</v>
      </c>
      <c r="AS36" s="600"/>
      <c r="AT36" s="600"/>
      <c r="AU36" s="606"/>
      <c r="AV36" s="607"/>
      <c r="AW36" s="602">
        <v>1.0</v>
      </c>
      <c r="AX36" s="601">
        <v>1.0</v>
      </c>
      <c r="AY36" s="600">
        <v>1.0</v>
      </c>
      <c r="AZ36" s="600"/>
      <c r="BA36" s="603"/>
      <c r="BB36" s="604"/>
      <c r="BC36" s="600"/>
      <c r="BD36" s="605"/>
      <c r="BE36" s="600"/>
      <c r="BF36" s="608"/>
      <c r="BG36" s="608"/>
      <c r="BH36" s="608"/>
      <c r="BI36" s="608"/>
      <c r="BJ36" s="605"/>
      <c r="BK36" s="600"/>
      <c r="BL36" s="605"/>
      <c r="BM36" s="605"/>
      <c r="BN36" s="605"/>
      <c r="BO36" s="609"/>
      <c r="BP36" s="609"/>
    </row>
    <row r="37">
      <c r="A37" s="593"/>
      <c r="B37" s="442" t="s">
        <v>296</v>
      </c>
      <c r="C37" s="412">
        <v>20000.0</v>
      </c>
      <c r="D37" s="341"/>
      <c r="E37" s="342">
        <v>80.0</v>
      </c>
      <c r="F37" s="474">
        <f t="shared" si="6"/>
        <v>56</v>
      </c>
      <c r="G37" s="443">
        <f t="shared" si="5"/>
        <v>24</v>
      </c>
      <c r="H37" s="350"/>
      <c r="I37" s="350"/>
      <c r="J37" s="350">
        <v>2.0</v>
      </c>
      <c r="K37" s="350"/>
      <c r="L37" s="350">
        <v>2.0</v>
      </c>
      <c r="M37" s="351"/>
      <c r="N37" s="349"/>
      <c r="O37" s="350">
        <v>2.0</v>
      </c>
      <c r="P37" s="350">
        <v>1.0</v>
      </c>
      <c r="Q37" s="350">
        <v>2.0</v>
      </c>
      <c r="R37" s="350">
        <v>1.0</v>
      </c>
      <c r="S37" s="350">
        <v>1.0</v>
      </c>
      <c r="T37" s="350">
        <v>2.0</v>
      </c>
      <c r="U37" s="350">
        <v>1.0</v>
      </c>
      <c r="V37" s="350">
        <v>2.0</v>
      </c>
      <c r="W37" s="350"/>
      <c r="X37" s="350"/>
      <c r="Y37" s="351">
        <v>1.0</v>
      </c>
      <c r="Z37" s="349"/>
      <c r="AA37" s="350"/>
      <c r="AB37" s="350">
        <v>1.0</v>
      </c>
      <c r="AC37" s="350"/>
      <c r="AD37" s="350"/>
      <c r="AE37" s="351">
        <v>3.0</v>
      </c>
      <c r="AF37" s="352"/>
      <c r="AG37" s="350"/>
      <c r="AH37" s="350"/>
      <c r="AI37" s="353"/>
      <c r="AJ37" s="350"/>
      <c r="AK37" s="350"/>
      <c r="AL37" s="350"/>
      <c r="AM37" s="350"/>
      <c r="AN37" s="351"/>
      <c r="AO37" s="349"/>
      <c r="AP37" s="350"/>
      <c r="AQ37" s="350"/>
      <c r="AR37" s="350"/>
      <c r="AS37" s="350"/>
      <c r="AT37" s="350"/>
      <c r="AU37" s="563"/>
      <c r="AV37" s="564">
        <v>1.0</v>
      </c>
      <c r="AW37" s="349">
        <v>2.0</v>
      </c>
      <c r="AX37" s="350"/>
      <c r="AY37" s="350"/>
      <c r="AZ37" s="350"/>
      <c r="BA37" s="351"/>
      <c r="BB37" s="349"/>
      <c r="BC37" s="350"/>
      <c r="BD37" s="350"/>
      <c r="BE37" s="350"/>
      <c r="BF37" s="565"/>
      <c r="BG37" s="565"/>
      <c r="BH37" s="565"/>
      <c r="BI37" s="565"/>
      <c r="BJ37" s="350"/>
      <c r="BK37" s="350"/>
      <c r="BL37" s="350"/>
      <c r="BM37" s="350"/>
      <c r="BN37" s="350"/>
      <c r="BO37" s="350"/>
      <c r="BP37" s="350"/>
    </row>
    <row r="38">
      <c r="A38" s="610"/>
      <c r="B38" s="611" t="s">
        <v>297</v>
      </c>
      <c r="C38" s="612" t="s">
        <v>255</v>
      </c>
      <c r="D38" s="391"/>
      <c r="E38" s="392">
        <v>18.0</v>
      </c>
      <c r="F38" s="393">
        <f t="shared" si="6"/>
        <v>2</v>
      </c>
      <c r="G38" s="453">
        <f t="shared" si="5"/>
        <v>16</v>
      </c>
      <c r="H38" s="613"/>
      <c r="I38" s="613"/>
      <c r="J38" s="400">
        <v>1.0</v>
      </c>
      <c r="K38" s="614">
        <v>2.0</v>
      </c>
      <c r="L38" s="400">
        <v>1.0</v>
      </c>
      <c r="M38" s="401">
        <v>1.0</v>
      </c>
      <c r="N38" s="399">
        <v>1.0</v>
      </c>
      <c r="O38" s="400"/>
      <c r="P38" s="400">
        <v>1.0</v>
      </c>
      <c r="Q38" s="400"/>
      <c r="R38" s="400">
        <v>1.0</v>
      </c>
      <c r="S38" s="400">
        <v>1.0</v>
      </c>
      <c r="T38" s="400">
        <v>1.0</v>
      </c>
      <c r="U38" s="400">
        <v>1.0</v>
      </c>
      <c r="V38" s="400"/>
      <c r="W38" s="400">
        <v>1.0</v>
      </c>
      <c r="X38" s="400">
        <v>1.0</v>
      </c>
      <c r="Y38" s="401">
        <v>1.0</v>
      </c>
      <c r="Z38" s="399">
        <v>1.0</v>
      </c>
      <c r="AA38" s="400">
        <v>1.0</v>
      </c>
      <c r="AB38" s="613"/>
      <c r="AC38" s="613"/>
      <c r="AD38" s="613"/>
      <c r="AE38" s="615"/>
      <c r="AF38" s="616"/>
      <c r="AG38" s="617"/>
      <c r="AH38" s="617"/>
      <c r="AI38" s="618"/>
      <c r="AJ38" s="618"/>
      <c r="AK38" s="613"/>
      <c r="AL38" s="400"/>
      <c r="AM38" s="400"/>
      <c r="AN38" s="401"/>
      <c r="AO38" s="619"/>
      <c r="AP38" s="617"/>
      <c r="AQ38" s="613"/>
      <c r="AR38" s="613"/>
      <c r="AS38" s="613"/>
      <c r="AT38" s="613"/>
      <c r="AU38" s="620"/>
      <c r="AV38" s="621"/>
      <c r="AW38" s="619"/>
      <c r="AX38" s="613"/>
      <c r="AY38" s="613"/>
      <c r="AZ38" s="613"/>
      <c r="BA38" s="622"/>
      <c r="BB38" s="616"/>
      <c r="BC38" s="617"/>
      <c r="BD38" s="618"/>
      <c r="BE38" s="617"/>
      <c r="BF38" s="623"/>
      <c r="BG38" s="623"/>
      <c r="BH38" s="623"/>
      <c r="BI38" s="623"/>
      <c r="BJ38" s="618"/>
      <c r="BK38" s="617"/>
      <c r="BL38" s="618"/>
      <c r="BM38" s="618"/>
      <c r="BN38" s="618"/>
      <c r="BO38" s="618"/>
      <c r="BP38" s="618"/>
    </row>
    <row r="39">
      <c r="A39" s="339" t="s">
        <v>298</v>
      </c>
      <c r="B39" s="442" t="s">
        <v>299</v>
      </c>
      <c r="C39" s="412">
        <v>20000.0</v>
      </c>
      <c r="D39" s="341"/>
      <c r="E39" s="562">
        <v>18.0</v>
      </c>
      <c r="F39" s="413">
        <f t="shared" si="6"/>
        <v>4</v>
      </c>
      <c r="G39" s="414">
        <f t="shared" si="5"/>
        <v>14</v>
      </c>
      <c r="H39" s="350"/>
      <c r="I39" s="350"/>
      <c r="J39" s="511">
        <v>1.0</v>
      </c>
      <c r="K39" s="511">
        <v>1.0</v>
      </c>
      <c r="L39" s="350"/>
      <c r="M39" s="512">
        <v>1.0</v>
      </c>
      <c r="N39" s="513">
        <v>1.0</v>
      </c>
      <c r="O39" s="511">
        <v>2.0</v>
      </c>
      <c r="P39" s="511">
        <v>1.0</v>
      </c>
      <c r="Q39" s="511">
        <v>1.0</v>
      </c>
      <c r="R39" s="511">
        <v>1.0</v>
      </c>
      <c r="S39" s="350"/>
      <c r="T39" s="350"/>
      <c r="U39" s="511">
        <v>1.0</v>
      </c>
      <c r="V39" s="350"/>
      <c r="W39" s="511">
        <v>1.0</v>
      </c>
      <c r="X39" s="511">
        <v>1.0</v>
      </c>
      <c r="Y39" s="512">
        <v>1.0</v>
      </c>
      <c r="Z39" s="349"/>
      <c r="AA39" s="350"/>
      <c r="AB39" s="350"/>
      <c r="AC39" s="350"/>
      <c r="AD39" s="350"/>
      <c r="AE39" s="354"/>
      <c r="AF39" s="347"/>
      <c r="AG39" s="419"/>
      <c r="AH39" s="355"/>
      <c r="AI39" s="355"/>
      <c r="AJ39" s="355"/>
      <c r="AK39" s="350"/>
      <c r="AL39" s="350"/>
      <c r="AM39" s="350"/>
      <c r="AN39" s="351"/>
      <c r="AO39" s="347"/>
      <c r="AP39" s="355"/>
      <c r="AQ39" s="350"/>
      <c r="AR39" s="350"/>
      <c r="AS39" s="350"/>
      <c r="AT39" s="624">
        <v>1.0</v>
      </c>
      <c r="AU39" s="625"/>
      <c r="AV39" s="357"/>
      <c r="AW39" s="347"/>
      <c r="AX39" s="350"/>
      <c r="AY39" s="350"/>
      <c r="AZ39" s="350"/>
      <c r="BA39" s="351"/>
      <c r="BB39" s="416"/>
      <c r="BC39" s="419"/>
      <c r="BD39" s="419"/>
      <c r="BE39" s="419"/>
      <c r="BF39" s="359"/>
      <c r="BG39" s="359"/>
      <c r="BH39" s="359"/>
      <c r="BI39" s="359"/>
      <c r="BJ39" s="419"/>
      <c r="BK39" s="419"/>
      <c r="BL39" s="419"/>
      <c r="BM39" s="419"/>
      <c r="BN39" s="419"/>
      <c r="BO39" s="419"/>
      <c r="BP39" s="419"/>
    </row>
    <row r="40">
      <c r="A40" s="292"/>
      <c r="B40" s="379" t="s">
        <v>300</v>
      </c>
      <c r="C40" s="445">
        <v>20000.0</v>
      </c>
      <c r="D40" s="626"/>
      <c r="E40" s="562">
        <v>15.0</v>
      </c>
      <c r="F40" s="530">
        <f t="shared" si="6"/>
        <v>5</v>
      </c>
      <c r="G40" s="414">
        <f t="shared" si="5"/>
        <v>10</v>
      </c>
      <c r="H40" s="350"/>
      <c r="I40" s="350"/>
      <c r="J40" s="350"/>
      <c r="K40" s="350">
        <v>1.0</v>
      </c>
      <c r="L40" s="350">
        <v>1.0</v>
      </c>
      <c r="M40" s="351">
        <v>1.0</v>
      </c>
      <c r="N40" s="349"/>
      <c r="O40" s="350"/>
      <c r="P40" s="350">
        <v>1.0</v>
      </c>
      <c r="Q40" s="350"/>
      <c r="R40" s="350"/>
      <c r="S40" s="350"/>
      <c r="T40" s="350">
        <v>1.0</v>
      </c>
      <c r="U40" s="350">
        <v>1.0</v>
      </c>
      <c r="V40" s="350"/>
      <c r="W40" s="350"/>
      <c r="X40" s="350">
        <v>1.0</v>
      </c>
      <c r="Y40" s="351"/>
      <c r="Z40" s="349">
        <v>1.0</v>
      </c>
      <c r="AA40" s="350">
        <v>1.0</v>
      </c>
      <c r="AB40" s="350"/>
      <c r="AC40" s="350"/>
      <c r="AD40" s="350">
        <v>1.0</v>
      </c>
      <c r="AE40" s="627"/>
      <c r="AF40" s="628"/>
      <c r="AG40" s="629"/>
      <c r="AH40" s="630"/>
      <c r="AI40" s="630"/>
      <c r="AJ40" s="630"/>
      <c r="AK40" s="350"/>
      <c r="AL40" s="350"/>
      <c r="AM40" s="350"/>
      <c r="AN40" s="351"/>
      <c r="AO40" s="628"/>
      <c r="AP40" s="630"/>
      <c r="AQ40" s="350"/>
      <c r="AR40" s="350"/>
      <c r="AS40" s="350"/>
      <c r="AT40" s="350"/>
      <c r="AU40" s="563"/>
      <c r="AV40" s="631"/>
      <c r="AW40" s="628"/>
      <c r="AX40" s="350"/>
      <c r="AY40" s="350"/>
      <c r="AZ40" s="350"/>
      <c r="BA40" s="351"/>
      <c r="BB40" s="632"/>
      <c r="BC40" s="633"/>
      <c r="BD40" s="633"/>
      <c r="BE40" s="633"/>
      <c r="BF40" s="634"/>
      <c r="BG40" s="634"/>
      <c r="BH40" s="634"/>
      <c r="BI40" s="634"/>
      <c r="BJ40" s="633"/>
      <c r="BK40" s="633"/>
      <c r="BL40" s="633"/>
      <c r="BM40" s="633"/>
      <c r="BN40" s="633"/>
      <c r="BO40" s="633"/>
      <c r="BP40" s="633"/>
    </row>
    <row r="41">
      <c r="A41" s="292"/>
      <c r="B41" s="379" t="s">
        <v>301</v>
      </c>
      <c r="C41" s="445">
        <v>20000.0</v>
      </c>
      <c r="D41" s="635"/>
      <c r="E41" s="362">
        <v>20.0</v>
      </c>
      <c r="F41" s="530">
        <f t="shared" si="6"/>
        <v>5</v>
      </c>
      <c r="G41" s="414">
        <f t="shared" si="5"/>
        <v>15</v>
      </c>
      <c r="H41" s="369"/>
      <c r="I41" s="369"/>
      <c r="J41" s="369">
        <v>1.0</v>
      </c>
      <c r="K41" s="369">
        <v>1.0</v>
      </c>
      <c r="L41" s="369">
        <v>1.0</v>
      </c>
      <c r="M41" s="370"/>
      <c r="N41" s="533">
        <v>1.0</v>
      </c>
      <c r="O41" s="531"/>
      <c r="P41" s="531">
        <v>1.0</v>
      </c>
      <c r="Q41" s="531"/>
      <c r="R41" s="531">
        <v>1.0</v>
      </c>
      <c r="S41" s="531">
        <v>1.0</v>
      </c>
      <c r="T41" s="531">
        <v>1.0</v>
      </c>
      <c r="U41" s="531">
        <v>1.0</v>
      </c>
      <c r="V41" s="531"/>
      <c r="W41" s="531">
        <v>1.0</v>
      </c>
      <c r="X41" s="531">
        <v>1.0</v>
      </c>
      <c r="Y41" s="532"/>
      <c r="Z41" s="533">
        <v>1.0</v>
      </c>
      <c r="AA41" s="531"/>
      <c r="AB41" s="531">
        <v>1.0</v>
      </c>
      <c r="AC41" s="531">
        <v>1.0</v>
      </c>
      <c r="AD41" s="531">
        <v>1.0</v>
      </c>
      <c r="AE41" s="636"/>
      <c r="AF41" s="637"/>
      <c r="AG41" s="638"/>
      <c r="AH41" s="639"/>
      <c r="AI41" s="639"/>
      <c r="AJ41" s="639"/>
      <c r="AK41" s="369"/>
      <c r="AL41" s="369"/>
      <c r="AM41" s="369"/>
      <c r="AN41" s="370"/>
      <c r="AO41" s="640"/>
      <c r="AP41" s="639"/>
      <c r="AQ41" s="531"/>
      <c r="AR41" s="639"/>
      <c r="AS41" s="639"/>
      <c r="AT41" s="639"/>
      <c r="AU41" s="641"/>
      <c r="AV41" s="642"/>
      <c r="AW41" s="640"/>
      <c r="AX41" s="531"/>
      <c r="AY41" s="531"/>
      <c r="AZ41" s="531"/>
      <c r="BA41" s="532"/>
      <c r="BB41" s="643"/>
      <c r="BC41" s="644"/>
      <c r="BD41" s="644"/>
      <c r="BE41" s="644"/>
      <c r="BF41" s="645"/>
      <c r="BG41" s="645"/>
      <c r="BH41" s="645"/>
      <c r="BI41" s="645"/>
      <c r="BJ41" s="644"/>
      <c r="BK41" s="644"/>
      <c r="BL41" s="644"/>
      <c r="BM41" s="644"/>
      <c r="BN41" s="644"/>
      <c r="BO41" s="644"/>
      <c r="BP41" s="644"/>
    </row>
    <row r="42">
      <c r="A42" s="292"/>
      <c r="B42" s="646" t="s">
        <v>302</v>
      </c>
      <c r="C42" s="422">
        <v>20000.0</v>
      </c>
      <c r="D42" s="635"/>
      <c r="E42" s="362">
        <v>10.0</v>
      </c>
      <c r="F42" s="425">
        <f t="shared" si="6"/>
        <v>6</v>
      </c>
      <c r="G42" s="414">
        <f t="shared" si="5"/>
        <v>4</v>
      </c>
      <c r="H42" s="369"/>
      <c r="I42" s="369"/>
      <c r="J42" s="369">
        <v>1.0</v>
      </c>
      <c r="K42" s="380"/>
      <c r="L42" s="380"/>
      <c r="M42" s="370"/>
      <c r="N42" s="647"/>
      <c r="O42" s="648"/>
      <c r="P42" s="307"/>
      <c r="Q42" s="307"/>
      <c r="R42" s="369"/>
      <c r="S42" s="369">
        <v>1.0</v>
      </c>
      <c r="T42" s="369">
        <v>1.0</v>
      </c>
      <c r="U42" s="307"/>
      <c r="V42" s="307"/>
      <c r="W42" s="432"/>
      <c r="X42" s="307"/>
      <c r="Y42" s="433">
        <v>1.0</v>
      </c>
      <c r="Z42" s="649"/>
      <c r="AA42" s="307"/>
      <c r="AB42" s="307"/>
      <c r="AC42" s="307"/>
      <c r="AD42" s="307"/>
      <c r="AE42" s="636"/>
      <c r="AF42" s="650"/>
      <c r="AG42" s="651"/>
      <c r="AH42" s="639"/>
      <c r="AI42" s="639"/>
      <c r="AJ42" s="639"/>
      <c r="AK42" s="369"/>
      <c r="AL42" s="369"/>
      <c r="AM42" s="369"/>
      <c r="AN42" s="370"/>
      <c r="AO42" s="640"/>
      <c r="AP42" s="639"/>
      <c r="AQ42" s="639"/>
      <c r="AR42" s="639"/>
      <c r="AS42" s="639"/>
      <c r="AT42" s="639"/>
      <c r="AU42" s="641"/>
      <c r="AV42" s="642"/>
      <c r="AW42" s="640"/>
      <c r="AX42" s="350"/>
      <c r="AY42" s="350"/>
      <c r="AZ42" s="350"/>
      <c r="BA42" s="351"/>
      <c r="BB42" s="651"/>
      <c r="BC42" s="638"/>
      <c r="BD42" s="638"/>
      <c r="BE42" s="638"/>
      <c r="BF42" s="652"/>
      <c r="BG42" s="652"/>
      <c r="BH42" s="652"/>
      <c r="BI42" s="652"/>
      <c r="BJ42" s="638"/>
      <c r="BK42" s="638"/>
      <c r="BL42" s="638"/>
      <c r="BM42" s="638"/>
      <c r="BN42" s="638"/>
      <c r="BO42" s="638"/>
      <c r="BP42" s="638"/>
    </row>
    <row r="43" ht="26.25" customHeight="1">
      <c r="A43" s="389"/>
      <c r="B43" s="653" t="s">
        <v>303</v>
      </c>
      <c r="C43" s="489">
        <v>10000.0</v>
      </c>
      <c r="D43" s="654"/>
      <c r="E43" s="655">
        <v>48.0</v>
      </c>
      <c r="F43" s="656">
        <f t="shared" si="6"/>
        <v>35</v>
      </c>
      <c r="G43" s="657">
        <f t="shared" si="5"/>
        <v>13</v>
      </c>
      <c r="H43" s="658"/>
      <c r="I43" s="658"/>
      <c r="J43" s="658"/>
      <c r="K43" s="658"/>
      <c r="L43" s="659">
        <v>1.0</v>
      </c>
      <c r="M43" s="660">
        <v>1.0</v>
      </c>
      <c r="N43" s="661">
        <v>1.0</v>
      </c>
      <c r="O43" s="659">
        <v>1.0</v>
      </c>
      <c r="P43" s="659"/>
      <c r="Q43" s="659">
        <v>1.0</v>
      </c>
      <c r="R43" s="659">
        <v>1.0</v>
      </c>
      <c r="S43" s="659">
        <v>1.0</v>
      </c>
      <c r="T43" s="659"/>
      <c r="U43" s="659"/>
      <c r="V43" s="659"/>
      <c r="W43" s="659"/>
      <c r="X43" s="659"/>
      <c r="Y43" s="660">
        <v>1.0</v>
      </c>
      <c r="Z43" s="661"/>
      <c r="AA43" s="659">
        <v>1.0</v>
      </c>
      <c r="AB43" s="659">
        <v>1.0</v>
      </c>
      <c r="AC43" s="659">
        <v>1.0</v>
      </c>
      <c r="AD43" s="659"/>
      <c r="AE43" s="662"/>
      <c r="AF43" s="663"/>
      <c r="AG43" s="664"/>
      <c r="AH43" s="665"/>
      <c r="AI43" s="665"/>
      <c r="AJ43" s="665"/>
      <c r="AK43" s="666"/>
      <c r="AL43" s="666"/>
      <c r="AM43" s="666"/>
      <c r="AN43" s="667"/>
      <c r="AO43" s="668"/>
      <c r="AP43" s="669">
        <v>1.0</v>
      </c>
      <c r="AQ43" s="659">
        <v>1.0</v>
      </c>
      <c r="AR43" s="669"/>
      <c r="AS43" s="669"/>
      <c r="AT43" s="669"/>
      <c r="AU43" s="670"/>
      <c r="AV43" s="671"/>
      <c r="AW43" s="672"/>
      <c r="AX43" s="659"/>
      <c r="AY43" s="659"/>
      <c r="AZ43" s="659"/>
      <c r="BA43" s="660"/>
      <c r="BB43" s="673"/>
      <c r="BC43" s="664"/>
      <c r="BD43" s="664"/>
      <c r="BE43" s="664"/>
      <c r="BF43" s="664"/>
      <c r="BG43" s="664"/>
      <c r="BH43" s="664"/>
      <c r="BI43" s="664"/>
      <c r="BJ43" s="664"/>
      <c r="BK43" s="664"/>
      <c r="BL43" s="664"/>
      <c r="BM43" s="664"/>
      <c r="BN43" s="664"/>
      <c r="BO43" s="664"/>
      <c r="BP43" s="664"/>
    </row>
    <row r="44">
      <c r="A44" s="674" t="s">
        <v>84</v>
      </c>
      <c r="B44" s="675" t="s">
        <v>304</v>
      </c>
      <c r="C44" s="676" t="s">
        <v>255</v>
      </c>
      <c r="D44" s="677"/>
      <c r="E44" s="529">
        <v>16.0</v>
      </c>
      <c r="F44" s="413">
        <f t="shared" si="6"/>
        <v>13</v>
      </c>
      <c r="G44" s="414">
        <f t="shared" si="5"/>
        <v>3</v>
      </c>
      <c r="H44" s="536"/>
      <c r="I44" s="536"/>
      <c r="J44" s="536"/>
      <c r="K44" s="536"/>
      <c r="L44" s="536"/>
      <c r="M44" s="534"/>
      <c r="N44" s="533"/>
      <c r="O44" s="531"/>
      <c r="P44" s="531"/>
      <c r="Q44" s="531"/>
      <c r="R44" s="531"/>
      <c r="S44" s="531"/>
      <c r="T44" s="531"/>
      <c r="U44" s="531"/>
      <c r="V44" s="531"/>
      <c r="W44" s="531"/>
      <c r="X44" s="531"/>
      <c r="Y44" s="532"/>
      <c r="Z44" s="566"/>
      <c r="AA44" s="567"/>
      <c r="AB44" s="567"/>
      <c r="AC44" s="567"/>
      <c r="AD44" s="567"/>
      <c r="AE44" s="534"/>
      <c r="AF44" s="535"/>
      <c r="AG44" s="537"/>
      <c r="AH44" s="536"/>
      <c r="AI44" s="536"/>
      <c r="AJ44" s="536"/>
      <c r="AK44" s="531"/>
      <c r="AL44" s="531"/>
      <c r="AM44" s="531"/>
      <c r="AN44" s="532"/>
      <c r="AO44" s="535"/>
      <c r="AP44" s="536"/>
      <c r="AQ44" s="567"/>
      <c r="AR44" s="567"/>
      <c r="AS44" s="567"/>
      <c r="AT44" s="567"/>
      <c r="AU44" s="678"/>
      <c r="AV44" s="539"/>
      <c r="AW44" s="535"/>
      <c r="AX44" s="567"/>
      <c r="AY44" s="567"/>
      <c r="AZ44" s="567"/>
      <c r="BA44" s="679"/>
      <c r="BB44" s="680">
        <v>1.0</v>
      </c>
      <c r="BC44" s="537">
        <v>1.0</v>
      </c>
      <c r="BD44" s="537"/>
      <c r="BE44" s="536"/>
      <c r="BF44" s="540">
        <v>1.0</v>
      </c>
      <c r="BG44" s="540"/>
      <c r="BH44" s="540"/>
      <c r="BI44" s="540"/>
      <c r="BJ44" s="537"/>
      <c r="BK44" s="537"/>
      <c r="BL44" s="537"/>
      <c r="BM44" s="537"/>
      <c r="BN44" s="537"/>
      <c r="BO44" s="537"/>
      <c r="BP44" s="537"/>
    </row>
    <row r="45">
      <c r="A45" s="389"/>
      <c r="B45" s="681" t="s">
        <v>305</v>
      </c>
      <c r="C45" s="682" t="s">
        <v>255</v>
      </c>
      <c r="D45" s="683"/>
      <c r="E45" s="451">
        <v>16.0</v>
      </c>
      <c r="F45" s="452">
        <f t="shared" si="6"/>
        <v>9</v>
      </c>
      <c r="G45" s="453">
        <f t="shared" si="5"/>
        <v>7</v>
      </c>
      <c r="H45" s="465"/>
      <c r="I45" s="465"/>
      <c r="J45" s="465"/>
      <c r="K45" s="465"/>
      <c r="L45" s="465"/>
      <c r="M45" s="684"/>
      <c r="N45" s="460"/>
      <c r="O45" s="461"/>
      <c r="P45" s="461"/>
      <c r="Q45" s="461"/>
      <c r="R45" s="461"/>
      <c r="S45" s="461"/>
      <c r="T45" s="461"/>
      <c r="U45" s="461"/>
      <c r="V45" s="461"/>
      <c r="W45" s="461"/>
      <c r="X45" s="461"/>
      <c r="Y45" s="468"/>
      <c r="Z45" s="457"/>
      <c r="AA45" s="458"/>
      <c r="AB45" s="458"/>
      <c r="AC45" s="458"/>
      <c r="AD45" s="458"/>
      <c r="AE45" s="684"/>
      <c r="AF45" s="463"/>
      <c r="AG45" s="464"/>
      <c r="AH45" s="465"/>
      <c r="AI45" s="465"/>
      <c r="AJ45" s="465"/>
      <c r="AK45" s="461"/>
      <c r="AL45" s="461"/>
      <c r="AM45" s="461"/>
      <c r="AN45" s="468"/>
      <c r="AO45" s="463"/>
      <c r="AP45" s="465"/>
      <c r="AQ45" s="458"/>
      <c r="AR45" s="458"/>
      <c r="AS45" s="458"/>
      <c r="AT45" s="458"/>
      <c r="AU45" s="685"/>
      <c r="AV45" s="686"/>
      <c r="AW45" s="463"/>
      <c r="AX45" s="458"/>
      <c r="AY45" s="458"/>
      <c r="AZ45" s="458"/>
      <c r="BA45" s="459"/>
      <c r="BB45" s="455">
        <v>1.0</v>
      </c>
      <c r="BC45" s="464">
        <v>1.0</v>
      </c>
      <c r="BD45" s="464">
        <v>1.0</v>
      </c>
      <c r="BE45" s="464">
        <v>1.0</v>
      </c>
      <c r="BF45" s="469"/>
      <c r="BG45" s="469">
        <v>1.0</v>
      </c>
      <c r="BH45" s="469">
        <v>1.0</v>
      </c>
      <c r="BI45" s="469">
        <v>1.0</v>
      </c>
      <c r="BJ45" s="464"/>
      <c r="BK45" s="464"/>
      <c r="BL45" s="464"/>
      <c r="BM45" s="464"/>
      <c r="BN45" s="464"/>
      <c r="BO45" s="464"/>
      <c r="BP45" s="464"/>
    </row>
    <row r="46">
      <c r="A46" s="687"/>
      <c r="B46" s="442" t="s">
        <v>306</v>
      </c>
      <c r="C46" s="412">
        <v>50000.0</v>
      </c>
      <c r="D46" s="341"/>
      <c r="E46" s="562">
        <v>-1.0</v>
      </c>
      <c r="F46" s="413" t="str">
        <f t="shared" si="6"/>
        <v>-</v>
      </c>
      <c r="G46" s="443">
        <f t="shared" si="5"/>
        <v>0</v>
      </c>
      <c r="H46" s="355"/>
      <c r="I46" s="355"/>
      <c r="J46" s="355"/>
      <c r="K46" s="355"/>
      <c r="L46" s="355"/>
      <c r="M46" s="354"/>
      <c r="N46" s="349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1"/>
      <c r="Z46" s="352"/>
      <c r="AA46" s="353"/>
      <c r="AB46" s="353"/>
      <c r="AC46" s="353"/>
      <c r="AD46" s="353"/>
      <c r="AE46" s="354"/>
      <c r="AF46" s="347"/>
      <c r="AG46" s="419"/>
      <c r="AH46" s="355"/>
      <c r="AI46" s="355"/>
      <c r="AJ46" s="355"/>
      <c r="AK46" s="350"/>
      <c r="AL46" s="350"/>
      <c r="AM46" s="350"/>
      <c r="AN46" s="351"/>
      <c r="AO46" s="347"/>
      <c r="AP46" s="355"/>
      <c r="AQ46" s="353"/>
      <c r="AR46" s="353"/>
      <c r="AS46" s="353"/>
      <c r="AT46" s="353"/>
      <c r="AU46" s="356"/>
      <c r="AV46" s="357"/>
      <c r="AW46" s="347"/>
      <c r="AX46" s="353"/>
      <c r="AY46" s="353"/>
      <c r="AZ46" s="353"/>
      <c r="BA46" s="358"/>
      <c r="BB46" s="416"/>
      <c r="BC46" s="355"/>
      <c r="BD46" s="419"/>
      <c r="BE46" s="355"/>
      <c r="BF46" s="359"/>
      <c r="BG46" s="359"/>
      <c r="BH46" s="359"/>
      <c r="BI46" s="359"/>
      <c r="BJ46" s="419"/>
      <c r="BK46" s="419"/>
      <c r="BL46" s="419"/>
      <c r="BM46" s="419"/>
      <c r="BN46" s="419"/>
      <c r="BO46" s="419"/>
      <c r="BP46" s="419"/>
    </row>
    <row r="47">
      <c r="A47" s="688"/>
      <c r="B47" s="379" t="s">
        <v>307</v>
      </c>
      <c r="C47" s="445">
        <v>250000.0</v>
      </c>
      <c r="D47" s="361"/>
      <c r="E47" s="362">
        <v>-1.0</v>
      </c>
      <c r="F47" s="363" t="str">
        <f t="shared" si="6"/>
        <v>-</v>
      </c>
      <c r="G47" s="414">
        <f t="shared" si="5"/>
        <v>0</v>
      </c>
      <c r="H47" s="381"/>
      <c r="I47" s="381"/>
      <c r="J47" s="381"/>
      <c r="K47" s="381"/>
      <c r="L47" s="381"/>
      <c r="M47" s="446"/>
      <c r="N47" s="368"/>
      <c r="O47" s="369"/>
      <c r="P47" s="369"/>
      <c r="Q47" s="369"/>
      <c r="R47" s="369"/>
      <c r="S47" s="369"/>
      <c r="T47" s="369"/>
      <c r="U47" s="369"/>
      <c r="V47" s="369"/>
      <c r="W47" s="369"/>
      <c r="X47" s="369"/>
      <c r="Y47" s="370"/>
      <c r="Z47" s="371"/>
      <c r="AA47" s="372"/>
      <c r="AB47" s="372"/>
      <c r="AC47" s="372"/>
      <c r="AD47" s="372"/>
      <c r="AE47" s="373"/>
      <c r="AF47" s="374"/>
      <c r="AG47" s="381"/>
      <c r="AH47" s="375"/>
      <c r="AI47" s="375"/>
      <c r="AJ47" s="375"/>
      <c r="AK47" s="369"/>
      <c r="AL47" s="369"/>
      <c r="AM47" s="369"/>
      <c r="AN47" s="370"/>
      <c r="AO47" s="374"/>
      <c r="AP47" s="375"/>
      <c r="AQ47" s="372"/>
      <c r="AR47" s="372"/>
      <c r="AS47" s="372"/>
      <c r="AT47" s="372"/>
      <c r="AU47" s="376"/>
      <c r="AV47" s="377"/>
      <c r="AW47" s="374"/>
      <c r="AX47" s="372"/>
      <c r="AY47" s="372"/>
      <c r="AZ47" s="372"/>
      <c r="BA47" s="378"/>
      <c r="BB47" s="366"/>
      <c r="BC47" s="375"/>
      <c r="BD47" s="381"/>
      <c r="BE47" s="375"/>
      <c r="BF47" s="316"/>
      <c r="BG47" s="316"/>
      <c r="BH47" s="316"/>
      <c r="BI47" s="316"/>
      <c r="BJ47" s="381"/>
      <c r="BK47" s="381"/>
      <c r="BL47" s="381"/>
      <c r="BM47" s="381"/>
      <c r="BN47" s="381"/>
      <c r="BO47" s="381"/>
      <c r="BP47" s="381"/>
    </row>
    <row r="48">
      <c r="A48" s="689"/>
      <c r="B48" s="390" t="s">
        <v>308</v>
      </c>
      <c r="C48" s="690">
        <v>50000.0</v>
      </c>
      <c r="D48" s="391"/>
      <c r="E48" s="392">
        <v>-1.0</v>
      </c>
      <c r="F48" s="393" t="str">
        <f t="shared" si="6"/>
        <v>-</v>
      </c>
      <c r="G48" s="453">
        <f t="shared" si="5"/>
        <v>0</v>
      </c>
      <c r="H48" s="406"/>
      <c r="I48" s="406"/>
      <c r="J48" s="406"/>
      <c r="K48" s="406"/>
      <c r="L48" s="406"/>
      <c r="M48" s="404"/>
      <c r="N48" s="399"/>
      <c r="O48" s="400"/>
      <c r="P48" s="400"/>
      <c r="Q48" s="400"/>
      <c r="R48" s="400"/>
      <c r="S48" s="400"/>
      <c r="T48" s="400"/>
      <c r="U48" s="400"/>
      <c r="V48" s="400"/>
      <c r="W48" s="400"/>
      <c r="X48" s="400"/>
      <c r="Y48" s="401"/>
      <c r="Z48" s="402"/>
      <c r="AA48" s="403"/>
      <c r="AB48" s="403"/>
      <c r="AC48" s="403"/>
      <c r="AD48" s="403"/>
      <c r="AE48" s="404"/>
      <c r="AF48" s="405"/>
      <c r="AG48" s="691"/>
      <c r="AH48" s="406"/>
      <c r="AI48" s="406"/>
      <c r="AJ48" s="406"/>
      <c r="AK48" s="400"/>
      <c r="AL48" s="400"/>
      <c r="AM48" s="400"/>
      <c r="AN48" s="401"/>
      <c r="AO48" s="405"/>
      <c r="AP48" s="406"/>
      <c r="AQ48" s="403"/>
      <c r="AR48" s="403"/>
      <c r="AS48" s="403"/>
      <c r="AT48" s="403"/>
      <c r="AU48" s="407"/>
      <c r="AV48" s="408"/>
      <c r="AW48" s="405"/>
      <c r="AX48" s="403"/>
      <c r="AY48" s="403"/>
      <c r="AZ48" s="403"/>
      <c r="BA48" s="409"/>
      <c r="BB48" s="397"/>
      <c r="BC48" s="406"/>
      <c r="BD48" s="691"/>
      <c r="BE48" s="406"/>
      <c r="BF48" s="410"/>
      <c r="BG48" s="410"/>
      <c r="BH48" s="410"/>
      <c r="BI48" s="410"/>
      <c r="BJ48" s="691"/>
      <c r="BK48" s="691"/>
      <c r="BL48" s="691"/>
      <c r="BM48" s="691"/>
      <c r="BN48" s="691"/>
      <c r="BO48" s="691"/>
      <c r="BP48" s="691"/>
    </row>
    <row r="49" collapsed="1">
      <c r="A49" s="692"/>
      <c r="B49" s="693" t="s">
        <v>309</v>
      </c>
      <c r="C49" s="694"/>
      <c r="D49" s="694"/>
      <c r="E49" s="694"/>
      <c r="F49" s="694"/>
      <c r="G49" s="329"/>
      <c r="H49" s="695" t="b">
        <v>0</v>
      </c>
      <c r="I49" s="695" t="b">
        <v>0</v>
      </c>
      <c r="J49" s="695" t="b">
        <v>1</v>
      </c>
      <c r="K49" s="695" t="b">
        <v>1</v>
      </c>
      <c r="L49" s="695" t="b">
        <v>1</v>
      </c>
      <c r="M49" s="696" t="b">
        <v>1</v>
      </c>
      <c r="N49" s="697" t="b">
        <v>1</v>
      </c>
      <c r="O49" s="695" t="b">
        <v>1</v>
      </c>
      <c r="P49" s="695" t="b">
        <v>1</v>
      </c>
      <c r="Q49" s="695" t="b">
        <v>1</v>
      </c>
      <c r="R49" s="695" t="b">
        <v>1</v>
      </c>
      <c r="S49" s="695" t="b">
        <v>1</v>
      </c>
      <c r="T49" s="695" t="b">
        <v>1</v>
      </c>
      <c r="U49" s="695" t="b">
        <v>1</v>
      </c>
      <c r="V49" s="695" t="b">
        <v>1</v>
      </c>
      <c r="W49" s="695" t="b">
        <v>1</v>
      </c>
      <c r="X49" s="695" t="b">
        <v>1</v>
      </c>
      <c r="Y49" s="696" t="b">
        <v>1</v>
      </c>
      <c r="Z49" s="697" t="b">
        <v>1</v>
      </c>
      <c r="AA49" s="695" t="b">
        <v>1</v>
      </c>
      <c r="AB49" s="695" t="b">
        <v>1</v>
      </c>
      <c r="AC49" s="695" t="b">
        <v>1</v>
      </c>
      <c r="AD49" s="695" t="b">
        <v>1</v>
      </c>
      <c r="AE49" s="698" t="b">
        <v>0</v>
      </c>
      <c r="AF49" s="699" t="b">
        <v>0</v>
      </c>
      <c r="AG49" s="695" t="b">
        <v>0</v>
      </c>
      <c r="AH49" s="700" t="b">
        <v>0</v>
      </c>
      <c r="AI49" s="700" t="b">
        <v>0</v>
      </c>
      <c r="AJ49" s="695" t="b">
        <v>0</v>
      </c>
      <c r="AK49" s="695" t="b">
        <v>0</v>
      </c>
      <c r="AL49" s="695" t="b">
        <v>0</v>
      </c>
      <c r="AM49" s="695" t="b">
        <v>0</v>
      </c>
      <c r="AN49" s="696" t="b">
        <v>0</v>
      </c>
      <c r="AO49" s="699" t="b">
        <v>0</v>
      </c>
      <c r="AP49" s="700" t="b">
        <v>0</v>
      </c>
      <c r="AQ49" s="695" t="b">
        <v>0</v>
      </c>
      <c r="AR49" s="695" t="b">
        <v>0</v>
      </c>
      <c r="AS49" s="695" t="b">
        <v>0</v>
      </c>
      <c r="AT49" s="695" t="b">
        <v>0</v>
      </c>
      <c r="AU49" s="701" t="b">
        <v>0</v>
      </c>
      <c r="AV49" s="702" t="b">
        <v>0</v>
      </c>
      <c r="AW49" s="699" t="b">
        <v>0</v>
      </c>
      <c r="AX49" s="695" t="b">
        <v>0</v>
      </c>
      <c r="AY49" s="695" t="b">
        <v>0</v>
      </c>
      <c r="AZ49" s="695" t="b">
        <v>0</v>
      </c>
      <c r="BA49" s="696" t="b">
        <v>0</v>
      </c>
      <c r="BB49" s="697" t="b">
        <v>0</v>
      </c>
      <c r="BC49" s="700" t="b">
        <v>0</v>
      </c>
      <c r="BD49" s="695" t="b">
        <v>0</v>
      </c>
      <c r="BE49" s="700" t="b">
        <v>0</v>
      </c>
      <c r="BF49" s="703" t="b">
        <v>0</v>
      </c>
      <c r="BG49" s="703" t="b">
        <v>0</v>
      </c>
      <c r="BH49" s="703" t="b">
        <v>0</v>
      </c>
      <c r="BI49" s="703" t="b">
        <v>0</v>
      </c>
      <c r="BJ49" s="695" t="b">
        <v>0</v>
      </c>
      <c r="BK49" s="695" t="b">
        <v>0</v>
      </c>
      <c r="BL49" s="695" t="b">
        <v>0</v>
      </c>
      <c r="BM49" s="695" t="b">
        <v>0</v>
      </c>
      <c r="BN49" s="695" t="b">
        <v>0</v>
      </c>
      <c r="BO49" s="695" t="b">
        <v>0</v>
      </c>
      <c r="BP49" s="695" t="b">
        <v>0</v>
      </c>
    </row>
    <row r="50" hidden="1" outlineLevel="1">
      <c r="A50" s="704"/>
      <c r="B50" s="705" t="s">
        <v>310</v>
      </c>
      <c r="C50" s="706"/>
      <c r="D50" s="706"/>
      <c r="E50" s="706"/>
      <c r="F50" s="706"/>
      <c r="G50" s="271"/>
      <c r="H50" s="707">
        <f t="shared" ref="H50:I50" si="7">sum(H18:H23)</f>
        <v>0</v>
      </c>
      <c r="I50" s="707">
        <f t="shared" si="7"/>
        <v>0</v>
      </c>
      <c r="J50" s="708"/>
      <c r="K50" s="708"/>
      <c r="L50" s="708"/>
      <c r="M50" s="709"/>
      <c r="N50" s="710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9"/>
      <c r="Z50" s="710"/>
      <c r="AA50" s="708"/>
      <c r="AB50" s="708"/>
      <c r="AC50" s="708"/>
      <c r="AD50" s="708"/>
      <c r="AE50" s="711"/>
      <c r="AF50" s="712"/>
      <c r="AG50" s="713"/>
      <c r="AH50" s="707"/>
      <c r="AI50" s="707"/>
      <c r="AJ50" s="707"/>
      <c r="AK50" s="707"/>
      <c r="AL50" s="707"/>
      <c r="AM50" s="707"/>
      <c r="AN50" s="711"/>
      <c r="AO50" s="712"/>
      <c r="AP50" s="707"/>
      <c r="AQ50" s="707"/>
      <c r="AR50" s="707"/>
      <c r="AS50" s="707"/>
      <c r="AT50" s="707"/>
      <c r="AU50" s="714"/>
      <c r="AV50" s="715"/>
      <c r="AW50" s="712"/>
      <c r="AX50" s="707"/>
      <c r="AY50" s="707"/>
      <c r="AZ50" s="707"/>
      <c r="BA50" s="711"/>
      <c r="BB50" s="716"/>
      <c r="BC50" s="707"/>
      <c r="BD50" s="713"/>
      <c r="BE50" s="707"/>
      <c r="BF50" s="717"/>
      <c r="BG50" s="717"/>
      <c r="BH50" s="717"/>
      <c r="BI50" s="717"/>
      <c r="BJ50" s="713"/>
      <c r="BK50" s="713"/>
      <c r="BL50" s="713"/>
      <c r="BM50" s="713"/>
      <c r="BN50" s="713"/>
      <c r="BO50" s="713"/>
      <c r="BP50" s="713"/>
    </row>
    <row r="51" hidden="1" outlineLevel="1">
      <c r="A51" s="704"/>
      <c r="B51" s="705" t="s">
        <v>311</v>
      </c>
      <c r="C51" s="706"/>
      <c r="D51" s="706"/>
      <c r="E51" s="706"/>
      <c r="F51" s="706"/>
      <c r="G51" s="271"/>
      <c r="H51" s="713"/>
      <c r="I51" s="713"/>
      <c r="J51" s="713">
        <f t="shared" ref="J51:K51" si="8">sum(J24:J26)</f>
        <v>1</v>
      </c>
      <c r="K51" s="713">
        <f t="shared" si="8"/>
        <v>1</v>
      </c>
      <c r="L51" s="713">
        <f>sum(L25:L26)</f>
        <v>0</v>
      </c>
      <c r="M51" s="718">
        <f t="shared" ref="M51:Y51" si="9">sum(M24:M26)</f>
        <v>0</v>
      </c>
      <c r="N51" s="716">
        <f t="shared" si="9"/>
        <v>1</v>
      </c>
      <c r="O51" s="713">
        <f t="shared" si="9"/>
        <v>1</v>
      </c>
      <c r="P51" s="713">
        <f t="shared" si="9"/>
        <v>1</v>
      </c>
      <c r="Q51" s="713">
        <f t="shared" si="9"/>
        <v>1</v>
      </c>
      <c r="R51" s="713">
        <f t="shared" si="9"/>
        <v>1</v>
      </c>
      <c r="S51" s="713">
        <f t="shared" si="9"/>
        <v>1</v>
      </c>
      <c r="T51" s="713">
        <f t="shared" si="9"/>
        <v>1</v>
      </c>
      <c r="U51" s="713">
        <f t="shared" si="9"/>
        <v>1</v>
      </c>
      <c r="V51" s="713">
        <f t="shared" si="9"/>
        <v>1</v>
      </c>
      <c r="W51" s="713">
        <f t="shared" si="9"/>
        <v>1</v>
      </c>
      <c r="X51" s="713">
        <f t="shared" si="9"/>
        <v>1</v>
      </c>
      <c r="Y51" s="718">
        <f t="shared" si="9"/>
        <v>1</v>
      </c>
      <c r="Z51" s="710"/>
      <c r="AA51" s="708"/>
      <c r="AB51" s="708"/>
      <c r="AC51" s="708"/>
      <c r="AD51" s="708"/>
      <c r="AE51" s="711"/>
      <c r="AF51" s="712"/>
      <c r="AG51" s="713"/>
      <c r="AH51" s="707"/>
      <c r="AI51" s="707"/>
      <c r="AJ51" s="707"/>
      <c r="AK51" s="707"/>
      <c r="AL51" s="707"/>
      <c r="AM51" s="707"/>
      <c r="AN51" s="711"/>
      <c r="AO51" s="712"/>
      <c r="AP51" s="707"/>
      <c r="AQ51" s="707"/>
      <c r="AR51" s="707"/>
      <c r="AS51" s="707"/>
      <c r="AT51" s="707"/>
      <c r="AU51" s="714"/>
      <c r="AV51" s="715"/>
      <c r="AW51" s="712"/>
      <c r="AX51" s="707"/>
      <c r="AY51" s="707"/>
      <c r="AZ51" s="707"/>
      <c r="BA51" s="711"/>
      <c r="BB51" s="716"/>
      <c r="BC51" s="707"/>
      <c r="BD51" s="713"/>
      <c r="BE51" s="707"/>
      <c r="BF51" s="717"/>
      <c r="BG51" s="717"/>
      <c r="BH51" s="717"/>
      <c r="BI51" s="717"/>
      <c r="BJ51" s="713"/>
      <c r="BK51" s="713"/>
      <c r="BL51" s="713"/>
      <c r="BM51" s="713"/>
      <c r="BN51" s="713"/>
      <c r="BO51" s="713"/>
      <c r="BP51" s="713"/>
    </row>
    <row r="52" hidden="1" outlineLevel="1">
      <c r="A52" s="704"/>
      <c r="B52" s="705" t="s">
        <v>312</v>
      </c>
      <c r="C52" s="706"/>
      <c r="D52" s="706"/>
      <c r="E52" s="706"/>
      <c r="F52" s="706"/>
      <c r="G52" s="271"/>
      <c r="H52" s="707">
        <f t="shared" ref="H52:AD52" si="10">sum(H27:H30)</f>
        <v>0</v>
      </c>
      <c r="I52" s="707">
        <f t="shared" si="10"/>
        <v>0</v>
      </c>
      <c r="J52" s="707">
        <f t="shared" si="10"/>
        <v>4</v>
      </c>
      <c r="K52" s="707">
        <f t="shared" si="10"/>
        <v>4</v>
      </c>
      <c r="L52" s="707">
        <f t="shared" si="10"/>
        <v>4</v>
      </c>
      <c r="M52" s="711">
        <f t="shared" si="10"/>
        <v>4</v>
      </c>
      <c r="N52" s="712">
        <f t="shared" si="10"/>
        <v>2</v>
      </c>
      <c r="O52" s="707">
        <f t="shared" si="10"/>
        <v>2</v>
      </c>
      <c r="P52" s="707">
        <f t="shared" si="10"/>
        <v>2</v>
      </c>
      <c r="Q52" s="707">
        <f t="shared" si="10"/>
        <v>2</v>
      </c>
      <c r="R52" s="707">
        <f t="shared" si="10"/>
        <v>2</v>
      </c>
      <c r="S52" s="707">
        <f t="shared" si="10"/>
        <v>2</v>
      </c>
      <c r="T52" s="707">
        <f t="shared" si="10"/>
        <v>2</v>
      </c>
      <c r="U52" s="707">
        <f t="shared" si="10"/>
        <v>2</v>
      </c>
      <c r="V52" s="707">
        <f t="shared" si="10"/>
        <v>2</v>
      </c>
      <c r="W52" s="707">
        <f t="shared" si="10"/>
        <v>3</v>
      </c>
      <c r="X52" s="707">
        <f t="shared" si="10"/>
        <v>2</v>
      </c>
      <c r="Y52" s="711">
        <f t="shared" si="10"/>
        <v>2</v>
      </c>
      <c r="Z52" s="712">
        <f t="shared" si="10"/>
        <v>2</v>
      </c>
      <c r="AA52" s="707">
        <f t="shared" si="10"/>
        <v>2</v>
      </c>
      <c r="AB52" s="707">
        <f t="shared" si="10"/>
        <v>2</v>
      </c>
      <c r="AC52" s="707">
        <f t="shared" si="10"/>
        <v>2</v>
      </c>
      <c r="AD52" s="707">
        <f t="shared" si="10"/>
        <v>2</v>
      </c>
      <c r="AE52" s="711"/>
      <c r="AF52" s="712"/>
      <c r="AG52" s="713"/>
      <c r="AH52" s="707"/>
      <c r="AI52" s="707"/>
      <c r="AJ52" s="707"/>
      <c r="AK52" s="707"/>
      <c r="AL52" s="707"/>
      <c r="AM52" s="707"/>
      <c r="AN52" s="711"/>
      <c r="AO52" s="712"/>
      <c r="AP52" s="707"/>
      <c r="AQ52" s="707"/>
      <c r="AR52" s="707"/>
      <c r="AS52" s="707"/>
      <c r="AT52" s="707"/>
      <c r="AU52" s="714"/>
      <c r="AV52" s="715"/>
      <c r="AW52" s="712"/>
      <c r="AX52" s="707"/>
      <c r="AY52" s="707"/>
      <c r="AZ52" s="707"/>
      <c r="BA52" s="711"/>
      <c r="BB52" s="716"/>
      <c r="BC52" s="707"/>
      <c r="BD52" s="713"/>
      <c r="BE52" s="707"/>
      <c r="BF52" s="717"/>
      <c r="BG52" s="717"/>
      <c r="BH52" s="717"/>
      <c r="BI52" s="717"/>
      <c r="BJ52" s="713"/>
      <c r="BK52" s="713"/>
      <c r="BL52" s="713"/>
      <c r="BM52" s="713"/>
      <c r="BN52" s="713"/>
      <c r="BO52" s="713"/>
      <c r="BP52" s="713"/>
    </row>
    <row r="53" hidden="1" outlineLevel="1">
      <c r="A53" s="704"/>
      <c r="B53" s="705" t="s">
        <v>313</v>
      </c>
      <c r="C53" s="706"/>
      <c r="D53" s="706"/>
      <c r="E53" s="706"/>
      <c r="F53" s="706"/>
      <c r="G53" s="271"/>
      <c r="H53" s="707">
        <f t="shared" ref="H53:AD53" si="11">sum(H31:H34)</f>
        <v>0</v>
      </c>
      <c r="I53" s="707">
        <f t="shared" si="11"/>
        <v>0</v>
      </c>
      <c r="J53" s="707">
        <f t="shared" si="11"/>
        <v>3</v>
      </c>
      <c r="K53" s="707">
        <f t="shared" si="11"/>
        <v>3</v>
      </c>
      <c r="L53" s="707">
        <f t="shared" si="11"/>
        <v>3</v>
      </c>
      <c r="M53" s="711">
        <f t="shared" si="11"/>
        <v>3</v>
      </c>
      <c r="N53" s="712">
        <f t="shared" si="11"/>
        <v>3</v>
      </c>
      <c r="O53" s="707">
        <f t="shared" si="11"/>
        <v>3</v>
      </c>
      <c r="P53" s="707">
        <f t="shared" si="11"/>
        <v>3</v>
      </c>
      <c r="Q53" s="707">
        <f t="shared" si="11"/>
        <v>3</v>
      </c>
      <c r="R53" s="707">
        <f t="shared" si="11"/>
        <v>3</v>
      </c>
      <c r="S53" s="707">
        <f t="shared" si="11"/>
        <v>3</v>
      </c>
      <c r="T53" s="707">
        <f t="shared" si="11"/>
        <v>3</v>
      </c>
      <c r="U53" s="707">
        <f t="shared" si="11"/>
        <v>3</v>
      </c>
      <c r="V53" s="707">
        <f t="shared" si="11"/>
        <v>6</v>
      </c>
      <c r="W53" s="707">
        <f t="shared" si="11"/>
        <v>3</v>
      </c>
      <c r="X53" s="707">
        <f t="shared" si="11"/>
        <v>3</v>
      </c>
      <c r="Y53" s="711">
        <f t="shared" si="11"/>
        <v>3</v>
      </c>
      <c r="Z53" s="712">
        <f t="shared" si="11"/>
        <v>1</v>
      </c>
      <c r="AA53" s="707">
        <f t="shared" si="11"/>
        <v>1</v>
      </c>
      <c r="AB53" s="707">
        <f t="shared" si="11"/>
        <v>1</v>
      </c>
      <c r="AC53" s="707">
        <f t="shared" si="11"/>
        <v>1</v>
      </c>
      <c r="AD53" s="707">
        <f t="shared" si="11"/>
        <v>1</v>
      </c>
      <c r="AE53" s="711"/>
      <c r="AF53" s="712"/>
      <c r="AG53" s="713"/>
      <c r="AH53" s="707"/>
      <c r="AI53" s="707"/>
      <c r="AJ53" s="707"/>
      <c r="AK53" s="707"/>
      <c r="AL53" s="707"/>
      <c r="AM53" s="707"/>
      <c r="AN53" s="711"/>
      <c r="AO53" s="712"/>
      <c r="AP53" s="707"/>
      <c r="AQ53" s="707"/>
      <c r="AR53" s="707"/>
      <c r="AS53" s="707"/>
      <c r="AT53" s="707"/>
      <c r="AU53" s="714"/>
      <c r="AV53" s="715"/>
      <c r="AW53" s="712"/>
      <c r="AX53" s="707"/>
      <c r="AY53" s="707"/>
      <c r="AZ53" s="707"/>
      <c r="BA53" s="711"/>
      <c r="BB53" s="716"/>
      <c r="BC53" s="707"/>
      <c r="BD53" s="713"/>
      <c r="BE53" s="707"/>
      <c r="BF53" s="717"/>
      <c r="BG53" s="717"/>
      <c r="BH53" s="717"/>
      <c r="BI53" s="717"/>
      <c r="BJ53" s="713"/>
      <c r="BK53" s="713"/>
      <c r="BL53" s="713"/>
      <c r="BM53" s="713"/>
      <c r="BN53" s="713"/>
      <c r="BO53" s="713"/>
      <c r="BP53" s="713"/>
    </row>
    <row r="54" hidden="1" outlineLevel="1">
      <c r="A54" s="704"/>
      <c r="B54" s="705" t="s">
        <v>314</v>
      </c>
      <c r="C54" s="706"/>
      <c r="D54" s="706"/>
      <c r="E54" s="706"/>
      <c r="F54" s="706"/>
      <c r="G54" s="271"/>
      <c r="H54" s="707">
        <f t="shared" ref="H54:AD54" si="12">sum(H35:H38)</f>
        <v>0</v>
      </c>
      <c r="I54" s="707">
        <f t="shared" si="12"/>
        <v>0</v>
      </c>
      <c r="J54" s="707">
        <f t="shared" si="12"/>
        <v>4</v>
      </c>
      <c r="K54" s="707">
        <f t="shared" si="12"/>
        <v>4</v>
      </c>
      <c r="L54" s="707">
        <f t="shared" si="12"/>
        <v>5</v>
      </c>
      <c r="M54" s="711">
        <f t="shared" si="12"/>
        <v>4</v>
      </c>
      <c r="N54" s="712">
        <f t="shared" si="12"/>
        <v>3</v>
      </c>
      <c r="O54" s="707">
        <f t="shared" si="12"/>
        <v>4</v>
      </c>
      <c r="P54" s="707">
        <f t="shared" si="12"/>
        <v>3</v>
      </c>
      <c r="Q54" s="707">
        <f t="shared" si="12"/>
        <v>4</v>
      </c>
      <c r="R54" s="707">
        <f t="shared" si="12"/>
        <v>3</v>
      </c>
      <c r="S54" s="707">
        <f t="shared" si="12"/>
        <v>3</v>
      </c>
      <c r="T54" s="707">
        <f t="shared" si="12"/>
        <v>3</v>
      </c>
      <c r="U54" s="707">
        <f t="shared" si="12"/>
        <v>3</v>
      </c>
      <c r="V54" s="707">
        <f t="shared" si="12"/>
        <v>3</v>
      </c>
      <c r="W54" s="707">
        <f t="shared" si="12"/>
        <v>3</v>
      </c>
      <c r="X54" s="707">
        <f t="shared" si="12"/>
        <v>3</v>
      </c>
      <c r="Y54" s="711">
        <f t="shared" si="12"/>
        <v>3</v>
      </c>
      <c r="Z54" s="712">
        <f t="shared" si="12"/>
        <v>2</v>
      </c>
      <c r="AA54" s="707">
        <f t="shared" si="12"/>
        <v>2</v>
      </c>
      <c r="AB54" s="707">
        <f t="shared" si="12"/>
        <v>2</v>
      </c>
      <c r="AC54" s="707">
        <f t="shared" si="12"/>
        <v>2</v>
      </c>
      <c r="AD54" s="707">
        <f t="shared" si="12"/>
        <v>2</v>
      </c>
      <c r="AE54" s="711"/>
      <c r="AF54" s="712"/>
      <c r="AG54" s="713"/>
      <c r="AH54" s="707"/>
      <c r="AI54" s="707"/>
      <c r="AJ54" s="707"/>
      <c r="AK54" s="707"/>
      <c r="AL54" s="707"/>
      <c r="AM54" s="707"/>
      <c r="AN54" s="711"/>
      <c r="AO54" s="712"/>
      <c r="AP54" s="707"/>
      <c r="AQ54" s="707"/>
      <c r="AR54" s="707"/>
      <c r="AS54" s="707"/>
      <c r="AT54" s="707"/>
      <c r="AU54" s="714"/>
      <c r="AV54" s="715"/>
      <c r="AW54" s="712"/>
      <c r="AX54" s="707"/>
      <c r="AY54" s="707"/>
      <c r="AZ54" s="707"/>
      <c r="BA54" s="711"/>
      <c r="BB54" s="716"/>
      <c r="BC54" s="707"/>
      <c r="BD54" s="713"/>
      <c r="BE54" s="707"/>
      <c r="BF54" s="717"/>
      <c r="BG54" s="717"/>
      <c r="BH54" s="717"/>
      <c r="BI54" s="717"/>
      <c r="BJ54" s="713"/>
      <c r="BK54" s="713"/>
      <c r="BL54" s="713"/>
      <c r="BM54" s="713"/>
      <c r="BN54" s="713"/>
      <c r="BO54" s="713"/>
      <c r="BP54" s="713"/>
    </row>
    <row r="55" hidden="1" outlineLevel="1">
      <c r="A55" s="704"/>
      <c r="B55" s="705" t="s">
        <v>315</v>
      </c>
      <c r="C55" s="706"/>
      <c r="D55" s="706"/>
      <c r="E55" s="706"/>
      <c r="F55" s="706"/>
      <c r="G55" s="271"/>
      <c r="H55" s="707">
        <f t="shared" ref="H55:AD55" si="13">sum(H39:H43)</f>
        <v>0</v>
      </c>
      <c r="I55" s="707">
        <f t="shared" si="13"/>
        <v>0</v>
      </c>
      <c r="J55" s="707">
        <f t="shared" si="13"/>
        <v>3</v>
      </c>
      <c r="K55" s="707">
        <f t="shared" si="13"/>
        <v>3</v>
      </c>
      <c r="L55" s="707">
        <f t="shared" si="13"/>
        <v>3</v>
      </c>
      <c r="M55" s="711">
        <f t="shared" si="13"/>
        <v>3</v>
      </c>
      <c r="N55" s="712">
        <f t="shared" si="13"/>
        <v>3</v>
      </c>
      <c r="O55" s="707">
        <f t="shared" si="13"/>
        <v>3</v>
      </c>
      <c r="P55" s="707">
        <f t="shared" si="13"/>
        <v>3</v>
      </c>
      <c r="Q55" s="707">
        <f t="shared" si="13"/>
        <v>2</v>
      </c>
      <c r="R55" s="707">
        <f t="shared" si="13"/>
        <v>3</v>
      </c>
      <c r="S55" s="707">
        <f t="shared" si="13"/>
        <v>3</v>
      </c>
      <c r="T55" s="707">
        <f t="shared" si="13"/>
        <v>3</v>
      </c>
      <c r="U55" s="707">
        <f t="shared" si="13"/>
        <v>3</v>
      </c>
      <c r="V55" s="707">
        <f t="shared" si="13"/>
        <v>0</v>
      </c>
      <c r="W55" s="707">
        <f t="shared" si="13"/>
        <v>2</v>
      </c>
      <c r="X55" s="707">
        <f t="shared" si="13"/>
        <v>3</v>
      </c>
      <c r="Y55" s="711">
        <f t="shared" si="13"/>
        <v>3</v>
      </c>
      <c r="Z55" s="712">
        <f t="shared" si="13"/>
        <v>2</v>
      </c>
      <c r="AA55" s="707">
        <f t="shared" si="13"/>
        <v>2</v>
      </c>
      <c r="AB55" s="707">
        <f t="shared" si="13"/>
        <v>2</v>
      </c>
      <c r="AC55" s="707">
        <f t="shared" si="13"/>
        <v>2</v>
      </c>
      <c r="AD55" s="707">
        <f t="shared" si="13"/>
        <v>2</v>
      </c>
      <c r="AE55" s="711"/>
      <c r="AF55" s="712"/>
      <c r="AG55" s="713"/>
      <c r="AH55" s="707"/>
      <c r="AI55" s="707"/>
      <c r="AJ55" s="707"/>
      <c r="AK55" s="707"/>
      <c r="AL55" s="707"/>
      <c r="AM55" s="707"/>
      <c r="AN55" s="711"/>
      <c r="AO55" s="712"/>
      <c r="AP55" s="707"/>
      <c r="AQ55" s="707"/>
      <c r="AR55" s="707"/>
      <c r="AS55" s="707"/>
      <c r="AT55" s="707"/>
      <c r="AU55" s="714"/>
      <c r="AV55" s="715"/>
      <c r="AW55" s="712"/>
      <c r="AX55" s="707"/>
      <c r="AY55" s="707"/>
      <c r="AZ55" s="707"/>
      <c r="BA55" s="711"/>
      <c r="BB55" s="716"/>
      <c r="BC55" s="707"/>
      <c r="BD55" s="713"/>
      <c r="BE55" s="707"/>
      <c r="BF55" s="717"/>
      <c r="BG55" s="717"/>
      <c r="BH55" s="717"/>
      <c r="BI55" s="717"/>
      <c r="BJ55" s="713"/>
      <c r="BK55" s="713"/>
      <c r="BL55" s="713"/>
      <c r="BM55" s="713"/>
      <c r="BN55" s="713"/>
      <c r="BO55" s="713"/>
      <c r="BP55" s="713"/>
    </row>
    <row r="56">
      <c r="A56" s="719"/>
      <c r="B56" s="720" t="s">
        <v>316</v>
      </c>
      <c r="C56" s="721"/>
      <c r="D56" s="721"/>
      <c r="E56" s="721"/>
      <c r="F56" s="721"/>
      <c r="G56" s="722"/>
      <c r="H56" s="719" t="b">
        <v>0</v>
      </c>
      <c r="I56" s="719" t="b">
        <v>0</v>
      </c>
      <c r="J56" s="719" t="b">
        <v>1</v>
      </c>
      <c r="K56" s="719" t="b">
        <v>1</v>
      </c>
      <c r="L56" s="719" t="b">
        <v>1</v>
      </c>
      <c r="M56" s="723" t="b">
        <v>0</v>
      </c>
      <c r="N56" s="724" t="b">
        <v>1</v>
      </c>
      <c r="O56" s="719" t="b">
        <v>1</v>
      </c>
      <c r="P56" s="719" t="b">
        <v>1</v>
      </c>
      <c r="Q56" s="719" t="b">
        <v>0</v>
      </c>
      <c r="R56" s="719" t="b">
        <v>1</v>
      </c>
      <c r="S56" s="719" t="b">
        <v>1</v>
      </c>
      <c r="T56" s="719" t="b">
        <v>0</v>
      </c>
      <c r="U56" s="719" t="b">
        <v>1</v>
      </c>
      <c r="V56" s="719" t="b">
        <v>1</v>
      </c>
      <c r="W56" s="719" t="b">
        <v>1</v>
      </c>
      <c r="X56" s="719" t="b">
        <v>0</v>
      </c>
      <c r="Y56" s="723" t="b">
        <v>1</v>
      </c>
      <c r="Z56" s="724" t="b">
        <v>1</v>
      </c>
      <c r="AA56" s="719" t="b">
        <v>1</v>
      </c>
      <c r="AB56" s="719" t="b">
        <v>1</v>
      </c>
      <c r="AC56" s="719" t="b">
        <v>1</v>
      </c>
      <c r="AD56" s="719" t="b">
        <v>1</v>
      </c>
      <c r="AE56" s="723" t="b">
        <v>0</v>
      </c>
      <c r="AF56" s="725" t="b">
        <v>0</v>
      </c>
      <c r="AG56" s="726" t="b">
        <v>0</v>
      </c>
      <c r="AH56" s="726" t="b">
        <v>0</v>
      </c>
      <c r="AI56" s="726" t="b">
        <v>0</v>
      </c>
      <c r="AJ56" s="726" t="b">
        <v>0</v>
      </c>
      <c r="AK56" s="726" t="b">
        <v>0</v>
      </c>
      <c r="AL56" s="719" t="b">
        <v>0</v>
      </c>
      <c r="AM56" s="719" t="b">
        <v>0</v>
      </c>
      <c r="AN56" s="723" t="b">
        <v>0</v>
      </c>
      <c r="AO56" s="724" t="b">
        <v>0</v>
      </c>
      <c r="AP56" s="719" t="b">
        <v>0</v>
      </c>
      <c r="AQ56" s="719" t="b">
        <v>0</v>
      </c>
      <c r="AR56" s="719" t="b">
        <v>0</v>
      </c>
      <c r="AS56" s="719" t="b">
        <v>0</v>
      </c>
      <c r="AT56" s="719" t="b">
        <v>0</v>
      </c>
      <c r="AU56" s="727" t="b">
        <v>0</v>
      </c>
      <c r="AV56" s="728" t="b">
        <v>0</v>
      </c>
      <c r="AW56" s="724" t="b">
        <v>0</v>
      </c>
      <c r="AX56" s="719" t="b">
        <v>0</v>
      </c>
      <c r="AY56" s="719" t="b">
        <v>0</v>
      </c>
      <c r="AZ56" s="719" t="b">
        <v>0</v>
      </c>
      <c r="BA56" s="723" t="b">
        <v>0</v>
      </c>
      <c r="BB56" s="724" t="b">
        <v>0</v>
      </c>
      <c r="BC56" s="719" t="b">
        <v>0</v>
      </c>
      <c r="BD56" s="719" t="b">
        <v>1</v>
      </c>
      <c r="BE56" s="719" t="b">
        <v>1</v>
      </c>
      <c r="BF56" s="719" t="b">
        <v>1</v>
      </c>
      <c r="BG56" s="719" t="b">
        <v>0</v>
      </c>
      <c r="BH56" s="719" t="b">
        <v>0</v>
      </c>
      <c r="BI56" s="719" t="b">
        <v>1</v>
      </c>
      <c r="BJ56" s="719" t="b">
        <v>0</v>
      </c>
      <c r="BK56" s="719" t="b">
        <v>0</v>
      </c>
      <c r="BL56" s="719" t="b">
        <v>0</v>
      </c>
      <c r="BM56" s="719" t="b">
        <v>0</v>
      </c>
      <c r="BN56" s="719" t="b">
        <v>0</v>
      </c>
      <c r="BO56" s="719" t="b">
        <v>0</v>
      </c>
      <c r="BP56" s="719" t="b">
        <v>0</v>
      </c>
    </row>
    <row r="57">
      <c r="A57" s="729"/>
      <c r="B57" s="730" t="s">
        <v>56</v>
      </c>
      <c r="C57" s="731"/>
      <c r="D57" s="731"/>
      <c r="E57" s="732"/>
      <c r="F57" s="733">
        <f t="shared" ref="F57:F60" si="14">sum(J57:BP57)</f>
        <v>7274000</v>
      </c>
      <c r="G57" s="329"/>
      <c r="H57" s="734"/>
      <c r="I57" s="734"/>
      <c r="J57" s="734">
        <v>405000.0</v>
      </c>
      <c r="K57" s="734">
        <v>405000.0</v>
      </c>
      <c r="L57" s="734">
        <v>405000.0</v>
      </c>
      <c r="M57" s="735">
        <v>500000.0</v>
      </c>
      <c r="N57" s="736">
        <v>198000.0</v>
      </c>
      <c r="O57" s="734">
        <v>216000.0</v>
      </c>
      <c r="P57" s="734">
        <v>198000.0</v>
      </c>
      <c r="Q57" s="734">
        <v>198000.0</v>
      </c>
      <c r="R57" s="734">
        <v>220000.0</v>
      </c>
      <c r="S57" s="734">
        <v>220000.0</v>
      </c>
      <c r="T57" s="734">
        <v>198000.0</v>
      </c>
      <c r="U57" s="734">
        <v>198000.0</v>
      </c>
      <c r="V57" s="734">
        <v>230000.0</v>
      </c>
      <c r="W57" s="734">
        <v>198000.0</v>
      </c>
      <c r="X57" s="734">
        <v>198000.0</v>
      </c>
      <c r="Y57" s="735">
        <v>220000.0</v>
      </c>
      <c r="Z57" s="736">
        <v>150000.0</v>
      </c>
      <c r="AA57" s="734">
        <v>108000.0</v>
      </c>
      <c r="AB57" s="734">
        <v>120000.0</v>
      </c>
      <c r="AC57" s="734">
        <v>108000.0</v>
      </c>
      <c r="AD57" s="734">
        <v>114000.0</v>
      </c>
      <c r="AE57" s="735">
        <v>108000.0</v>
      </c>
      <c r="AF57" s="736">
        <v>120000.0</v>
      </c>
      <c r="AG57" s="734">
        <v>120000.0</v>
      </c>
      <c r="AH57" s="734">
        <v>350000.0</v>
      </c>
      <c r="AI57" s="734">
        <v>120000.0</v>
      </c>
      <c r="AJ57" s="734">
        <v>120000.0</v>
      </c>
      <c r="AK57" s="737">
        <v>120000.0</v>
      </c>
      <c r="AL57" s="734">
        <v>120000.0</v>
      </c>
      <c r="AM57" s="734">
        <v>120000.0</v>
      </c>
      <c r="AN57" s="735">
        <v>120000.0</v>
      </c>
      <c r="AO57" s="736">
        <v>250000.0</v>
      </c>
      <c r="AP57" s="734">
        <v>10000.0</v>
      </c>
      <c r="AQ57" s="734">
        <v>105000.0</v>
      </c>
      <c r="AR57" s="734">
        <v>25000.0</v>
      </c>
      <c r="AS57" s="734">
        <v>63000.0</v>
      </c>
      <c r="AT57" s="734">
        <v>20000.0</v>
      </c>
      <c r="AU57" s="738">
        <v>36000.0</v>
      </c>
      <c r="AV57" s="739"/>
      <c r="AW57" s="736"/>
      <c r="AX57" s="734"/>
      <c r="AY57" s="734">
        <v>44000.0</v>
      </c>
      <c r="AZ57" s="734">
        <v>160000.0</v>
      </c>
      <c r="BA57" s="735">
        <v>36000.0</v>
      </c>
      <c r="BB57" s="736">
        <v>40000.0</v>
      </c>
      <c r="BC57" s="736">
        <v>40000.0</v>
      </c>
      <c r="BD57" s="734">
        <v>25000.0</v>
      </c>
      <c r="BE57" s="734">
        <v>25000.0</v>
      </c>
      <c r="BF57" s="734">
        <v>25000.0</v>
      </c>
      <c r="BG57" s="734">
        <v>25000.0</v>
      </c>
      <c r="BH57" s="734">
        <v>25000.0</v>
      </c>
      <c r="BI57" s="734">
        <v>25000.0</v>
      </c>
      <c r="BJ57" s="734">
        <v>10000.0</v>
      </c>
      <c r="BK57" s="734">
        <v>10000.0</v>
      </c>
      <c r="BL57" s="734">
        <v>10000.0</v>
      </c>
      <c r="BM57" s="734">
        <v>10000.0</v>
      </c>
      <c r="BN57" s="734">
        <v>10000.0</v>
      </c>
      <c r="BO57" s="734">
        <v>10000.0</v>
      </c>
      <c r="BP57" s="734">
        <v>10000.0</v>
      </c>
    </row>
    <row r="58">
      <c r="A58" s="287"/>
      <c r="B58" s="740" t="s">
        <v>317</v>
      </c>
      <c r="C58" s="741"/>
      <c r="D58" s="741"/>
      <c r="E58" s="741"/>
      <c r="F58" s="742">
        <f t="shared" si="14"/>
        <v>6674000</v>
      </c>
      <c r="G58" s="271"/>
      <c r="H58" s="743">
        <f t="shared" ref="H58:AU58" si="15">H57-H59</f>
        <v>0</v>
      </c>
      <c r="I58" s="743">
        <f t="shared" si="15"/>
        <v>0</v>
      </c>
      <c r="J58" s="743">
        <f t="shared" si="15"/>
        <v>405000</v>
      </c>
      <c r="K58" s="743">
        <f t="shared" si="15"/>
        <v>405000</v>
      </c>
      <c r="L58" s="743">
        <f t="shared" si="15"/>
        <v>405000</v>
      </c>
      <c r="M58" s="744">
        <f t="shared" si="15"/>
        <v>500000</v>
      </c>
      <c r="N58" s="745">
        <f t="shared" si="15"/>
        <v>198000</v>
      </c>
      <c r="O58" s="743">
        <f t="shared" si="15"/>
        <v>216000</v>
      </c>
      <c r="P58" s="743">
        <f t="shared" si="15"/>
        <v>198000</v>
      </c>
      <c r="Q58" s="743">
        <f t="shared" si="15"/>
        <v>150000</v>
      </c>
      <c r="R58" s="743">
        <f t="shared" si="15"/>
        <v>220000</v>
      </c>
      <c r="S58" s="743">
        <f t="shared" si="15"/>
        <v>220000</v>
      </c>
      <c r="T58" s="743">
        <f t="shared" si="15"/>
        <v>162000</v>
      </c>
      <c r="U58" s="743">
        <f t="shared" si="15"/>
        <v>198000</v>
      </c>
      <c r="V58" s="743">
        <f t="shared" si="15"/>
        <v>230000</v>
      </c>
      <c r="W58" s="743">
        <f t="shared" si="15"/>
        <v>198000</v>
      </c>
      <c r="X58" s="743">
        <f t="shared" si="15"/>
        <v>198000</v>
      </c>
      <c r="Y58" s="744">
        <f t="shared" si="15"/>
        <v>200000</v>
      </c>
      <c r="Z58" s="745">
        <f t="shared" si="15"/>
        <v>150000</v>
      </c>
      <c r="AA58" s="743">
        <f t="shared" si="15"/>
        <v>108000</v>
      </c>
      <c r="AB58" s="743">
        <f t="shared" si="15"/>
        <v>120000</v>
      </c>
      <c r="AC58" s="743">
        <f t="shared" si="15"/>
        <v>108000</v>
      </c>
      <c r="AD58" s="743">
        <f t="shared" si="15"/>
        <v>114000</v>
      </c>
      <c r="AE58" s="744">
        <f t="shared" si="15"/>
        <v>0</v>
      </c>
      <c r="AF58" s="745">
        <f t="shared" si="15"/>
        <v>120000</v>
      </c>
      <c r="AG58" s="743">
        <f t="shared" si="15"/>
        <v>120000</v>
      </c>
      <c r="AH58" s="743">
        <f t="shared" si="15"/>
        <v>350000</v>
      </c>
      <c r="AI58" s="743">
        <f t="shared" si="15"/>
        <v>120000</v>
      </c>
      <c r="AJ58" s="743">
        <f t="shared" si="15"/>
        <v>120000</v>
      </c>
      <c r="AK58" s="743">
        <f t="shared" si="15"/>
        <v>120000</v>
      </c>
      <c r="AL58" s="743">
        <f t="shared" si="15"/>
        <v>120000</v>
      </c>
      <c r="AM58" s="743">
        <f t="shared" si="15"/>
        <v>120000</v>
      </c>
      <c r="AN58" s="744">
        <f t="shared" si="15"/>
        <v>120000</v>
      </c>
      <c r="AO58" s="745">
        <f t="shared" si="15"/>
        <v>250000</v>
      </c>
      <c r="AP58" s="743">
        <f t="shared" si="15"/>
        <v>10000</v>
      </c>
      <c r="AQ58" s="743">
        <f t="shared" si="15"/>
        <v>105000</v>
      </c>
      <c r="AR58" s="743">
        <f t="shared" si="15"/>
        <v>25000</v>
      </c>
      <c r="AS58" s="743">
        <f t="shared" si="15"/>
        <v>20000</v>
      </c>
      <c r="AT58" s="743">
        <f t="shared" si="15"/>
        <v>20000</v>
      </c>
      <c r="AU58" s="746">
        <f t="shared" si="15"/>
        <v>36000</v>
      </c>
      <c r="AV58" s="747"/>
      <c r="AW58" s="745"/>
      <c r="AX58" s="743">
        <f>AX57-AX59</f>
        <v>0</v>
      </c>
      <c r="AY58" s="743"/>
      <c r="AZ58" s="743">
        <f t="shared" ref="AZ58:BO58" si="16">AZ57-AZ59</f>
        <v>160000</v>
      </c>
      <c r="BA58" s="744">
        <f t="shared" si="16"/>
        <v>0</v>
      </c>
      <c r="BB58" s="745">
        <f t="shared" si="16"/>
        <v>0</v>
      </c>
      <c r="BC58" s="743">
        <f t="shared" si="16"/>
        <v>0</v>
      </c>
      <c r="BD58" s="743">
        <f t="shared" si="16"/>
        <v>0</v>
      </c>
      <c r="BE58" s="743">
        <f t="shared" si="16"/>
        <v>0</v>
      </c>
      <c r="BF58" s="743">
        <f t="shared" si="16"/>
        <v>0</v>
      </c>
      <c r="BG58" s="743">
        <f t="shared" si="16"/>
        <v>0</v>
      </c>
      <c r="BH58" s="743">
        <f t="shared" si="16"/>
        <v>0</v>
      </c>
      <c r="BI58" s="743">
        <f t="shared" si="16"/>
        <v>25000</v>
      </c>
      <c r="BJ58" s="743">
        <f t="shared" si="16"/>
        <v>0</v>
      </c>
      <c r="BK58" s="743">
        <f t="shared" si="16"/>
        <v>0</v>
      </c>
      <c r="BL58" s="743">
        <f t="shared" si="16"/>
        <v>0</v>
      </c>
      <c r="BM58" s="743">
        <f t="shared" si="16"/>
        <v>10000</v>
      </c>
      <c r="BN58" s="743">
        <f t="shared" si="16"/>
        <v>0</v>
      </c>
      <c r="BO58" s="743">
        <f t="shared" si="16"/>
        <v>0</v>
      </c>
      <c r="BP58" s="743">
        <v>0.0</v>
      </c>
    </row>
    <row r="59">
      <c r="A59" s="748"/>
      <c r="B59" s="749" t="s">
        <v>318</v>
      </c>
      <c r="C59" s="750"/>
      <c r="D59" s="750"/>
      <c r="E59" s="750"/>
      <c r="F59" s="751">
        <f t="shared" si="14"/>
        <v>600000</v>
      </c>
      <c r="G59" s="271"/>
      <c r="H59" s="752"/>
      <c r="I59" s="752"/>
      <c r="J59" s="752">
        <v>0.0</v>
      </c>
      <c r="K59" s="752">
        <v>0.0</v>
      </c>
      <c r="L59" s="752"/>
      <c r="M59" s="753"/>
      <c r="N59" s="754">
        <v>0.0</v>
      </c>
      <c r="O59" s="752">
        <v>0.0</v>
      </c>
      <c r="P59" s="752">
        <v>0.0</v>
      </c>
      <c r="Q59" s="752">
        <v>48000.0</v>
      </c>
      <c r="R59" s="752"/>
      <c r="S59" s="752"/>
      <c r="T59" s="752">
        <v>36000.0</v>
      </c>
      <c r="U59" s="752"/>
      <c r="V59" s="752"/>
      <c r="W59" s="752"/>
      <c r="X59" s="752"/>
      <c r="Y59" s="753">
        <v>20000.0</v>
      </c>
      <c r="Z59" s="754">
        <v>0.0</v>
      </c>
      <c r="AA59" s="752">
        <v>0.0</v>
      </c>
      <c r="AB59" s="752"/>
      <c r="AC59" s="752"/>
      <c r="AD59" s="752"/>
      <c r="AE59" s="755">
        <v>108000.0</v>
      </c>
      <c r="AF59" s="754"/>
      <c r="AG59" s="752"/>
      <c r="AH59" s="752"/>
      <c r="AI59" s="752"/>
      <c r="AJ59" s="752"/>
      <c r="AK59" s="752"/>
      <c r="AL59" s="752"/>
      <c r="AM59" s="752"/>
      <c r="AN59" s="753"/>
      <c r="AO59" s="754"/>
      <c r="AP59" s="737"/>
      <c r="AQ59" s="752"/>
      <c r="AR59" s="737"/>
      <c r="AS59" s="737">
        <v>43000.0</v>
      </c>
      <c r="AT59" s="737"/>
      <c r="AU59" s="756"/>
      <c r="AV59" s="757"/>
      <c r="AW59" s="758"/>
      <c r="AX59" s="752"/>
      <c r="AY59" s="737">
        <v>44000.0</v>
      </c>
      <c r="AZ59" s="737"/>
      <c r="BA59" s="755">
        <v>36000.0</v>
      </c>
      <c r="BB59" s="736">
        <v>40000.0</v>
      </c>
      <c r="BC59" s="736">
        <v>40000.0</v>
      </c>
      <c r="BD59" s="734">
        <v>25000.0</v>
      </c>
      <c r="BE59" s="734">
        <v>25000.0</v>
      </c>
      <c r="BF59" s="734">
        <v>25000.0</v>
      </c>
      <c r="BG59" s="734">
        <v>25000.0</v>
      </c>
      <c r="BH59" s="734">
        <v>25000.0</v>
      </c>
      <c r="BI59" s="734"/>
      <c r="BJ59" s="752">
        <v>10000.0</v>
      </c>
      <c r="BK59" s="752">
        <v>10000.0</v>
      </c>
      <c r="BL59" s="752">
        <v>10000.0</v>
      </c>
      <c r="BM59" s="752"/>
      <c r="BN59" s="734">
        <v>10000.0</v>
      </c>
      <c r="BO59" s="734">
        <v>10000.0</v>
      </c>
      <c r="BP59" s="734">
        <v>10000.0</v>
      </c>
    </row>
    <row r="60">
      <c r="A60" s="748"/>
      <c r="B60" s="749" t="s">
        <v>319</v>
      </c>
      <c r="C60" s="750"/>
      <c r="D60" s="750"/>
      <c r="E60" s="750"/>
      <c r="F60" s="751">
        <f t="shared" si="14"/>
        <v>238000</v>
      </c>
      <c r="G60" s="271"/>
      <c r="H60" s="752">
        <f t="shared" ref="H60:I60" si="17">(H18+H19+H24+H25)*20000+H37*2000</f>
        <v>0</v>
      </c>
      <c r="I60" s="752">
        <f t="shared" si="17"/>
        <v>0</v>
      </c>
      <c r="J60" s="752"/>
      <c r="K60" s="752"/>
      <c r="L60" s="752"/>
      <c r="M60" s="753"/>
      <c r="N60" s="754"/>
      <c r="O60" s="752">
        <f t="shared" ref="O60:S60" si="18">(O18+O19+O24+O25)*20000+O37*2000</f>
        <v>4000</v>
      </c>
      <c r="P60" s="752">
        <f t="shared" si="18"/>
        <v>22000</v>
      </c>
      <c r="Q60" s="752">
        <f t="shared" si="18"/>
        <v>24000</v>
      </c>
      <c r="R60" s="752">
        <f t="shared" si="18"/>
        <v>22000</v>
      </c>
      <c r="S60" s="752">
        <f t="shared" si="18"/>
        <v>22000</v>
      </c>
      <c r="T60" s="752"/>
      <c r="U60" s="752">
        <v>22000.0</v>
      </c>
      <c r="V60" s="752"/>
      <c r="W60" s="752"/>
      <c r="X60" s="752"/>
      <c r="Y60" s="753"/>
      <c r="Z60" s="754">
        <f t="shared" ref="Z60:AA60" si="19">(Z18+Z19+Z24+Z25)*20000+Z37*2000</f>
        <v>0</v>
      </c>
      <c r="AA60" s="752">
        <f t="shared" si="19"/>
        <v>0</v>
      </c>
      <c r="AB60" s="752"/>
      <c r="AC60" s="752"/>
      <c r="AD60" s="752"/>
      <c r="AE60" s="753"/>
      <c r="AF60" s="754">
        <f t="shared" ref="AF60:AJ60" si="20">(AF18+AF19+AF24+AF25)*20000+AF37*2000</f>
        <v>20000</v>
      </c>
      <c r="AG60" s="752">
        <f t="shared" si="20"/>
        <v>20000</v>
      </c>
      <c r="AH60" s="752">
        <f t="shared" si="20"/>
        <v>40000</v>
      </c>
      <c r="AI60" s="752">
        <f t="shared" si="20"/>
        <v>20000</v>
      </c>
      <c r="AJ60" s="752">
        <f t="shared" si="20"/>
        <v>20000</v>
      </c>
      <c r="AK60" s="752"/>
      <c r="AL60" s="752"/>
      <c r="AM60" s="752"/>
      <c r="AN60" s="753"/>
      <c r="AO60" s="754"/>
      <c r="AP60" s="752"/>
      <c r="AQ60" s="752"/>
      <c r="AR60" s="752"/>
      <c r="AS60" s="752"/>
      <c r="AT60" s="752"/>
      <c r="AU60" s="759"/>
      <c r="AV60" s="760">
        <v>2000.0</v>
      </c>
      <c r="AW60" s="754"/>
      <c r="AX60" s="752"/>
      <c r="AY60" s="752"/>
      <c r="AZ60" s="752"/>
      <c r="BA60" s="753"/>
      <c r="BB60" s="761"/>
      <c r="BC60" s="754"/>
      <c r="BD60" s="762"/>
      <c r="BE60" s="752"/>
      <c r="BF60" s="762"/>
      <c r="BG60" s="762"/>
      <c r="BH60" s="762"/>
      <c r="BI60" s="762"/>
      <c r="BJ60" s="762"/>
      <c r="BK60" s="752"/>
      <c r="BL60" s="762"/>
      <c r="BM60" s="762"/>
      <c r="BN60" s="762"/>
      <c r="BO60" s="762"/>
      <c r="BP60" s="762"/>
    </row>
    <row r="61">
      <c r="A61" s="763"/>
      <c r="B61" s="764" t="s">
        <v>320</v>
      </c>
      <c r="C61" s="765"/>
      <c r="D61" s="765"/>
      <c r="E61" s="765"/>
      <c r="F61" s="766" t="s">
        <v>321</v>
      </c>
      <c r="G61" s="271"/>
      <c r="H61" s="767"/>
      <c r="I61" s="767"/>
      <c r="J61" s="767" t="s">
        <v>322</v>
      </c>
      <c r="K61" s="767" t="s">
        <v>323</v>
      </c>
      <c r="L61" s="767" t="s">
        <v>323</v>
      </c>
      <c r="M61" s="768" t="s">
        <v>323</v>
      </c>
      <c r="N61" s="769" t="s">
        <v>323</v>
      </c>
      <c r="O61" s="767" t="s">
        <v>323</v>
      </c>
      <c r="P61" s="767" t="s">
        <v>323</v>
      </c>
      <c r="Q61" s="767" t="s">
        <v>323</v>
      </c>
      <c r="R61" s="767" t="s">
        <v>323</v>
      </c>
      <c r="S61" s="767" t="s">
        <v>323</v>
      </c>
      <c r="T61" s="767" t="s">
        <v>323</v>
      </c>
      <c r="U61" s="767" t="s">
        <v>323</v>
      </c>
      <c r="V61" s="767" t="s">
        <v>323</v>
      </c>
      <c r="W61" s="767" t="s">
        <v>323</v>
      </c>
      <c r="X61" s="767" t="s">
        <v>323</v>
      </c>
      <c r="Y61" s="768" t="s">
        <v>323</v>
      </c>
      <c r="Z61" s="769" t="s">
        <v>323</v>
      </c>
      <c r="AA61" s="767" t="s">
        <v>323</v>
      </c>
      <c r="AB61" s="767" t="s">
        <v>323</v>
      </c>
      <c r="AC61" s="767" t="s">
        <v>323</v>
      </c>
      <c r="AD61" s="767" t="s">
        <v>323</v>
      </c>
      <c r="AE61" s="768" t="s">
        <v>323</v>
      </c>
      <c r="AF61" s="769" t="s">
        <v>323</v>
      </c>
      <c r="AG61" s="767" t="s">
        <v>323</v>
      </c>
      <c r="AH61" s="767" t="s">
        <v>323</v>
      </c>
      <c r="AI61" s="767" t="s">
        <v>323</v>
      </c>
      <c r="AJ61" s="767" t="s">
        <v>323</v>
      </c>
      <c r="AK61" s="767" t="s">
        <v>323</v>
      </c>
      <c r="AL61" s="767" t="s">
        <v>323</v>
      </c>
      <c r="AM61" s="767" t="s">
        <v>323</v>
      </c>
      <c r="AN61" s="768" t="s">
        <v>323</v>
      </c>
      <c r="AO61" s="769" t="s">
        <v>323</v>
      </c>
      <c r="AP61" s="767" t="s">
        <v>323</v>
      </c>
      <c r="AQ61" s="767" t="s">
        <v>323</v>
      </c>
      <c r="AR61" s="767" t="s">
        <v>323</v>
      </c>
      <c r="AS61" s="767" t="s">
        <v>323</v>
      </c>
      <c r="AT61" s="767" t="s">
        <v>323</v>
      </c>
      <c r="AU61" s="770"/>
      <c r="AV61" s="771" t="s">
        <v>323</v>
      </c>
      <c r="AW61" s="769" t="s">
        <v>323</v>
      </c>
      <c r="AX61" s="767"/>
      <c r="AY61" s="767"/>
      <c r="AZ61" s="767" t="s">
        <v>323</v>
      </c>
      <c r="BA61" s="768"/>
      <c r="BB61" s="769" t="s">
        <v>323</v>
      </c>
      <c r="BC61" s="770" t="s">
        <v>323</v>
      </c>
      <c r="BD61" s="767" t="s">
        <v>323</v>
      </c>
      <c r="BE61" s="770" t="s">
        <v>323</v>
      </c>
      <c r="BF61" s="767" t="s">
        <v>323</v>
      </c>
      <c r="BG61" s="767" t="s">
        <v>323</v>
      </c>
      <c r="BH61" s="767" t="s">
        <v>323</v>
      </c>
      <c r="BI61" s="767" t="s">
        <v>323</v>
      </c>
      <c r="BJ61" s="767" t="s">
        <v>323</v>
      </c>
      <c r="BK61" s="770" t="s">
        <v>323</v>
      </c>
      <c r="BL61" s="767" t="s">
        <v>323</v>
      </c>
      <c r="BM61" s="767" t="s">
        <v>323</v>
      </c>
      <c r="BN61" s="767" t="s">
        <v>323</v>
      </c>
      <c r="BO61" s="767" t="s">
        <v>323</v>
      </c>
      <c r="BP61" s="767" t="s">
        <v>323</v>
      </c>
    </row>
    <row r="62">
      <c r="A62" s="763"/>
      <c r="B62" s="764" t="s">
        <v>324</v>
      </c>
      <c r="C62" s="765"/>
      <c r="D62" s="765"/>
      <c r="E62" s="765"/>
      <c r="F62" s="772" t="str">
        <f>"已付款總額："&amp;sumif(J62:BP62,"1. 已付款",J58:BP58)</f>
        <v>已付款總額：6251000</v>
      </c>
      <c r="G62" s="329"/>
      <c r="H62" s="773"/>
      <c r="I62" s="773"/>
      <c r="J62" s="767" t="s">
        <v>325</v>
      </c>
      <c r="K62" s="767" t="s">
        <v>325</v>
      </c>
      <c r="L62" s="767" t="s">
        <v>325</v>
      </c>
      <c r="M62" s="768" t="s">
        <v>325</v>
      </c>
      <c r="N62" s="769" t="s">
        <v>325</v>
      </c>
      <c r="O62" s="767" t="s">
        <v>325</v>
      </c>
      <c r="P62" s="767" t="s">
        <v>325</v>
      </c>
      <c r="Q62" s="767" t="s">
        <v>325</v>
      </c>
      <c r="R62" s="767" t="s">
        <v>325</v>
      </c>
      <c r="S62" s="767" t="s">
        <v>325</v>
      </c>
      <c r="T62" s="767" t="s">
        <v>325</v>
      </c>
      <c r="U62" s="767" t="s">
        <v>325</v>
      </c>
      <c r="V62" s="767" t="s">
        <v>325</v>
      </c>
      <c r="W62" s="767" t="s">
        <v>325</v>
      </c>
      <c r="X62" s="767" t="s">
        <v>326</v>
      </c>
      <c r="Y62" s="768" t="s">
        <v>326</v>
      </c>
      <c r="Z62" s="769" t="s">
        <v>325</v>
      </c>
      <c r="AA62" s="767" t="s">
        <v>325</v>
      </c>
      <c r="AB62" s="767" t="s">
        <v>325</v>
      </c>
      <c r="AC62" s="767" t="s">
        <v>325</v>
      </c>
      <c r="AD62" s="767" t="s">
        <v>325</v>
      </c>
      <c r="AE62" s="768"/>
      <c r="AF62" s="769" t="s">
        <v>325</v>
      </c>
      <c r="AG62" s="767" t="s">
        <v>325</v>
      </c>
      <c r="AH62" s="767" t="s">
        <v>325</v>
      </c>
      <c r="AI62" s="767" t="s">
        <v>325</v>
      </c>
      <c r="AJ62" s="767" t="s">
        <v>325</v>
      </c>
      <c r="AK62" s="767" t="s">
        <v>325</v>
      </c>
      <c r="AL62" s="767" t="s">
        <v>325</v>
      </c>
      <c r="AM62" s="767" t="s">
        <v>325</v>
      </c>
      <c r="AN62" s="768" t="s">
        <v>325</v>
      </c>
      <c r="AO62" s="769" t="s">
        <v>325</v>
      </c>
      <c r="AP62" s="767" t="s">
        <v>325</v>
      </c>
      <c r="AQ62" s="767" t="s">
        <v>325</v>
      </c>
      <c r="AR62" s="767" t="s">
        <v>325</v>
      </c>
      <c r="AS62" s="767" t="s">
        <v>325</v>
      </c>
      <c r="AT62" s="767" t="s">
        <v>325</v>
      </c>
      <c r="AU62" s="770" t="s">
        <v>325</v>
      </c>
      <c r="AV62" s="771"/>
      <c r="AW62" s="769"/>
      <c r="AX62" s="767"/>
      <c r="AY62" s="767"/>
      <c r="AZ62" s="767" t="s">
        <v>325</v>
      </c>
      <c r="BA62" s="768"/>
      <c r="BB62" s="769"/>
      <c r="BC62" s="769"/>
      <c r="BD62" s="767"/>
      <c r="BE62" s="767"/>
      <c r="BF62" s="767"/>
      <c r="BG62" s="767"/>
      <c r="BH62" s="767"/>
      <c r="BI62" s="767" t="s">
        <v>327</v>
      </c>
      <c r="BJ62" s="767"/>
      <c r="BK62" s="767"/>
      <c r="BL62" s="767"/>
      <c r="BM62" s="767" t="s">
        <v>325</v>
      </c>
      <c r="BN62" s="767"/>
      <c r="BO62" s="767"/>
      <c r="BP62" s="767"/>
    </row>
    <row r="63">
      <c r="A63" s="763"/>
      <c r="B63" s="764" t="s">
        <v>319</v>
      </c>
      <c r="C63" s="765"/>
      <c r="D63" s="765"/>
      <c r="E63" s="765"/>
      <c r="F63" s="774" t="s">
        <v>328</v>
      </c>
      <c r="G63" s="329"/>
      <c r="H63" s="773"/>
      <c r="I63" s="773"/>
      <c r="J63" s="767" t="s">
        <v>329</v>
      </c>
      <c r="K63" s="767" t="s">
        <v>330</v>
      </c>
      <c r="L63" s="767" t="s">
        <v>330</v>
      </c>
      <c r="M63" s="768"/>
      <c r="N63" s="769"/>
      <c r="O63" s="767" t="s">
        <v>330</v>
      </c>
      <c r="P63" s="767" t="s">
        <v>330</v>
      </c>
      <c r="Q63" s="767"/>
      <c r="R63" s="767"/>
      <c r="S63" s="767"/>
      <c r="T63" s="767"/>
      <c r="U63" s="767" t="s">
        <v>330</v>
      </c>
      <c r="V63" s="767"/>
      <c r="W63" s="767"/>
      <c r="X63" s="767"/>
      <c r="Y63" s="768"/>
      <c r="Z63" s="769"/>
      <c r="AA63" s="767"/>
      <c r="AB63" s="767"/>
      <c r="AC63" s="767"/>
      <c r="AD63" s="767"/>
      <c r="AE63" s="768"/>
      <c r="AF63" s="769" t="s">
        <v>330</v>
      </c>
      <c r="AG63" s="767"/>
      <c r="AH63" s="767" t="s">
        <v>330</v>
      </c>
      <c r="AI63" s="767" t="s">
        <v>330</v>
      </c>
      <c r="AJ63" s="767"/>
      <c r="AK63" s="767"/>
      <c r="AL63" s="767"/>
      <c r="AM63" s="767"/>
      <c r="AN63" s="768"/>
      <c r="AO63" s="769"/>
      <c r="AP63" s="767"/>
      <c r="AQ63" s="767"/>
      <c r="AR63" s="767"/>
      <c r="AS63" s="767"/>
      <c r="AT63" s="767"/>
      <c r="AU63" s="770"/>
      <c r="AV63" s="771" t="s">
        <v>331</v>
      </c>
      <c r="AW63" s="769"/>
      <c r="AX63" s="767"/>
      <c r="AY63" s="767"/>
      <c r="AZ63" s="767"/>
      <c r="BA63" s="768"/>
      <c r="BB63" s="775"/>
      <c r="BC63" s="776"/>
      <c r="BD63" s="776"/>
      <c r="BE63" s="776"/>
      <c r="BF63" s="776"/>
      <c r="BG63" s="776"/>
      <c r="BH63" s="776"/>
      <c r="BI63" s="776"/>
      <c r="BJ63" s="776"/>
      <c r="BK63" s="776"/>
      <c r="BL63" s="776"/>
      <c r="BM63" s="776"/>
      <c r="BN63" s="776"/>
      <c r="BO63" s="776"/>
      <c r="BP63" s="776"/>
    </row>
    <row r="64">
      <c r="A64" s="777"/>
      <c r="B64" s="778" t="s">
        <v>332</v>
      </c>
      <c r="C64" s="779"/>
      <c r="D64" s="779"/>
      <c r="E64" s="779"/>
      <c r="F64" s="780" t="s">
        <v>333</v>
      </c>
      <c r="G64" s="271"/>
      <c r="H64" s="781"/>
      <c r="I64" s="781"/>
      <c r="J64" s="781" t="s">
        <v>334</v>
      </c>
      <c r="K64" s="781"/>
      <c r="L64" s="781"/>
      <c r="M64" s="782"/>
      <c r="N64" s="783"/>
      <c r="O64" s="781"/>
      <c r="P64" s="781"/>
      <c r="Q64" s="781"/>
      <c r="R64" s="781"/>
      <c r="S64" s="781"/>
      <c r="T64" s="781"/>
      <c r="U64" s="781"/>
      <c r="V64" s="781"/>
      <c r="W64" s="781"/>
      <c r="X64" s="781"/>
      <c r="Y64" s="782"/>
      <c r="Z64" s="783"/>
      <c r="AA64" s="781"/>
      <c r="AB64" s="781"/>
      <c r="AC64" s="781"/>
      <c r="AD64" s="781"/>
      <c r="AE64" s="782"/>
      <c r="AF64" s="783"/>
      <c r="AG64" s="781"/>
      <c r="AH64" s="781"/>
      <c r="AI64" s="781"/>
      <c r="AJ64" s="781"/>
      <c r="AK64" s="781"/>
      <c r="AL64" s="781"/>
      <c r="AM64" s="781"/>
      <c r="AN64" s="782"/>
      <c r="AO64" s="783"/>
      <c r="AP64" s="781"/>
      <c r="AQ64" s="781"/>
      <c r="AR64" s="781"/>
      <c r="AS64" s="781"/>
      <c r="AT64" s="781"/>
      <c r="AU64" s="784"/>
      <c r="AV64" s="785"/>
      <c r="AW64" s="783"/>
      <c r="AX64" s="781"/>
      <c r="AY64" s="781"/>
      <c r="AZ64" s="781"/>
      <c r="BA64" s="782"/>
      <c r="BB64" s="786"/>
      <c r="BC64" s="786"/>
      <c r="BD64" s="787"/>
      <c r="BE64" s="787"/>
      <c r="BF64" s="787"/>
      <c r="BG64" s="788"/>
      <c r="BH64" s="788"/>
      <c r="BI64" s="788"/>
      <c r="BJ64" s="787"/>
      <c r="BK64" s="788"/>
      <c r="BL64" s="787"/>
      <c r="BM64" s="787"/>
      <c r="BN64" s="787"/>
      <c r="BO64" s="787"/>
      <c r="BP64" s="787"/>
    </row>
  </sheetData>
  <mergeCells count="38">
    <mergeCell ref="A1:B1"/>
    <mergeCell ref="C1:C3"/>
    <mergeCell ref="D1:D3"/>
    <mergeCell ref="E1:E3"/>
    <mergeCell ref="F1:F3"/>
    <mergeCell ref="G1:G3"/>
    <mergeCell ref="A2:B2"/>
    <mergeCell ref="A3:B3"/>
    <mergeCell ref="A4:B4"/>
    <mergeCell ref="C4:D5"/>
    <mergeCell ref="E4:E5"/>
    <mergeCell ref="F4:F5"/>
    <mergeCell ref="G4:G5"/>
    <mergeCell ref="A5:B5"/>
    <mergeCell ref="A6:A17"/>
    <mergeCell ref="A18:A23"/>
    <mergeCell ref="A24:A26"/>
    <mergeCell ref="A27:A30"/>
    <mergeCell ref="A31:A34"/>
    <mergeCell ref="A35:A38"/>
    <mergeCell ref="A39:A43"/>
    <mergeCell ref="A44:A45"/>
    <mergeCell ref="B49:G49"/>
    <mergeCell ref="B50:G50"/>
    <mergeCell ref="B51:G51"/>
    <mergeCell ref="B52:G52"/>
    <mergeCell ref="B53:G53"/>
    <mergeCell ref="B54:G54"/>
    <mergeCell ref="F62:G62"/>
    <mergeCell ref="F63:G63"/>
    <mergeCell ref="F64:G64"/>
    <mergeCell ref="B55:G55"/>
    <mergeCell ref="B56:G56"/>
    <mergeCell ref="F57:G57"/>
    <mergeCell ref="F58:G58"/>
    <mergeCell ref="F59:G59"/>
    <mergeCell ref="F60:G60"/>
    <mergeCell ref="F61:G61"/>
  </mergeCells>
  <conditionalFormatting sqref="C6:F48">
    <cfRule type="cellIs" dxfId="15" priority="1" operator="lessThan">
      <formula>0</formula>
    </cfRule>
  </conditionalFormatting>
  <conditionalFormatting sqref="H6:J48 K6:L34 M6:M48 N6:N34 BJ6:BP48 S31 K36:L48 N36:N48">
    <cfRule type="cellIs" dxfId="16" priority="2" operator="equal">
      <formula>0</formula>
    </cfRule>
  </conditionalFormatting>
  <conditionalFormatting sqref="C6:F48">
    <cfRule type="cellIs" dxfId="17" priority="3" operator="equal">
      <formula>0</formula>
    </cfRule>
  </conditionalFormatting>
  <conditionalFormatting sqref="H27:BP27 J31:N31 P31:U31 W31:AA31 AC31:AD31 AQ31 AX31 AY33 BA35:BA36 H36:AZ36 BB36:BP36 J39:K39 M39:N39 P39:R39 U39 W39:Y39">
    <cfRule type="cellIs" dxfId="18" priority="4" operator="greaterThan">
      <formula>1</formula>
    </cfRule>
  </conditionalFormatting>
  <conditionalFormatting sqref="H37:BP37">
    <cfRule type="cellIs" dxfId="18" priority="5" operator="greaterThan">
      <formula>2</formula>
    </cfRule>
  </conditionalFormatting>
  <conditionalFormatting sqref="AK57:AK60 H58:AJ60 AL58:BA60 BB58:BI58 BJ58:BM60 BN58:BP58 BB60:BI60 BN60:BP60">
    <cfRule type="cellIs" dxfId="19" priority="6" operator="lessThanOrEqual">
      <formula>0</formula>
    </cfRule>
  </conditionalFormatting>
  <conditionalFormatting sqref="J51:Y51 Z53:AD53">
    <cfRule type="cellIs" dxfId="20" priority="7" operator="notEqual">
      <formula>1</formula>
    </cfRule>
  </conditionalFormatting>
  <conditionalFormatting sqref="H50:I50 H52:M52 J54:M54">
    <cfRule type="cellIs" dxfId="20" priority="8" operator="notEqual">
      <formula>4</formula>
    </cfRule>
  </conditionalFormatting>
  <conditionalFormatting sqref="I50 N52:AD52 Z54:AD55">
    <cfRule type="cellIs" dxfId="20" priority="9" operator="notEqual">
      <formula>2</formula>
    </cfRule>
  </conditionalFormatting>
  <conditionalFormatting sqref="H54:I54">
    <cfRule type="cellIs" dxfId="20" priority="10" operator="notEqual">
      <formula>5</formula>
    </cfRule>
  </conditionalFormatting>
  <conditionalFormatting sqref="H53:M53 N53:Y55 H55:M55">
    <cfRule type="cellIs" dxfId="20" priority="11" operator="notEqual">
      <formula>3</formula>
    </cfRule>
  </conditionalFormatting>
  <dataValidations>
    <dataValidation type="list" allowBlank="1" showErrorMessage="1" sqref="H61:BP61">
      <formula1>"0. 洽談中,1. 製作中,2. 確認中,2. 待簽回,3. 已簽回"</formula1>
    </dataValidation>
    <dataValidation type="list" allowBlank="1" showErrorMessage="1" sqref="H63:BD63 BF63:BP63">
      <formula1>"0. 無,1. 未付,2. 已付,3. 已退,4. 其它"</formula1>
    </dataValidation>
    <dataValidation type="list" allowBlank="1" showErrorMessage="1" sqref="H62:BP62 BE63:BE64">
      <formula1>"0. 待付款,1. 已付款,1. 已交付"</formula1>
    </dataValidation>
    <dataValidation type="list" allowBlank="1" sqref="H2:BP2">
      <formula1>"白金級,黃金級,鈦金級,銀級,銅級,單買,其他,花車,友善飯店,市集"</formula1>
    </dataValidation>
  </dataValidations>
  <hyperlinks>
    <hyperlink r:id="rId2" ref="A1"/>
    <hyperlink r:id="rId3" ref="AV3"/>
  </hyperlink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10.13"/>
    <col customWidth="1" min="3" max="3" width="32.13"/>
    <col customWidth="1" min="5" max="6" width="25.13"/>
  </cols>
  <sheetData>
    <row r="1" ht="22.5" customHeight="1">
      <c r="A1" s="789" t="s">
        <v>335</v>
      </c>
      <c r="B1" s="789" t="s">
        <v>54</v>
      </c>
      <c r="C1" s="789" t="s">
        <v>336</v>
      </c>
      <c r="D1" s="789" t="s">
        <v>337</v>
      </c>
      <c r="E1" s="789" t="s">
        <v>338</v>
      </c>
      <c r="F1" s="789" t="s">
        <v>23</v>
      </c>
    </row>
    <row r="2" ht="22.5" customHeight="1">
      <c r="A2" s="790" t="str">
        <f>IFERROR(__xludf.DUMMYFUNCTION("QUERY(TRANSPOSE('31業務統計總表'!F2:J4),""SELECT Col4, Col1, Col2 WHERE Col3 &lt;&gt; '' ORDER BY Col4"")"),"#VALUE!")</f>
        <v>#VALUE!</v>
      </c>
      <c r="B2" s="790"/>
      <c r="C2" s="791"/>
      <c r="D2" s="792" t="s">
        <v>339</v>
      </c>
      <c r="E2" s="793" t="s">
        <v>340</v>
      </c>
      <c r="F2" s="791"/>
    </row>
    <row r="3" ht="22.5" customHeight="1">
      <c r="A3" s="790"/>
      <c r="B3" s="790"/>
      <c r="C3" s="791"/>
      <c r="D3" s="792"/>
      <c r="E3" s="793"/>
      <c r="F3" s="791"/>
    </row>
    <row r="4" ht="22.5" customHeight="1">
      <c r="A4" s="790"/>
      <c r="B4" s="790"/>
      <c r="C4" s="791"/>
      <c r="D4" s="792"/>
      <c r="E4" s="793"/>
      <c r="F4" s="791"/>
    </row>
    <row r="5" ht="22.5" customHeight="1">
      <c r="A5" s="790"/>
      <c r="B5" s="790"/>
      <c r="C5" s="791"/>
      <c r="D5" s="792"/>
      <c r="E5" s="793"/>
      <c r="F5" s="791"/>
    </row>
    <row r="6" ht="22.5" customHeight="1">
      <c r="A6" s="790"/>
      <c r="B6" s="790"/>
      <c r="C6" s="791"/>
      <c r="D6" s="792"/>
      <c r="E6" s="793"/>
      <c r="F6" s="791"/>
    </row>
    <row r="7" ht="22.5" customHeight="1">
      <c r="A7" s="790"/>
      <c r="B7" s="790"/>
      <c r="C7" s="791"/>
      <c r="D7" s="792"/>
      <c r="E7" s="793"/>
      <c r="F7" s="791"/>
    </row>
    <row r="8" ht="22.5" customHeight="1">
      <c r="A8" s="790"/>
      <c r="B8" s="790"/>
      <c r="C8" s="791"/>
      <c r="D8" s="792"/>
      <c r="E8" s="793"/>
      <c r="F8" s="791"/>
    </row>
    <row r="9" ht="22.5" customHeight="1">
      <c r="A9" s="790"/>
      <c r="B9" s="790"/>
      <c r="C9" s="791"/>
      <c r="D9" s="792"/>
      <c r="E9" s="793"/>
      <c r="F9" s="791"/>
    </row>
    <row r="10" ht="22.5" customHeight="1">
      <c r="A10" s="790"/>
      <c r="B10" s="790"/>
      <c r="C10" s="791"/>
      <c r="D10" s="792"/>
      <c r="E10" s="793"/>
      <c r="F10" s="791"/>
    </row>
    <row r="11" ht="22.5" customHeight="1">
      <c r="A11" s="790"/>
      <c r="B11" s="790"/>
      <c r="C11" s="791"/>
      <c r="D11" s="792"/>
      <c r="E11" s="793"/>
      <c r="F11" s="791"/>
    </row>
    <row r="12" ht="22.5" customHeight="1">
      <c r="A12" s="790"/>
      <c r="B12" s="790"/>
      <c r="C12" s="791"/>
      <c r="D12" s="792"/>
      <c r="E12" s="793"/>
      <c r="F12" s="791"/>
    </row>
    <row r="13" ht="22.5" customHeight="1">
      <c r="A13" s="790"/>
      <c r="B13" s="790"/>
      <c r="C13" s="791"/>
      <c r="D13" s="792"/>
      <c r="E13" s="793"/>
      <c r="F13" s="791"/>
    </row>
    <row r="14" ht="22.5" customHeight="1">
      <c r="A14" s="790"/>
      <c r="B14" s="790"/>
      <c r="C14" s="791"/>
      <c r="D14" s="792"/>
      <c r="E14" s="793"/>
      <c r="F14" s="791"/>
    </row>
    <row r="15" ht="22.5" customHeight="1">
      <c r="A15" s="790"/>
      <c r="B15" s="790"/>
      <c r="C15" s="791"/>
      <c r="D15" s="792"/>
      <c r="E15" s="793"/>
      <c r="F15" s="791"/>
    </row>
    <row r="16" ht="22.5" customHeight="1">
      <c r="A16" s="790"/>
      <c r="B16" s="790"/>
      <c r="C16" s="791"/>
      <c r="D16" s="792"/>
      <c r="E16" s="793"/>
      <c r="F16" s="791"/>
    </row>
    <row r="17" ht="22.5" customHeight="1">
      <c r="A17" s="790"/>
      <c r="B17" s="790"/>
      <c r="C17" s="791"/>
      <c r="D17" s="792"/>
      <c r="E17" s="793"/>
      <c r="F17" s="791"/>
    </row>
    <row r="18" ht="22.5" customHeight="1">
      <c r="A18" s="790"/>
      <c r="B18" s="790"/>
      <c r="C18" s="791"/>
      <c r="D18" s="792"/>
      <c r="E18" s="793"/>
      <c r="F18" s="791"/>
    </row>
    <row r="19" ht="22.5" customHeight="1">
      <c r="A19" s="790"/>
      <c r="B19" s="790"/>
      <c r="C19" s="791"/>
      <c r="D19" s="792"/>
      <c r="E19" s="793"/>
      <c r="F19" s="791"/>
    </row>
    <row r="20" ht="22.5" customHeight="1">
      <c r="A20" s="790"/>
      <c r="B20" s="790"/>
      <c r="C20" s="791"/>
      <c r="D20" s="792"/>
      <c r="E20" s="793"/>
      <c r="F20" s="791"/>
    </row>
    <row r="21" ht="22.5" customHeight="1">
      <c r="A21" s="790"/>
      <c r="B21" s="790"/>
      <c r="C21" s="791"/>
      <c r="D21" s="792"/>
      <c r="E21" s="793"/>
      <c r="F21" s="791"/>
    </row>
    <row r="22" ht="22.5" customHeight="1">
      <c r="A22" s="790"/>
      <c r="B22" s="790"/>
      <c r="C22" s="791"/>
      <c r="D22" s="792"/>
      <c r="E22" s="793"/>
      <c r="F22" s="791"/>
    </row>
    <row r="23" ht="22.5" customHeight="1">
      <c r="A23" s="790"/>
      <c r="B23" s="790"/>
      <c r="C23" s="791"/>
      <c r="D23" s="792"/>
      <c r="E23" s="793"/>
      <c r="F23" s="791"/>
    </row>
    <row r="24" ht="22.5" customHeight="1">
      <c r="A24" s="790"/>
      <c r="B24" s="790"/>
      <c r="C24" s="791"/>
      <c r="D24" s="792"/>
      <c r="E24" s="793"/>
      <c r="F24" s="791"/>
    </row>
    <row r="25" ht="22.5" customHeight="1">
      <c r="A25" s="790"/>
      <c r="B25" s="790"/>
      <c r="C25" s="791"/>
      <c r="D25" s="792"/>
      <c r="E25" s="793"/>
      <c r="F25" s="791"/>
    </row>
    <row r="26" ht="22.5" customHeight="1">
      <c r="A26" s="790"/>
      <c r="B26" s="790"/>
      <c r="C26" s="791"/>
      <c r="D26" s="792"/>
      <c r="E26" s="793"/>
      <c r="F26" s="791"/>
    </row>
    <row r="27" ht="22.5" customHeight="1">
      <c r="A27" s="790"/>
      <c r="B27" s="790"/>
      <c r="C27" s="791"/>
      <c r="D27" s="792"/>
      <c r="E27" s="793"/>
      <c r="F27" s="791"/>
    </row>
    <row r="28" ht="22.5" customHeight="1">
      <c r="A28" s="790"/>
      <c r="B28" s="790"/>
      <c r="C28" s="791"/>
      <c r="D28" s="792"/>
      <c r="E28" s="793"/>
      <c r="F28" s="791"/>
    </row>
    <row r="29" ht="22.5" customHeight="1">
      <c r="A29" s="790"/>
      <c r="B29" s="790"/>
      <c r="C29" s="791"/>
      <c r="D29" s="792"/>
      <c r="E29" s="793"/>
      <c r="F29" s="791"/>
    </row>
    <row r="30" ht="22.5" customHeight="1">
      <c r="A30" s="790"/>
      <c r="B30" s="790"/>
      <c r="C30" s="791"/>
      <c r="D30" s="792"/>
      <c r="E30" s="793"/>
      <c r="F30" s="791"/>
    </row>
    <row r="31" ht="22.5" customHeight="1">
      <c r="A31" s="790"/>
      <c r="B31" s="790"/>
      <c r="C31" s="791"/>
      <c r="D31" s="792"/>
      <c r="E31" s="793"/>
      <c r="F31" s="791"/>
    </row>
    <row r="32" ht="22.5" customHeight="1">
      <c r="A32" s="790"/>
      <c r="B32" s="790"/>
      <c r="C32" s="791"/>
      <c r="D32" s="792"/>
      <c r="E32" s="793"/>
      <c r="F32" s="791"/>
    </row>
    <row r="33" ht="22.5" customHeight="1">
      <c r="A33" s="790"/>
      <c r="B33" s="790"/>
      <c r="C33" s="791"/>
      <c r="D33" s="792"/>
      <c r="E33" s="793"/>
      <c r="F33" s="791"/>
    </row>
    <row r="34" ht="22.5" customHeight="1">
      <c r="A34" s="790"/>
      <c r="B34" s="790"/>
      <c r="C34" s="791"/>
      <c r="D34" s="792"/>
      <c r="E34" s="793"/>
      <c r="F34" s="791"/>
    </row>
    <row r="35" ht="22.5" customHeight="1">
      <c r="A35" s="790"/>
      <c r="B35" s="790"/>
      <c r="C35" s="791"/>
      <c r="D35" s="792"/>
      <c r="E35" s="793"/>
      <c r="F35" s="791"/>
    </row>
    <row r="36" ht="22.5" customHeight="1">
      <c r="A36" s="790"/>
      <c r="B36" s="790"/>
      <c r="C36" s="791"/>
      <c r="D36" s="792"/>
      <c r="E36" s="793"/>
      <c r="F36" s="791"/>
    </row>
    <row r="37" ht="22.5" customHeight="1">
      <c r="A37" s="790"/>
      <c r="B37" s="790"/>
      <c r="C37" s="791"/>
      <c r="D37" s="792"/>
      <c r="E37" s="793"/>
      <c r="F37" s="791"/>
    </row>
    <row r="38" ht="22.5" customHeight="1">
      <c r="A38" s="790"/>
      <c r="B38" s="790"/>
      <c r="C38" s="791"/>
      <c r="D38" s="792"/>
      <c r="E38" s="793"/>
      <c r="F38" s="791"/>
    </row>
    <row r="39" ht="22.5" customHeight="1">
      <c r="A39" s="790"/>
      <c r="B39" s="790"/>
      <c r="C39" s="791"/>
      <c r="D39" s="792"/>
      <c r="E39" s="793"/>
      <c r="F39" s="791"/>
    </row>
    <row r="40" ht="22.5" customHeight="1">
      <c r="A40" s="790"/>
      <c r="B40" s="790"/>
      <c r="C40" s="791"/>
      <c r="D40" s="792"/>
      <c r="E40" s="793"/>
      <c r="F40" s="791"/>
    </row>
    <row r="41" ht="22.5" customHeight="1">
      <c r="A41" s="790"/>
      <c r="B41" s="790"/>
      <c r="C41" s="791"/>
      <c r="D41" s="792"/>
      <c r="E41" s="793"/>
      <c r="F41" s="791"/>
    </row>
    <row r="42" ht="22.5" customHeight="1">
      <c r="A42" s="790"/>
      <c r="B42" s="790"/>
      <c r="C42" s="791"/>
      <c r="D42" s="792"/>
      <c r="E42" s="793"/>
      <c r="F42" s="791"/>
    </row>
    <row r="43" ht="22.5" customHeight="1">
      <c r="A43" s="790"/>
      <c r="B43" s="790"/>
      <c r="C43" s="791"/>
      <c r="D43" s="792"/>
      <c r="E43" s="793"/>
      <c r="F43" s="791"/>
    </row>
    <row r="44" ht="22.5" customHeight="1">
      <c r="A44" s="790"/>
      <c r="B44" s="790"/>
      <c r="C44" s="791"/>
      <c r="D44" s="792"/>
      <c r="E44" s="793"/>
      <c r="F44" s="791"/>
    </row>
    <row r="45" ht="22.5" customHeight="1">
      <c r="A45" s="790"/>
      <c r="B45" s="790"/>
      <c r="C45" s="791"/>
      <c r="D45" s="792"/>
      <c r="E45" s="793"/>
      <c r="F45" s="791"/>
    </row>
    <row r="46" ht="22.5" customHeight="1">
      <c r="A46" s="790"/>
      <c r="B46" s="790"/>
      <c r="C46" s="791"/>
      <c r="D46" s="792"/>
      <c r="E46" s="793"/>
      <c r="F46" s="794"/>
    </row>
    <row r="47" ht="22.5" customHeight="1">
      <c r="A47" s="790"/>
      <c r="B47" s="790"/>
      <c r="C47" s="791"/>
      <c r="D47" s="792"/>
      <c r="E47" s="793"/>
      <c r="F47" s="791"/>
    </row>
    <row r="48" ht="22.5" customHeight="1">
      <c r="A48" s="790"/>
      <c r="B48" s="790"/>
      <c r="C48" s="791"/>
      <c r="D48" s="792"/>
      <c r="E48" s="793"/>
      <c r="F48" s="791"/>
    </row>
    <row r="49" ht="22.5" customHeight="1">
      <c r="A49" s="790"/>
      <c r="B49" s="790"/>
      <c r="C49" s="791"/>
      <c r="D49" s="792"/>
      <c r="E49" s="793"/>
      <c r="F49" s="791"/>
    </row>
    <row r="50" ht="22.5" customHeight="1">
      <c r="A50" s="790"/>
      <c r="B50" s="790"/>
      <c r="C50" s="791"/>
      <c r="D50" s="792"/>
      <c r="E50" s="793"/>
      <c r="F50" s="794"/>
    </row>
    <row r="51" ht="22.5" customHeight="1">
      <c r="A51" s="790"/>
      <c r="B51" s="790"/>
      <c r="C51" s="791"/>
      <c r="D51" s="792"/>
      <c r="E51" s="793"/>
      <c r="F51" s="791"/>
    </row>
    <row r="52" ht="22.5" customHeight="1">
      <c r="A52" s="790"/>
      <c r="B52" s="790"/>
      <c r="C52" s="791"/>
      <c r="D52" s="792"/>
      <c r="E52" s="793"/>
      <c r="F52" s="791"/>
    </row>
    <row r="53" ht="22.5" customHeight="1">
      <c r="A53" s="790"/>
      <c r="B53" s="790"/>
      <c r="C53" s="791"/>
      <c r="D53" s="792"/>
      <c r="E53" s="793"/>
      <c r="F53" s="791"/>
    </row>
    <row r="54" ht="22.5" customHeight="1">
      <c r="A54" s="790"/>
      <c r="B54" s="790"/>
      <c r="C54" s="791"/>
      <c r="D54" s="792"/>
      <c r="E54" s="793"/>
      <c r="F54" s="791"/>
    </row>
    <row r="55" ht="22.5" customHeight="1">
      <c r="A55" s="790"/>
      <c r="B55" s="790"/>
      <c r="C55" s="791"/>
      <c r="D55" s="792"/>
      <c r="E55" s="793"/>
      <c r="F55" s="791"/>
    </row>
    <row r="56" ht="22.5" customHeight="1">
      <c r="A56" s="790"/>
      <c r="B56" s="790"/>
      <c r="C56" s="791"/>
      <c r="D56" s="792"/>
      <c r="E56" s="793"/>
      <c r="F56" s="791"/>
    </row>
    <row r="57" ht="22.5" customHeight="1">
      <c r="A57" s="790"/>
      <c r="B57" s="790"/>
      <c r="C57" s="791"/>
      <c r="D57" s="792"/>
      <c r="E57" s="793"/>
      <c r="F57" s="791"/>
    </row>
    <row r="58" ht="22.5" customHeight="1">
      <c r="A58" s="790"/>
      <c r="B58" s="790"/>
      <c r="C58" s="791"/>
      <c r="D58" s="792"/>
      <c r="E58" s="793"/>
      <c r="F58" s="791"/>
    </row>
    <row r="59" ht="22.5" customHeight="1">
      <c r="A59" s="790"/>
      <c r="B59" s="790"/>
      <c r="C59" s="791"/>
      <c r="D59" s="792"/>
      <c r="E59" s="793"/>
      <c r="F59" s="791"/>
    </row>
    <row r="60" ht="22.5" customHeight="1">
      <c r="A60" s="790"/>
      <c r="B60" s="790"/>
      <c r="C60" s="791"/>
      <c r="D60" s="792"/>
      <c r="E60" s="793"/>
      <c r="F60" s="791"/>
    </row>
    <row r="61" ht="22.5" customHeight="1">
      <c r="A61" s="790"/>
      <c r="B61" s="790"/>
      <c r="C61" s="791"/>
      <c r="D61" s="792"/>
      <c r="E61" s="793"/>
      <c r="F61" s="791"/>
    </row>
    <row r="62" ht="22.5" customHeight="1">
      <c r="A62" s="790"/>
      <c r="B62" s="790"/>
      <c r="C62" s="791"/>
      <c r="D62" s="792"/>
      <c r="E62" s="793"/>
      <c r="F62" s="791"/>
    </row>
    <row r="63" ht="22.5" customHeight="1">
      <c r="A63" s="790"/>
      <c r="B63" s="790"/>
      <c r="C63" s="791"/>
      <c r="D63" s="792"/>
      <c r="E63" s="793"/>
      <c r="F63" s="791"/>
    </row>
    <row r="64" ht="22.5" customHeight="1">
      <c r="A64" s="790"/>
      <c r="B64" s="790"/>
      <c r="C64" s="791"/>
      <c r="D64" s="792"/>
      <c r="E64" s="793"/>
      <c r="F64" s="791"/>
    </row>
    <row r="65" ht="22.5" customHeight="1">
      <c r="A65" s="790"/>
      <c r="B65" s="790"/>
      <c r="C65" s="791"/>
      <c r="D65" s="792"/>
      <c r="E65" s="793"/>
      <c r="F65" s="791"/>
    </row>
    <row r="66" ht="22.5" customHeight="1">
      <c r="A66" s="790"/>
      <c r="B66" s="790"/>
      <c r="C66" s="791"/>
      <c r="D66" s="792"/>
      <c r="E66" s="793"/>
      <c r="F66" s="791"/>
    </row>
    <row r="67" ht="22.5" customHeight="1">
      <c r="A67" s="790"/>
      <c r="B67" s="790"/>
      <c r="C67" s="791"/>
      <c r="D67" s="792"/>
      <c r="E67" s="793"/>
      <c r="F67" s="791"/>
    </row>
    <row r="68" ht="22.5" customHeight="1">
      <c r="A68" s="790"/>
      <c r="B68" s="790"/>
      <c r="C68" s="791"/>
      <c r="D68" s="792"/>
      <c r="E68" s="793"/>
      <c r="F68" s="791"/>
    </row>
    <row r="69" ht="22.5" customHeight="1">
      <c r="A69" s="790"/>
      <c r="B69" s="790"/>
      <c r="C69" s="791"/>
      <c r="D69" s="792"/>
      <c r="E69" s="793"/>
      <c r="F69" s="791"/>
    </row>
    <row r="70" ht="22.5" customHeight="1">
      <c r="A70" s="790"/>
      <c r="B70" s="790"/>
      <c r="C70" s="791"/>
      <c r="D70" s="792"/>
      <c r="E70" s="793"/>
      <c r="F70" s="791"/>
    </row>
    <row r="71" ht="22.5" customHeight="1">
      <c r="A71" s="790"/>
      <c r="B71" s="790"/>
      <c r="C71" s="791"/>
      <c r="D71" s="792"/>
      <c r="E71" s="793"/>
      <c r="F71" s="791"/>
    </row>
    <row r="72" ht="22.5" customHeight="1">
      <c r="A72" s="790"/>
      <c r="B72" s="790"/>
      <c r="C72" s="791"/>
      <c r="D72" s="792"/>
      <c r="E72" s="793"/>
      <c r="F72" s="791"/>
    </row>
    <row r="73" ht="22.5" customHeight="1">
      <c r="A73" s="790"/>
      <c r="B73" s="790"/>
      <c r="C73" s="791"/>
      <c r="D73" s="792"/>
      <c r="E73" s="793"/>
      <c r="F73" s="791"/>
    </row>
    <row r="74" ht="22.5" customHeight="1">
      <c r="A74" s="790"/>
      <c r="B74" s="790"/>
      <c r="C74" s="791"/>
      <c r="D74" s="792"/>
      <c r="E74" s="793"/>
      <c r="F74" s="791"/>
    </row>
    <row r="75" ht="22.5" customHeight="1">
      <c r="A75" s="790"/>
      <c r="B75" s="790"/>
      <c r="C75" s="791"/>
      <c r="D75" s="792"/>
      <c r="E75" s="793"/>
      <c r="F75" s="791"/>
    </row>
    <row r="76" ht="22.5" customHeight="1">
      <c r="A76" s="790"/>
      <c r="B76" s="790"/>
      <c r="C76" s="791"/>
      <c r="D76" s="792"/>
      <c r="E76" s="793"/>
      <c r="F76" s="791"/>
    </row>
    <row r="77" ht="22.5" customHeight="1">
      <c r="A77" s="790"/>
      <c r="B77" s="790"/>
      <c r="C77" s="791"/>
      <c r="D77" s="792"/>
      <c r="E77" s="793"/>
      <c r="F77" s="791"/>
    </row>
    <row r="78" ht="22.5" customHeight="1">
      <c r="A78" s="790"/>
      <c r="B78" s="790"/>
      <c r="C78" s="791"/>
      <c r="D78" s="792"/>
      <c r="E78" s="793"/>
      <c r="F78" s="791"/>
    </row>
    <row r="79" ht="22.5" customHeight="1">
      <c r="A79" s="790"/>
      <c r="B79" s="790"/>
      <c r="C79" s="791"/>
      <c r="D79" s="792"/>
      <c r="E79" s="793"/>
      <c r="F79" s="791"/>
    </row>
    <row r="80" ht="22.5" customHeight="1">
      <c r="A80" s="790"/>
      <c r="B80" s="790"/>
      <c r="C80" s="791"/>
      <c r="D80" s="792"/>
      <c r="E80" s="793"/>
      <c r="F80" s="791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3" width="20.13"/>
    <col customWidth="1" min="4" max="4" width="7.63"/>
    <col customWidth="1" min="5" max="5" width="10.13"/>
  </cols>
  <sheetData>
    <row r="1">
      <c r="A1" s="795"/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</row>
    <row r="2">
      <c r="A2" s="796"/>
      <c r="B2" s="796"/>
      <c r="C2" s="796"/>
      <c r="D2" s="796"/>
      <c r="E2" s="797"/>
      <c r="F2" s="796"/>
      <c r="G2" s="796"/>
      <c r="H2" s="796"/>
      <c r="I2" s="796"/>
      <c r="J2" s="797"/>
      <c r="K2" s="797"/>
      <c r="L2" s="796"/>
      <c r="M2" s="797"/>
      <c r="N2" s="797"/>
      <c r="O2" s="797"/>
      <c r="P2" s="797"/>
      <c r="Q2" s="797"/>
      <c r="R2" s="797"/>
      <c r="S2" s="797"/>
      <c r="T2" s="796"/>
    </row>
    <row r="3">
      <c r="A3" s="796"/>
      <c r="B3" s="796"/>
      <c r="C3" s="796"/>
      <c r="D3" s="796"/>
      <c r="E3" s="797"/>
      <c r="F3" s="796"/>
      <c r="G3" s="796"/>
      <c r="H3" s="796"/>
      <c r="I3" s="796"/>
      <c r="J3" s="797"/>
      <c r="K3" s="797"/>
      <c r="L3" s="796"/>
      <c r="M3" s="797"/>
      <c r="N3" s="797"/>
      <c r="O3" s="797"/>
      <c r="P3" s="797"/>
      <c r="Q3" s="797"/>
      <c r="R3" s="797"/>
      <c r="S3" s="797"/>
      <c r="T3" s="796"/>
    </row>
    <row r="4">
      <c r="A4" s="796"/>
      <c r="B4" s="796"/>
      <c r="C4" s="796"/>
      <c r="D4" s="796"/>
      <c r="E4" s="797"/>
      <c r="F4" s="796"/>
      <c r="G4" s="796"/>
      <c r="H4" s="796"/>
      <c r="I4" s="796"/>
      <c r="J4" s="797"/>
      <c r="K4" s="797"/>
      <c r="L4" s="796"/>
      <c r="M4" s="797"/>
      <c r="N4" s="797"/>
      <c r="O4" s="797"/>
      <c r="P4" s="797"/>
      <c r="Q4" s="797"/>
      <c r="R4" s="797"/>
      <c r="S4" s="797"/>
      <c r="T4" s="796"/>
    </row>
    <row r="5">
      <c r="A5" s="796"/>
      <c r="B5" s="796"/>
      <c r="C5" s="796"/>
      <c r="D5" s="796"/>
      <c r="E5" s="797"/>
      <c r="F5" s="796"/>
      <c r="G5" s="796"/>
      <c r="H5" s="796"/>
      <c r="I5" s="796"/>
      <c r="J5" s="797"/>
      <c r="K5" s="797"/>
      <c r="L5" s="796"/>
      <c r="M5" s="797"/>
      <c r="N5" s="797"/>
      <c r="O5" s="797"/>
      <c r="P5" s="797"/>
      <c r="Q5" s="797"/>
      <c r="R5" s="797"/>
      <c r="S5" s="797"/>
      <c r="T5" s="796"/>
    </row>
    <row r="6">
      <c r="A6" s="796"/>
      <c r="B6" s="796"/>
      <c r="C6" s="796"/>
      <c r="D6" s="796"/>
      <c r="E6" s="797"/>
      <c r="F6" s="796"/>
      <c r="G6" s="796"/>
      <c r="H6" s="796"/>
      <c r="I6" s="796"/>
      <c r="J6" s="797"/>
      <c r="K6" s="797"/>
      <c r="L6" s="796"/>
      <c r="M6" s="797"/>
      <c r="N6" s="797"/>
      <c r="O6" s="797"/>
      <c r="P6" s="797"/>
      <c r="Q6" s="797"/>
      <c r="R6" s="797"/>
      <c r="S6" s="797"/>
      <c r="T6" s="796"/>
    </row>
    <row r="7">
      <c r="A7" s="796"/>
      <c r="B7" s="796"/>
      <c r="C7" s="796"/>
      <c r="D7" s="796"/>
      <c r="E7" s="797"/>
      <c r="F7" s="796"/>
      <c r="G7" s="796"/>
      <c r="H7" s="796"/>
      <c r="I7" s="796"/>
      <c r="J7" s="797"/>
      <c r="K7" s="797"/>
      <c r="L7" s="796"/>
      <c r="M7" s="797"/>
      <c r="N7" s="797"/>
      <c r="O7" s="797"/>
      <c r="P7" s="797"/>
      <c r="Q7" s="797"/>
      <c r="R7" s="797"/>
      <c r="S7" s="797"/>
      <c r="T7" s="796"/>
    </row>
    <row r="8">
      <c r="A8" s="796"/>
      <c r="B8" s="796"/>
      <c r="C8" s="796"/>
      <c r="D8" s="796"/>
      <c r="E8" s="797"/>
      <c r="F8" s="796"/>
      <c r="G8" s="796"/>
      <c r="H8" s="796"/>
      <c r="I8" s="796"/>
      <c r="J8" s="797"/>
      <c r="K8" s="797"/>
      <c r="L8" s="796"/>
      <c r="M8" s="797"/>
      <c r="N8" s="797"/>
      <c r="O8" s="797"/>
      <c r="P8" s="797"/>
      <c r="Q8" s="797"/>
      <c r="R8" s="797"/>
      <c r="S8" s="797"/>
      <c r="T8" s="796"/>
    </row>
    <row r="9">
      <c r="A9" s="796"/>
      <c r="B9" s="796"/>
      <c r="C9" s="796"/>
      <c r="D9" s="796"/>
      <c r="E9" s="797"/>
      <c r="F9" s="796"/>
      <c r="G9" s="796"/>
      <c r="H9" s="796"/>
      <c r="I9" s="796"/>
      <c r="J9" s="797"/>
      <c r="K9" s="797"/>
      <c r="L9" s="796"/>
      <c r="M9" s="797"/>
      <c r="N9" s="797"/>
      <c r="O9" s="797"/>
      <c r="P9" s="797"/>
      <c r="Q9" s="797"/>
      <c r="R9" s="797"/>
      <c r="S9" s="797"/>
      <c r="T9" s="796"/>
    </row>
    <row r="10">
      <c r="A10" s="796"/>
      <c r="B10" s="796"/>
      <c r="C10" s="796"/>
      <c r="D10" s="796"/>
      <c r="E10" s="797"/>
      <c r="F10" s="796"/>
      <c r="G10" s="796"/>
      <c r="H10" s="796"/>
      <c r="I10" s="796"/>
      <c r="J10" s="797"/>
      <c r="K10" s="797"/>
      <c r="L10" s="796"/>
      <c r="M10" s="797"/>
      <c r="N10" s="797"/>
      <c r="O10" s="797"/>
      <c r="P10" s="797"/>
      <c r="Q10" s="797"/>
      <c r="R10" s="797"/>
      <c r="S10" s="797"/>
      <c r="T10" s="796"/>
    </row>
    <row r="11">
      <c r="A11" s="796"/>
      <c r="B11" s="796"/>
      <c r="C11" s="796"/>
      <c r="D11" s="796"/>
      <c r="E11" s="797"/>
      <c r="F11" s="796"/>
      <c r="G11" s="796"/>
      <c r="H11" s="796"/>
      <c r="I11" s="796"/>
      <c r="J11" s="797"/>
      <c r="K11" s="797"/>
      <c r="L11" s="796"/>
      <c r="M11" s="797"/>
      <c r="N11" s="797"/>
      <c r="O11" s="797"/>
      <c r="P11" s="797"/>
      <c r="Q11" s="797"/>
      <c r="R11" s="797"/>
      <c r="S11" s="797"/>
      <c r="T11" s="796"/>
    </row>
    <row r="12">
      <c r="A12" s="796"/>
      <c r="B12" s="796"/>
      <c r="C12" s="796"/>
      <c r="D12" s="796"/>
      <c r="E12" s="797"/>
      <c r="F12" s="796"/>
      <c r="G12" s="796"/>
      <c r="H12" s="796"/>
      <c r="I12" s="796"/>
      <c r="J12" s="797"/>
      <c r="K12" s="797"/>
      <c r="L12" s="796"/>
      <c r="M12" s="797"/>
      <c r="N12" s="797"/>
      <c r="O12" s="797"/>
      <c r="P12" s="797"/>
      <c r="Q12" s="797"/>
      <c r="R12" s="797"/>
      <c r="S12" s="797"/>
      <c r="T12" s="796"/>
    </row>
    <row r="13">
      <c r="A13" s="796"/>
      <c r="B13" s="796"/>
      <c r="C13" s="796"/>
      <c r="D13" s="796"/>
      <c r="E13" s="797"/>
      <c r="F13" s="796"/>
      <c r="G13" s="796"/>
      <c r="H13" s="796"/>
      <c r="I13" s="796"/>
      <c r="J13" s="797"/>
      <c r="K13" s="797"/>
      <c r="L13" s="796"/>
      <c r="M13" s="797"/>
      <c r="N13" s="797"/>
      <c r="O13" s="797"/>
      <c r="P13" s="797"/>
      <c r="Q13" s="797"/>
      <c r="R13" s="797"/>
      <c r="S13" s="797"/>
      <c r="T13" s="796"/>
    </row>
    <row r="14">
      <c r="A14" s="796"/>
      <c r="B14" s="796"/>
      <c r="C14" s="796"/>
      <c r="D14" s="796"/>
      <c r="E14" s="797"/>
      <c r="F14" s="796"/>
      <c r="G14" s="796"/>
      <c r="H14" s="796"/>
      <c r="I14" s="796"/>
      <c r="J14" s="797"/>
      <c r="K14" s="797"/>
      <c r="L14" s="796"/>
      <c r="M14" s="797"/>
      <c r="N14" s="797"/>
      <c r="O14" s="797"/>
      <c r="P14" s="797"/>
      <c r="Q14" s="797"/>
      <c r="R14" s="797"/>
      <c r="S14" s="797"/>
      <c r="T14" s="796"/>
    </row>
    <row r="15">
      <c r="A15" s="796"/>
      <c r="B15" s="796"/>
      <c r="C15" s="796"/>
      <c r="D15" s="796"/>
      <c r="E15" s="797"/>
      <c r="F15" s="796"/>
      <c r="G15" s="796"/>
      <c r="H15" s="796"/>
      <c r="I15" s="796"/>
      <c r="J15" s="797"/>
      <c r="K15" s="797"/>
      <c r="L15" s="796"/>
      <c r="M15" s="797"/>
      <c r="N15" s="797"/>
      <c r="O15" s="797"/>
      <c r="P15" s="797"/>
      <c r="Q15" s="797"/>
      <c r="R15" s="797"/>
      <c r="S15" s="797"/>
      <c r="T15" s="796"/>
    </row>
    <row r="16">
      <c r="A16" s="796"/>
      <c r="B16" s="796"/>
      <c r="C16" s="796"/>
      <c r="D16" s="796"/>
      <c r="E16" s="797"/>
      <c r="F16" s="796"/>
      <c r="G16" s="796"/>
      <c r="H16" s="796"/>
      <c r="I16" s="796"/>
      <c r="J16" s="797"/>
      <c r="K16" s="797"/>
      <c r="L16" s="796"/>
      <c r="M16" s="797"/>
      <c r="N16" s="797"/>
      <c r="O16" s="797"/>
      <c r="P16" s="797"/>
      <c r="Q16" s="797"/>
      <c r="R16" s="797"/>
      <c r="S16" s="797"/>
      <c r="T16" s="796"/>
    </row>
    <row r="17">
      <c r="A17" s="796"/>
      <c r="B17" s="796"/>
      <c r="C17" s="796"/>
      <c r="D17" s="796"/>
      <c r="E17" s="797"/>
      <c r="F17" s="796"/>
      <c r="G17" s="796"/>
      <c r="H17" s="796"/>
      <c r="I17" s="796"/>
      <c r="J17" s="797"/>
      <c r="K17" s="797"/>
      <c r="L17" s="796"/>
      <c r="M17" s="797"/>
      <c r="N17" s="797"/>
      <c r="O17" s="797"/>
      <c r="P17" s="797"/>
      <c r="Q17" s="797"/>
      <c r="R17" s="797"/>
      <c r="S17" s="797"/>
      <c r="T17" s="796"/>
    </row>
    <row r="18">
      <c r="A18" s="796"/>
      <c r="B18" s="796"/>
      <c r="C18" s="796"/>
      <c r="D18" s="796"/>
      <c r="E18" s="797"/>
      <c r="F18" s="796"/>
      <c r="G18" s="796"/>
      <c r="H18" s="796"/>
      <c r="I18" s="796"/>
      <c r="J18" s="797"/>
      <c r="K18" s="797"/>
      <c r="L18" s="796"/>
      <c r="M18" s="797"/>
      <c r="N18" s="797"/>
      <c r="O18" s="797"/>
      <c r="P18" s="797"/>
      <c r="Q18" s="797"/>
      <c r="R18" s="797"/>
      <c r="S18" s="797"/>
      <c r="T18" s="796"/>
    </row>
    <row r="19">
      <c r="A19" s="796"/>
      <c r="B19" s="796"/>
      <c r="C19" s="796"/>
      <c r="D19" s="796"/>
      <c r="E19" s="797"/>
      <c r="F19" s="796"/>
      <c r="G19" s="796"/>
      <c r="H19" s="796"/>
      <c r="I19" s="796"/>
      <c r="J19" s="797"/>
      <c r="K19" s="797"/>
      <c r="L19" s="796"/>
      <c r="M19" s="797"/>
      <c r="N19" s="797"/>
      <c r="O19" s="797"/>
      <c r="P19" s="797"/>
      <c r="Q19" s="797"/>
      <c r="R19" s="797"/>
      <c r="S19" s="797"/>
      <c r="T19" s="796"/>
    </row>
    <row r="20">
      <c r="A20" s="796"/>
      <c r="B20" s="796"/>
      <c r="C20" s="796"/>
      <c r="D20" s="796"/>
      <c r="E20" s="797"/>
      <c r="F20" s="796"/>
      <c r="G20" s="796"/>
      <c r="H20" s="796"/>
      <c r="I20" s="796"/>
      <c r="J20" s="797"/>
      <c r="K20" s="797"/>
      <c r="L20" s="796"/>
      <c r="M20" s="797"/>
      <c r="N20" s="797"/>
      <c r="O20" s="797"/>
      <c r="P20" s="797"/>
      <c r="Q20" s="797"/>
      <c r="R20" s="797"/>
      <c r="S20" s="797"/>
      <c r="T20" s="796"/>
    </row>
    <row r="21">
      <c r="A21" s="796"/>
      <c r="B21" s="796"/>
      <c r="C21" s="796"/>
      <c r="D21" s="796"/>
      <c r="E21" s="797"/>
      <c r="F21" s="796"/>
      <c r="G21" s="796"/>
      <c r="H21" s="796"/>
      <c r="I21" s="796"/>
      <c r="J21" s="797"/>
      <c r="K21" s="797"/>
      <c r="L21" s="796"/>
      <c r="M21" s="797"/>
      <c r="N21" s="797"/>
      <c r="O21" s="797"/>
      <c r="P21" s="797"/>
      <c r="Q21" s="797"/>
      <c r="R21" s="797"/>
      <c r="S21" s="797"/>
      <c r="T21" s="796"/>
    </row>
    <row r="22">
      <c r="A22" s="796"/>
      <c r="B22" s="796"/>
      <c r="C22" s="796"/>
      <c r="D22" s="796"/>
      <c r="E22" s="797"/>
      <c r="F22" s="796"/>
      <c r="G22" s="796"/>
      <c r="H22" s="796"/>
      <c r="I22" s="796"/>
      <c r="J22" s="797"/>
      <c r="K22" s="797"/>
      <c r="L22" s="796"/>
      <c r="M22" s="797"/>
      <c r="N22" s="797"/>
      <c r="O22" s="797"/>
      <c r="P22" s="797"/>
      <c r="Q22" s="797"/>
      <c r="R22" s="797"/>
      <c r="S22" s="797"/>
      <c r="T22" s="796"/>
    </row>
    <row r="23">
      <c r="A23" s="796"/>
      <c r="B23" s="796"/>
      <c r="C23" s="796"/>
      <c r="D23" s="796"/>
      <c r="E23" s="797"/>
      <c r="F23" s="796"/>
      <c r="G23" s="796"/>
      <c r="H23" s="796"/>
      <c r="I23" s="796"/>
      <c r="J23" s="797"/>
      <c r="K23" s="797"/>
      <c r="L23" s="796"/>
      <c r="M23" s="797"/>
      <c r="N23" s="797"/>
      <c r="O23" s="797"/>
      <c r="P23" s="797"/>
      <c r="Q23" s="797"/>
      <c r="R23" s="797"/>
      <c r="S23" s="797"/>
      <c r="T23" s="796"/>
    </row>
    <row r="24">
      <c r="A24" s="796"/>
      <c r="B24" s="796"/>
      <c r="C24" s="796"/>
      <c r="D24" s="796"/>
      <c r="E24" s="797"/>
      <c r="F24" s="796"/>
      <c r="G24" s="796"/>
      <c r="H24" s="796"/>
      <c r="I24" s="796"/>
      <c r="J24" s="797"/>
      <c r="K24" s="797"/>
      <c r="L24" s="796"/>
      <c r="M24" s="797"/>
      <c r="N24" s="797"/>
      <c r="O24" s="797"/>
      <c r="P24" s="797"/>
      <c r="Q24" s="797"/>
      <c r="R24" s="797"/>
      <c r="S24" s="797"/>
      <c r="T24" s="796"/>
    </row>
    <row r="25">
      <c r="A25" s="796"/>
      <c r="B25" s="796"/>
      <c r="C25" s="796"/>
      <c r="D25" s="796"/>
      <c r="E25" s="797"/>
      <c r="F25" s="796"/>
      <c r="G25" s="796"/>
      <c r="H25" s="796"/>
      <c r="I25" s="796"/>
      <c r="J25" s="797"/>
      <c r="K25" s="797"/>
      <c r="L25" s="796"/>
      <c r="M25" s="797"/>
      <c r="N25" s="797"/>
      <c r="O25" s="797"/>
      <c r="P25" s="797"/>
      <c r="Q25" s="797"/>
      <c r="R25" s="797"/>
      <c r="S25" s="797"/>
      <c r="T25" s="796"/>
    </row>
    <row r="26">
      <c r="A26" s="796"/>
      <c r="B26" s="796"/>
      <c r="C26" s="796"/>
      <c r="D26" s="796"/>
      <c r="E26" s="797"/>
      <c r="F26" s="796"/>
      <c r="G26" s="796"/>
      <c r="H26" s="796"/>
      <c r="I26" s="796"/>
      <c r="J26" s="797"/>
      <c r="K26" s="797"/>
      <c r="L26" s="796"/>
      <c r="M26" s="797"/>
      <c r="N26" s="797"/>
      <c r="O26" s="797"/>
      <c r="P26" s="797"/>
      <c r="Q26" s="797"/>
      <c r="R26" s="797"/>
      <c r="S26" s="797"/>
      <c r="T26" s="796"/>
    </row>
    <row r="27">
      <c r="A27" s="796"/>
      <c r="B27" s="796"/>
      <c r="C27" s="796"/>
      <c r="D27" s="796"/>
      <c r="E27" s="797"/>
      <c r="F27" s="796"/>
      <c r="G27" s="796"/>
      <c r="H27" s="796"/>
      <c r="I27" s="796"/>
      <c r="J27" s="797"/>
      <c r="K27" s="797"/>
      <c r="L27" s="796"/>
      <c r="M27" s="797"/>
      <c r="N27" s="797"/>
      <c r="O27" s="797"/>
      <c r="P27" s="797"/>
      <c r="Q27" s="797"/>
      <c r="R27" s="797"/>
      <c r="S27" s="797"/>
      <c r="T27" s="796"/>
    </row>
    <row r="28">
      <c r="A28" s="796"/>
      <c r="B28" s="796"/>
      <c r="C28" s="796"/>
      <c r="D28" s="796"/>
      <c r="E28" s="797"/>
      <c r="F28" s="796"/>
      <c r="G28" s="796"/>
      <c r="H28" s="796"/>
      <c r="I28" s="796"/>
      <c r="J28" s="797"/>
      <c r="K28" s="797"/>
      <c r="L28" s="796"/>
      <c r="M28" s="797"/>
      <c r="N28" s="797"/>
      <c r="O28" s="797"/>
      <c r="P28" s="797"/>
      <c r="Q28" s="797"/>
      <c r="R28" s="797"/>
      <c r="S28" s="797"/>
      <c r="T28" s="796"/>
    </row>
    <row r="29">
      <c r="A29" s="796"/>
      <c r="B29" s="796"/>
      <c r="C29" s="796"/>
      <c r="D29" s="796"/>
      <c r="E29" s="797"/>
      <c r="F29" s="796"/>
      <c r="G29" s="796"/>
      <c r="H29" s="796"/>
      <c r="I29" s="796"/>
      <c r="J29" s="797"/>
      <c r="K29" s="797"/>
      <c r="L29" s="796"/>
      <c r="M29" s="797"/>
      <c r="N29" s="797"/>
      <c r="O29" s="797"/>
      <c r="P29" s="797"/>
      <c r="Q29" s="797"/>
      <c r="R29" s="797"/>
      <c r="S29" s="797"/>
      <c r="T29" s="796"/>
    </row>
    <row r="30">
      <c r="A30" s="796"/>
      <c r="B30" s="796"/>
      <c r="C30" s="796"/>
      <c r="D30" s="796"/>
      <c r="E30" s="797"/>
      <c r="F30" s="796"/>
      <c r="G30" s="796"/>
      <c r="H30" s="796"/>
      <c r="I30" s="796"/>
      <c r="J30" s="797"/>
      <c r="K30" s="797"/>
      <c r="L30" s="796"/>
      <c r="M30" s="797"/>
      <c r="N30" s="797"/>
      <c r="O30" s="797"/>
      <c r="P30" s="797"/>
      <c r="Q30" s="797"/>
      <c r="R30" s="797"/>
      <c r="S30" s="797"/>
      <c r="T30" s="796"/>
    </row>
    <row r="31">
      <c r="A31" s="796"/>
      <c r="B31" s="796"/>
      <c r="C31" s="796"/>
      <c r="D31" s="796"/>
      <c r="E31" s="797"/>
      <c r="F31" s="796"/>
      <c r="G31" s="796"/>
      <c r="H31" s="796"/>
      <c r="I31" s="796"/>
      <c r="J31" s="797"/>
      <c r="K31" s="797"/>
      <c r="L31" s="796"/>
      <c r="M31" s="797"/>
      <c r="N31" s="797"/>
      <c r="O31" s="797"/>
      <c r="P31" s="797"/>
      <c r="Q31" s="797"/>
      <c r="R31" s="797"/>
      <c r="S31" s="797"/>
      <c r="T31" s="796"/>
    </row>
    <row r="32">
      <c r="A32" s="796"/>
      <c r="B32" s="796"/>
      <c r="C32" s="796"/>
      <c r="D32" s="796"/>
      <c r="E32" s="797"/>
      <c r="F32" s="796"/>
      <c r="G32" s="796"/>
      <c r="H32" s="796"/>
      <c r="I32" s="796"/>
      <c r="J32" s="797"/>
      <c r="K32" s="797"/>
      <c r="L32" s="796"/>
      <c r="M32" s="797"/>
      <c r="N32" s="797"/>
      <c r="O32" s="797"/>
      <c r="P32" s="797"/>
      <c r="Q32" s="797"/>
      <c r="R32" s="797"/>
      <c r="S32" s="797"/>
      <c r="T32" s="796"/>
    </row>
    <row r="33">
      <c r="A33" s="796"/>
      <c r="B33" s="796"/>
      <c r="C33" s="796"/>
      <c r="D33" s="796"/>
      <c r="E33" s="797"/>
      <c r="F33" s="796"/>
      <c r="G33" s="796"/>
      <c r="H33" s="796"/>
      <c r="I33" s="796"/>
      <c r="J33" s="797"/>
      <c r="K33" s="797"/>
      <c r="L33" s="796"/>
      <c r="M33" s="797"/>
      <c r="N33" s="797"/>
      <c r="O33" s="797"/>
      <c r="P33" s="797"/>
      <c r="Q33" s="797"/>
      <c r="R33" s="797"/>
      <c r="S33" s="797"/>
      <c r="T33" s="796"/>
    </row>
    <row r="34">
      <c r="A34" s="796"/>
      <c r="B34" s="796"/>
      <c r="C34" s="796"/>
      <c r="D34" s="796"/>
      <c r="E34" s="797"/>
      <c r="F34" s="796"/>
      <c r="G34" s="796"/>
      <c r="H34" s="796"/>
      <c r="I34" s="796"/>
      <c r="J34" s="797"/>
      <c r="K34" s="797"/>
      <c r="L34" s="796"/>
      <c r="M34" s="797"/>
      <c r="N34" s="797"/>
      <c r="O34" s="797"/>
      <c r="P34" s="797"/>
      <c r="Q34" s="797"/>
      <c r="R34" s="797"/>
      <c r="S34" s="797"/>
      <c r="T34" s="796"/>
    </row>
    <row r="35">
      <c r="A35" s="796"/>
      <c r="B35" s="796"/>
      <c r="C35" s="796"/>
      <c r="D35" s="796"/>
      <c r="E35" s="797"/>
      <c r="F35" s="796"/>
      <c r="G35" s="796"/>
      <c r="H35" s="796"/>
      <c r="I35" s="796"/>
      <c r="J35" s="797"/>
      <c r="K35" s="797"/>
      <c r="L35" s="796"/>
      <c r="M35" s="797"/>
      <c r="N35" s="797"/>
      <c r="O35" s="797"/>
      <c r="P35" s="797"/>
      <c r="Q35" s="797"/>
      <c r="R35" s="797"/>
      <c r="S35" s="797"/>
      <c r="T35" s="796"/>
    </row>
    <row r="36">
      <c r="A36" s="796"/>
      <c r="B36" s="796"/>
      <c r="C36" s="796"/>
      <c r="D36" s="796"/>
      <c r="E36" s="797"/>
      <c r="F36" s="796"/>
      <c r="G36" s="796"/>
      <c r="H36" s="796"/>
      <c r="I36" s="796"/>
      <c r="J36" s="797"/>
      <c r="K36" s="797"/>
      <c r="L36" s="796"/>
      <c r="M36" s="797"/>
      <c r="N36" s="797"/>
      <c r="O36" s="797"/>
      <c r="P36" s="797"/>
      <c r="Q36" s="797"/>
      <c r="R36" s="797"/>
      <c r="S36" s="797"/>
      <c r="T36" s="796"/>
    </row>
    <row r="37">
      <c r="A37" s="796"/>
      <c r="B37" s="796"/>
      <c r="C37" s="796"/>
      <c r="D37" s="796"/>
      <c r="E37" s="797"/>
      <c r="F37" s="796"/>
      <c r="G37" s="796"/>
      <c r="H37" s="796"/>
      <c r="I37" s="796"/>
      <c r="J37" s="797"/>
      <c r="K37" s="797"/>
      <c r="L37" s="796"/>
      <c r="M37" s="797"/>
      <c r="N37" s="797"/>
      <c r="O37" s="797"/>
      <c r="P37" s="797"/>
      <c r="Q37" s="797"/>
      <c r="R37" s="797"/>
      <c r="S37" s="797"/>
      <c r="T37" s="796"/>
    </row>
    <row r="38">
      <c r="A38" s="796"/>
      <c r="B38" s="796"/>
      <c r="C38" s="796"/>
      <c r="D38" s="796"/>
      <c r="E38" s="797"/>
      <c r="F38" s="796"/>
      <c r="G38" s="796"/>
      <c r="H38" s="796"/>
      <c r="I38" s="796"/>
      <c r="J38" s="797"/>
      <c r="K38" s="797"/>
      <c r="L38" s="796"/>
      <c r="M38" s="797"/>
      <c r="N38" s="797"/>
      <c r="O38" s="797"/>
      <c r="P38" s="797"/>
      <c r="Q38" s="797"/>
      <c r="R38" s="797"/>
      <c r="S38" s="797"/>
      <c r="T38" s="796"/>
    </row>
    <row r="39">
      <c r="A39" s="796"/>
      <c r="B39" s="796"/>
      <c r="C39" s="796"/>
      <c r="D39" s="796"/>
      <c r="E39" s="797"/>
      <c r="F39" s="796"/>
      <c r="G39" s="796"/>
      <c r="H39" s="796"/>
      <c r="I39" s="796"/>
      <c r="J39" s="797"/>
      <c r="K39" s="797"/>
      <c r="L39" s="796"/>
      <c r="M39" s="797"/>
      <c r="N39" s="797"/>
      <c r="O39" s="797"/>
      <c r="P39" s="797"/>
      <c r="Q39" s="797"/>
      <c r="R39" s="797"/>
      <c r="S39" s="797"/>
      <c r="T39" s="796"/>
    </row>
    <row r="40">
      <c r="A40" s="796"/>
      <c r="B40" s="796"/>
      <c r="C40" s="796"/>
      <c r="D40" s="796"/>
      <c r="E40" s="797"/>
      <c r="F40" s="796"/>
      <c r="G40" s="796"/>
      <c r="H40" s="796"/>
      <c r="I40" s="796"/>
      <c r="J40" s="797"/>
      <c r="K40" s="797"/>
      <c r="L40" s="796"/>
      <c r="M40" s="797"/>
      <c r="N40" s="797"/>
      <c r="O40" s="797"/>
      <c r="P40" s="797"/>
      <c r="Q40" s="797"/>
      <c r="R40" s="797"/>
      <c r="S40" s="797"/>
      <c r="T40" s="796"/>
    </row>
    <row r="41">
      <c r="A41" s="796"/>
      <c r="B41" s="796"/>
      <c r="C41" s="796"/>
      <c r="D41" s="796"/>
      <c r="E41" s="797"/>
      <c r="F41" s="796"/>
      <c r="G41" s="796"/>
      <c r="H41" s="796"/>
      <c r="I41" s="796"/>
      <c r="J41" s="797"/>
      <c r="K41" s="797"/>
      <c r="L41" s="796"/>
      <c r="M41" s="797"/>
      <c r="N41" s="797"/>
      <c r="O41" s="797"/>
      <c r="P41" s="797"/>
      <c r="Q41" s="797"/>
      <c r="R41" s="797"/>
      <c r="S41" s="797"/>
      <c r="T41" s="796"/>
    </row>
    <row r="42">
      <c r="A42" s="796"/>
      <c r="B42" s="796"/>
      <c r="C42" s="796"/>
      <c r="D42" s="796"/>
      <c r="E42" s="797"/>
      <c r="F42" s="796"/>
      <c r="G42" s="796"/>
      <c r="H42" s="796"/>
      <c r="I42" s="796"/>
      <c r="J42" s="797"/>
      <c r="K42" s="797"/>
      <c r="L42" s="796"/>
      <c r="M42" s="797"/>
      <c r="N42" s="797"/>
      <c r="O42" s="797"/>
      <c r="P42" s="797"/>
      <c r="Q42" s="797"/>
      <c r="R42" s="797"/>
      <c r="S42" s="797"/>
      <c r="T42" s="796"/>
    </row>
    <row r="43">
      <c r="A43" s="796"/>
      <c r="B43" s="796"/>
      <c r="C43" s="796"/>
      <c r="D43" s="796"/>
      <c r="E43" s="797"/>
      <c r="F43" s="796"/>
      <c r="G43" s="796"/>
      <c r="H43" s="796"/>
      <c r="I43" s="796"/>
      <c r="J43" s="797"/>
      <c r="K43" s="797"/>
      <c r="L43" s="796"/>
      <c r="M43" s="797"/>
      <c r="N43" s="797"/>
      <c r="O43" s="797"/>
      <c r="P43" s="797"/>
      <c r="Q43" s="797"/>
      <c r="R43" s="797"/>
      <c r="S43" s="797"/>
      <c r="T43" s="796"/>
    </row>
    <row r="44">
      <c r="A44" s="796"/>
      <c r="B44" s="796"/>
      <c r="C44" s="796"/>
      <c r="D44" s="796"/>
      <c r="E44" s="797"/>
      <c r="F44" s="796"/>
      <c r="G44" s="796"/>
      <c r="H44" s="796"/>
      <c r="I44" s="796"/>
      <c r="J44" s="797"/>
      <c r="K44" s="797"/>
      <c r="L44" s="796"/>
      <c r="M44" s="797"/>
      <c r="N44" s="797"/>
      <c r="O44" s="797"/>
      <c r="P44" s="797"/>
      <c r="Q44" s="797"/>
      <c r="R44" s="797"/>
      <c r="S44" s="797"/>
      <c r="T44" s="796"/>
    </row>
    <row r="45">
      <c r="A45" s="796"/>
      <c r="B45" s="796"/>
      <c r="C45" s="796"/>
      <c r="D45" s="796"/>
      <c r="E45" s="797"/>
      <c r="F45" s="796"/>
      <c r="G45" s="796"/>
      <c r="H45" s="796"/>
      <c r="I45" s="796"/>
      <c r="J45" s="797"/>
      <c r="K45" s="797"/>
      <c r="L45" s="796"/>
      <c r="M45" s="797"/>
      <c r="N45" s="797"/>
      <c r="O45" s="797"/>
      <c r="P45" s="797"/>
      <c r="Q45" s="797"/>
      <c r="R45" s="797"/>
      <c r="S45" s="797"/>
      <c r="T45" s="796"/>
    </row>
    <row r="46">
      <c r="A46" s="796"/>
      <c r="B46" s="796"/>
      <c r="C46" s="796"/>
      <c r="D46" s="796"/>
      <c r="E46" s="797"/>
      <c r="F46" s="796"/>
      <c r="G46" s="796"/>
      <c r="H46" s="796"/>
      <c r="I46" s="796"/>
      <c r="J46" s="797"/>
      <c r="K46" s="797"/>
      <c r="L46" s="796"/>
      <c r="M46" s="797"/>
      <c r="N46" s="797"/>
      <c r="O46" s="797"/>
      <c r="P46" s="797"/>
      <c r="Q46" s="797"/>
      <c r="R46" s="797"/>
      <c r="S46" s="797"/>
      <c r="T46" s="796"/>
    </row>
    <row r="47">
      <c r="A47" s="796"/>
      <c r="B47" s="796"/>
      <c r="C47" s="796"/>
      <c r="D47" s="796"/>
      <c r="E47" s="797"/>
      <c r="F47" s="796"/>
      <c r="G47" s="796"/>
      <c r="H47" s="796"/>
      <c r="I47" s="796"/>
      <c r="J47" s="797"/>
      <c r="K47" s="797"/>
      <c r="L47" s="796"/>
      <c r="M47" s="797"/>
      <c r="N47" s="797"/>
      <c r="O47" s="797"/>
      <c r="P47" s="797"/>
      <c r="Q47" s="797"/>
      <c r="R47" s="797"/>
      <c r="S47" s="797"/>
      <c r="T47" s="796"/>
    </row>
    <row r="48">
      <c r="A48" s="796"/>
      <c r="B48" s="796"/>
      <c r="C48" s="796"/>
      <c r="D48" s="796"/>
      <c r="E48" s="797"/>
      <c r="F48" s="796"/>
      <c r="G48" s="796"/>
      <c r="H48" s="796"/>
      <c r="I48" s="796"/>
      <c r="J48" s="797"/>
      <c r="K48" s="797"/>
      <c r="L48" s="796"/>
      <c r="M48" s="797"/>
      <c r="N48" s="797"/>
      <c r="O48" s="797"/>
      <c r="P48" s="797"/>
      <c r="Q48" s="797"/>
      <c r="R48" s="797"/>
      <c r="S48" s="797"/>
      <c r="T48" s="796"/>
    </row>
    <row r="49">
      <c r="A49" s="796"/>
      <c r="B49" s="796"/>
      <c r="C49" s="796"/>
      <c r="D49" s="796"/>
      <c r="E49" s="797"/>
      <c r="F49" s="796"/>
      <c r="G49" s="796"/>
      <c r="H49" s="796"/>
      <c r="I49" s="796"/>
      <c r="J49" s="797"/>
      <c r="K49" s="797"/>
      <c r="L49" s="796"/>
      <c r="M49" s="797"/>
      <c r="N49" s="797"/>
      <c r="O49" s="797"/>
      <c r="P49" s="797"/>
      <c r="Q49" s="797"/>
      <c r="R49" s="797"/>
      <c r="S49" s="797"/>
      <c r="T49" s="796"/>
    </row>
    <row r="50">
      <c r="A50" s="796"/>
      <c r="B50" s="796"/>
      <c r="C50" s="796"/>
      <c r="D50" s="796"/>
      <c r="E50" s="797"/>
      <c r="F50" s="796"/>
      <c r="G50" s="796"/>
      <c r="H50" s="796"/>
      <c r="I50" s="796"/>
      <c r="J50" s="797"/>
      <c r="K50" s="797"/>
      <c r="L50" s="796"/>
      <c r="M50" s="797"/>
      <c r="N50" s="797"/>
      <c r="O50" s="797"/>
      <c r="P50" s="797"/>
      <c r="Q50" s="797"/>
      <c r="R50" s="797"/>
      <c r="S50" s="797"/>
      <c r="T50" s="796"/>
    </row>
    <row r="51">
      <c r="A51" s="796"/>
      <c r="B51" s="796"/>
      <c r="C51" s="796"/>
      <c r="D51" s="796"/>
      <c r="E51" s="797"/>
      <c r="F51" s="796"/>
      <c r="G51" s="796"/>
      <c r="H51" s="796"/>
      <c r="I51" s="796"/>
      <c r="J51" s="797"/>
      <c r="K51" s="797"/>
      <c r="L51" s="796"/>
      <c r="M51" s="797"/>
      <c r="N51" s="797"/>
      <c r="O51" s="797"/>
      <c r="P51" s="797"/>
      <c r="Q51" s="797"/>
      <c r="R51" s="797"/>
      <c r="S51" s="797"/>
      <c r="T51" s="796"/>
    </row>
    <row r="52">
      <c r="A52" s="796"/>
      <c r="B52" s="796"/>
      <c r="C52" s="796"/>
      <c r="D52" s="796"/>
      <c r="E52" s="797"/>
      <c r="F52" s="796"/>
      <c r="G52" s="796"/>
      <c r="H52" s="796"/>
      <c r="I52" s="796"/>
      <c r="J52" s="797"/>
      <c r="K52" s="797"/>
      <c r="L52" s="796"/>
      <c r="M52" s="797"/>
      <c r="N52" s="797"/>
      <c r="O52" s="797"/>
      <c r="P52" s="797"/>
      <c r="Q52" s="797"/>
      <c r="R52" s="797"/>
      <c r="S52" s="797"/>
      <c r="T52" s="796"/>
    </row>
    <row r="53">
      <c r="A53" s="796"/>
      <c r="B53" s="796"/>
      <c r="C53" s="796"/>
      <c r="D53" s="796"/>
      <c r="E53" s="797"/>
      <c r="F53" s="796"/>
      <c r="G53" s="796"/>
      <c r="H53" s="796"/>
      <c r="I53" s="796"/>
      <c r="J53" s="797"/>
      <c r="K53" s="797"/>
      <c r="L53" s="796"/>
      <c r="M53" s="797"/>
      <c r="N53" s="797"/>
      <c r="O53" s="797"/>
      <c r="P53" s="797"/>
      <c r="Q53" s="797"/>
      <c r="R53" s="797"/>
      <c r="S53" s="797"/>
      <c r="T53" s="796"/>
    </row>
    <row r="54">
      <c r="A54" s="796"/>
      <c r="B54" s="796"/>
      <c r="C54" s="796"/>
      <c r="D54" s="796"/>
      <c r="E54" s="797"/>
      <c r="F54" s="796"/>
      <c r="G54" s="796"/>
      <c r="H54" s="796"/>
      <c r="I54" s="796"/>
      <c r="J54" s="797"/>
      <c r="K54" s="797"/>
      <c r="L54" s="796"/>
      <c r="M54" s="797"/>
      <c r="N54" s="797"/>
      <c r="O54" s="797"/>
      <c r="P54" s="797"/>
      <c r="Q54" s="797"/>
      <c r="R54" s="797"/>
      <c r="S54" s="797"/>
      <c r="T54" s="796"/>
    </row>
    <row r="55">
      <c r="A55" s="796"/>
      <c r="B55" s="796"/>
      <c r="C55" s="796"/>
      <c r="D55" s="796"/>
      <c r="E55" s="797"/>
      <c r="F55" s="796"/>
      <c r="G55" s="796"/>
      <c r="H55" s="796"/>
      <c r="I55" s="796"/>
      <c r="J55" s="797"/>
      <c r="K55" s="797"/>
      <c r="L55" s="796"/>
      <c r="M55" s="797"/>
      <c r="N55" s="797"/>
      <c r="O55" s="797"/>
      <c r="P55" s="797"/>
      <c r="Q55" s="797"/>
      <c r="R55" s="797"/>
      <c r="S55" s="797"/>
      <c r="T55" s="796"/>
    </row>
    <row r="56">
      <c r="A56" s="796"/>
      <c r="B56" s="796"/>
      <c r="C56" s="796"/>
      <c r="D56" s="796"/>
      <c r="E56" s="797"/>
      <c r="F56" s="796"/>
      <c r="G56" s="796"/>
      <c r="H56" s="796"/>
      <c r="I56" s="796"/>
      <c r="J56" s="797"/>
      <c r="K56" s="797"/>
      <c r="L56" s="796"/>
      <c r="M56" s="797"/>
      <c r="N56" s="797"/>
      <c r="O56" s="797"/>
      <c r="P56" s="797"/>
      <c r="Q56" s="797"/>
      <c r="R56" s="797"/>
      <c r="S56" s="797"/>
      <c r="T56" s="796"/>
    </row>
    <row r="57">
      <c r="A57" s="796"/>
      <c r="B57" s="796"/>
      <c r="C57" s="796"/>
      <c r="D57" s="796"/>
      <c r="E57" s="797"/>
      <c r="F57" s="796"/>
      <c r="G57" s="796"/>
      <c r="H57" s="796"/>
      <c r="I57" s="796"/>
      <c r="J57" s="797"/>
      <c r="K57" s="797"/>
      <c r="L57" s="796"/>
      <c r="M57" s="797"/>
      <c r="N57" s="797"/>
      <c r="O57" s="797"/>
      <c r="P57" s="797"/>
      <c r="Q57" s="797"/>
      <c r="R57" s="797"/>
      <c r="S57" s="797"/>
      <c r="T57" s="796"/>
    </row>
    <row r="58">
      <c r="A58" s="796"/>
      <c r="B58" s="796"/>
      <c r="C58" s="796"/>
      <c r="D58" s="796"/>
      <c r="E58" s="797"/>
      <c r="F58" s="796"/>
      <c r="G58" s="796"/>
      <c r="H58" s="796"/>
      <c r="I58" s="796"/>
      <c r="J58" s="797"/>
      <c r="K58" s="797"/>
      <c r="L58" s="796"/>
      <c r="M58" s="797"/>
      <c r="N58" s="797"/>
      <c r="O58" s="797"/>
      <c r="P58" s="797"/>
      <c r="Q58" s="797"/>
      <c r="R58" s="797"/>
      <c r="S58" s="797"/>
      <c r="T58" s="796"/>
    </row>
    <row r="59">
      <c r="A59" s="796"/>
      <c r="B59" s="796"/>
      <c r="C59" s="796"/>
      <c r="D59" s="796"/>
      <c r="E59" s="797"/>
      <c r="F59" s="796"/>
      <c r="G59" s="796"/>
      <c r="H59" s="796"/>
      <c r="I59" s="796"/>
      <c r="J59" s="797"/>
      <c r="K59" s="797"/>
      <c r="L59" s="796"/>
      <c r="M59" s="797"/>
      <c r="N59" s="797"/>
      <c r="O59" s="797"/>
      <c r="P59" s="797"/>
      <c r="Q59" s="797"/>
      <c r="R59" s="797"/>
      <c r="S59" s="797"/>
      <c r="T59" s="796"/>
    </row>
    <row r="60">
      <c r="A60" s="796"/>
      <c r="B60" s="796"/>
      <c r="C60" s="796"/>
      <c r="D60" s="796"/>
      <c r="E60" s="797"/>
      <c r="F60" s="796"/>
      <c r="G60" s="796"/>
      <c r="H60" s="796"/>
      <c r="I60" s="796"/>
      <c r="J60" s="797"/>
      <c r="K60" s="797"/>
      <c r="L60" s="796"/>
      <c r="M60" s="797"/>
      <c r="N60" s="797"/>
      <c r="O60" s="797"/>
      <c r="P60" s="797"/>
      <c r="Q60" s="797"/>
      <c r="R60" s="797"/>
      <c r="S60" s="797"/>
      <c r="T60" s="796"/>
    </row>
    <row r="61">
      <c r="A61" s="796"/>
      <c r="B61" s="796"/>
      <c r="C61" s="796"/>
      <c r="D61" s="796"/>
      <c r="E61" s="797"/>
      <c r="F61" s="796"/>
      <c r="G61" s="796"/>
      <c r="H61" s="796"/>
      <c r="I61" s="796"/>
      <c r="J61" s="797"/>
      <c r="K61" s="797"/>
      <c r="L61" s="796"/>
      <c r="M61" s="797"/>
      <c r="N61" s="797"/>
      <c r="O61" s="797"/>
      <c r="P61" s="797"/>
      <c r="Q61" s="797"/>
      <c r="R61" s="797"/>
      <c r="S61" s="797"/>
      <c r="T61" s="796"/>
    </row>
    <row r="62">
      <c r="A62" s="796"/>
      <c r="B62" s="796"/>
      <c r="C62" s="796"/>
      <c r="D62" s="796"/>
      <c r="E62" s="797"/>
      <c r="F62" s="796"/>
      <c r="G62" s="796"/>
      <c r="H62" s="796"/>
      <c r="I62" s="796"/>
      <c r="J62" s="797"/>
      <c r="K62" s="797"/>
      <c r="L62" s="796"/>
      <c r="M62" s="797"/>
      <c r="N62" s="797"/>
      <c r="O62" s="797"/>
      <c r="P62" s="797"/>
      <c r="Q62" s="797"/>
      <c r="R62" s="797"/>
      <c r="S62" s="797"/>
      <c r="T62" s="796"/>
    </row>
    <row r="63">
      <c r="A63" s="796"/>
      <c r="B63" s="796"/>
      <c r="C63" s="796"/>
      <c r="D63" s="796"/>
      <c r="E63" s="797"/>
      <c r="F63" s="796"/>
      <c r="G63" s="796"/>
      <c r="H63" s="796"/>
      <c r="I63" s="796"/>
      <c r="J63" s="797"/>
      <c r="K63" s="797"/>
      <c r="L63" s="796"/>
      <c r="M63" s="797"/>
      <c r="N63" s="797"/>
      <c r="O63" s="797"/>
      <c r="P63" s="797"/>
      <c r="Q63" s="797"/>
      <c r="R63" s="797"/>
      <c r="S63" s="797"/>
      <c r="T63" s="796"/>
    </row>
    <row r="64">
      <c r="A64" s="796"/>
      <c r="B64" s="796"/>
      <c r="C64" s="796"/>
      <c r="D64" s="796"/>
      <c r="E64" s="797"/>
      <c r="F64" s="796"/>
      <c r="G64" s="796"/>
      <c r="H64" s="796"/>
      <c r="I64" s="796"/>
      <c r="J64" s="797"/>
      <c r="K64" s="797"/>
      <c r="L64" s="796"/>
      <c r="M64" s="797"/>
      <c r="N64" s="797"/>
      <c r="O64" s="797"/>
      <c r="P64" s="797"/>
      <c r="Q64" s="797"/>
      <c r="R64" s="797"/>
      <c r="S64" s="797"/>
      <c r="T64" s="796"/>
    </row>
    <row r="65">
      <c r="A65" s="796"/>
      <c r="B65" s="796"/>
      <c r="C65" s="796"/>
      <c r="D65" s="796"/>
      <c r="E65" s="797"/>
      <c r="F65" s="796"/>
      <c r="G65" s="796"/>
      <c r="H65" s="796"/>
      <c r="I65" s="796"/>
      <c r="J65" s="797"/>
      <c r="K65" s="797"/>
      <c r="L65" s="796"/>
      <c r="M65" s="797"/>
      <c r="N65" s="797"/>
      <c r="O65" s="797"/>
      <c r="P65" s="797"/>
      <c r="Q65" s="797"/>
      <c r="R65" s="797"/>
      <c r="S65" s="797"/>
      <c r="T65" s="796"/>
    </row>
    <row r="66">
      <c r="A66" s="796"/>
      <c r="B66" s="796"/>
      <c r="C66" s="796"/>
      <c r="D66" s="796"/>
      <c r="E66" s="797"/>
      <c r="F66" s="796"/>
      <c r="G66" s="796"/>
      <c r="H66" s="796"/>
      <c r="I66" s="796"/>
      <c r="J66" s="797"/>
      <c r="K66" s="797"/>
      <c r="L66" s="796"/>
      <c r="M66" s="797"/>
      <c r="N66" s="797"/>
      <c r="O66" s="797"/>
      <c r="P66" s="797"/>
      <c r="Q66" s="797"/>
      <c r="R66" s="797"/>
      <c r="S66" s="797"/>
      <c r="T66" s="796"/>
    </row>
    <row r="67">
      <c r="A67" s="796"/>
      <c r="B67" s="796"/>
      <c r="C67" s="796"/>
      <c r="D67" s="796"/>
      <c r="E67" s="797"/>
      <c r="F67" s="796"/>
      <c r="G67" s="796"/>
      <c r="H67" s="796"/>
      <c r="I67" s="796"/>
      <c r="J67" s="797"/>
      <c r="K67" s="797"/>
      <c r="L67" s="796"/>
      <c r="M67" s="797"/>
      <c r="N67" s="797"/>
      <c r="O67" s="797"/>
      <c r="P67" s="797"/>
      <c r="Q67" s="797"/>
      <c r="R67" s="797"/>
      <c r="S67" s="797"/>
      <c r="T67" s="796"/>
    </row>
    <row r="68">
      <c r="A68" s="796"/>
      <c r="B68" s="796"/>
      <c r="C68" s="796"/>
      <c r="D68" s="796"/>
      <c r="E68" s="797"/>
      <c r="F68" s="796"/>
      <c r="G68" s="796"/>
      <c r="H68" s="796"/>
      <c r="I68" s="796"/>
      <c r="J68" s="797"/>
      <c r="K68" s="797"/>
      <c r="L68" s="796"/>
      <c r="M68" s="797"/>
      <c r="N68" s="797"/>
      <c r="O68" s="797"/>
      <c r="P68" s="797"/>
      <c r="Q68" s="797"/>
      <c r="R68" s="797"/>
      <c r="S68" s="797"/>
      <c r="T68" s="796"/>
    </row>
    <row r="69">
      <c r="A69" s="796"/>
      <c r="B69" s="796"/>
      <c r="C69" s="796"/>
      <c r="D69" s="796"/>
      <c r="E69" s="797"/>
      <c r="F69" s="796"/>
      <c r="G69" s="796"/>
      <c r="H69" s="796"/>
      <c r="I69" s="796"/>
      <c r="J69" s="797"/>
      <c r="K69" s="797"/>
      <c r="L69" s="796"/>
      <c r="M69" s="797"/>
      <c r="N69" s="797"/>
      <c r="O69" s="797"/>
      <c r="P69" s="797"/>
      <c r="Q69" s="797"/>
      <c r="R69" s="797"/>
      <c r="S69" s="797"/>
      <c r="T69" s="796"/>
    </row>
    <row r="70">
      <c r="A70" s="796"/>
      <c r="B70" s="796"/>
      <c r="C70" s="796"/>
      <c r="D70" s="796"/>
      <c r="E70" s="797"/>
      <c r="F70" s="796"/>
      <c r="G70" s="796"/>
      <c r="H70" s="796"/>
      <c r="I70" s="796"/>
      <c r="J70" s="797"/>
      <c r="K70" s="797"/>
      <c r="L70" s="796"/>
      <c r="M70" s="797"/>
      <c r="N70" s="797"/>
      <c r="O70" s="797"/>
      <c r="P70" s="797"/>
      <c r="Q70" s="797"/>
      <c r="R70" s="797"/>
      <c r="S70" s="797"/>
      <c r="T70" s="796"/>
    </row>
    <row r="71">
      <c r="A71" s="796"/>
      <c r="B71" s="796"/>
      <c r="C71" s="796"/>
      <c r="D71" s="796"/>
      <c r="E71" s="797"/>
      <c r="F71" s="796"/>
      <c r="G71" s="796"/>
      <c r="H71" s="796"/>
      <c r="I71" s="796"/>
      <c r="J71" s="797"/>
      <c r="K71" s="797"/>
      <c r="L71" s="796"/>
      <c r="M71" s="797"/>
      <c r="N71" s="797"/>
      <c r="O71" s="797"/>
      <c r="P71" s="797"/>
      <c r="Q71" s="797"/>
      <c r="R71" s="797"/>
      <c r="S71" s="797"/>
      <c r="T71" s="796"/>
    </row>
    <row r="72">
      <c r="A72" s="796"/>
      <c r="B72" s="796"/>
      <c r="C72" s="796"/>
      <c r="D72" s="796"/>
      <c r="E72" s="797"/>
      <c r="F72" s="796"/>
      <c r="G72" s="796"/>
      <c r="H72" s="796"/>
      <c r="I72" s="796"/>
      <c r="J72" s="797"/>
      <c r="K72" s="797"/>
      <c r="L72" s="796"/>
      <c r="M72" s="797"/>
      <c r="N72" s="797"/>
      <c r="O72" s="797"/>
      <c r="P72" s="797"/>
      <c r="Q72" s="797"/>
      <c r="R72" s="797"/>
      <c r="S72" s="797"/>
      <c r="T72" s="796"/>
    </row>
    <row r="73">
      <c r="A73" s="796"/>
      <c r="B73" s="796"/>
      <c r="C73" s="796"/>
      <c r="D73" s="796"/>
      <c r="E73" s="797"/>
      <c r="F73" s="796"/>
      <c r="G73" s="796"/>
      <c r="H73" s="796"/>
      <c r="I73" s="796"/>
      <c r="J73" s="797"/>
      <c r="K73" s="797"/>
      <c r="L73" s="796"/>
      <c r="M73" s="797"/>
      <c r="N73" s="797"/>
      <c r="O73" s="797"/>
      <c r="P73" s="797"/>
      <c r="Q73" s="797"/>
      <c r="R73" s="797"/>
      <c r="S73" s="797"/>
      <c r="T73" s="796"/>
    </row>
    <row r="74">
      <c r="A74" s="796"/>
      <c r="B74" s="796"/>
      <c r="C74" s="796"/>
      <c r="D74" s="796"/>
      <c r="E74" s="797"/>
      <c r="F74" s="796"/>
      <c r="G74" s="796"/>
      <c r="H74" s="796"/>
      <c r="I74" s="796"/>
      <c r="J74" s="797"/>
      <c r="K74" s="797"/>
      <c r="L74" s="796"/>
      <c r="M74" s="797"/>
      <c r="N74" s="797"/>
      <c r="O74" s="797"/>
      <c r="P74" s="797"/>
      <c r="Q74" s="797"/>
      <c r="R74" s="797"/>
      <c r="S74" s="797"/>
      <c r="T74" s="796"/>
    </row>
    <row r="75">
      <c r="A75" s="796"/>
      <c r="B75" s="796"/>
      <c r="C75" s="796"/>
      <c r="D75" s="796"/>
      <c r="E75" s="797"/>
      <c r="F75" s="796"/>
      <c r="G75" s="796"/>
      <c r="H75" s="796"/>
      <c r="I75" s="796"/>
      <c r="J75" s="797"/>
      <c r="K75" s="797"/>
      <c r="L75" s="796"/>
      <c r="M75" s="797"/>
      <c r="N75" s="797"/>
      <c r="O75" s="797"/>
      <c r="P75" s="797"/>
      <c r="Q75" s="797"/>
      <c r="R75" s="797"/>
      <c r="S75" s="797"/>
      <c r="T75" s="796"/>
    </row>
    <row r="76">
      <c r="A76" s="796"/>
      <c r="B76" s="796"/>
      <c r="C76" s="796"/>
      <c r="D76" s="796"/>
      <c r="E76" s="797"/>
      <c r="F76" s="796"/>
      <c r="G76" s="796"/>
      <c r="H76" s="796"/>
      <c r="I76" s="796"/>
      <c r="J76" s="797"/>
      <c r="K76" s="797"/>
      <c r="L76" s="796"/>
      <c r="M76" s="797"/>
      <c r="N76" s="797"/>
      <c r="O76" s="797"/>
      <c r="P76" s="797"/>
      <c r="Q76" s="797"/>
      <c r="R76" s="797"/>
      <c r="S76" s="797"/>
      <c r="T76" s="796"/>
    </row>
    <row r="77">
      <c r="A77" s="796"/>
      <c r="B77" s="796"/>
      <c r="C77" s="796"/>
      <c r="D77" s="796"/>
      <c r="E77" s="797"/>
      <c r="F77" s="796"/>
      <c r="G77" s="796"/>
      <c r="H77" s="796"/>
      <c r="I77" s="796"/>
      <c r="J77" s="797"/>
      <c r="K77" s="797"/>
      <c r="L77" s="796"/>
      <c r="M77" s="797"/>
      <c r="N77" s="797"/>
      <c r="O77" s="797"/>
      <c r="P77" s="797"/>
      <c r="Q77" s="797"/>
      <c r="R77" s="797"/>
      <c r="S77" s="797"/>
      <c r="T77" s="796"/>
    </row>
    <row r="78">
      <c r="A78" s="796"/>
      <c r="B78" s="796"/>
      <c r="C78" s="796"/>
      <c r="D78" s="796"/>
      <c r="E78" s="797"/>
      <c r="F78" s="796"/>
      <c r="G78" s="796"/>
      <c r="H78" s="796"/>
      <c r="I78" s="796"/>
      <c r="J78" s="797"/>
      <c r="K78" s="797"/>
      <c r="L78" s="796"/>
      <c r="M78" s="797"/>
      <c r="N78" s="797"/>
      <c r="O78" s="797"/>
      <c r="P78" s="797"/>
      <c r="Q78" s="797"/>
      <c r="R78" s="797"/>
      <c r="S78" s="797"/>
      <c r="T78" s="796"/>
    </row>
    <row r="79">
      <c r="A79" s="796"/>
      <c r="B79" s="796"/>
      <c r="C79" s="796"/>
      <c r="D79" s="796"/>
      <c r="E79" s="797"/>
      <c r="F79" s="796"/>
      <c r="G79" s="796"/>
      <c r="H79" s="796"/>
      <c r="I79" s="796"/>
      <c r="J79" s="797"/>
      <c r="K79" s="797"/>
      <c r="L79" s="796"/>
      <c r="M79" s="797"/>
      <c r="N79" s="797"/>
      <c r="O79" s="797"/>
      <c r="P79" s="797"/>
      <c r="Q79" s="797"/>
      <c r="R79" s="797"/>
      <c r="S79" s="797"/>
      <c r="T79" s="796"/>
    </row>
    <row r="80">
      <c r="A80" s="796"/>
      <c r="B80" s="796"/>
      <c r="C80" s="796"/>
      <c r="D80" s="796"/>
      <c r="E80" s="797"/>
      <c r="F80" s="796"/>
      <c r="G80" s="796"/>
      <c r="H80" s="796"/>
      <c r="I80" s="796"/>
      <c r="J80" s="797"/>
      <c r="K80" s="797"/>
      <c r="L80" s="796"/>
      <c r="M80" s="797"/>
      <c r="N80" s="797"/>
      <c r="O80" s="797"/>
      <c r="P80" s="797"/>
      <c r="Q80" s="797"/>
      <c r="R80" s="797"/>
      <c r="S80" s="797"/>
      <c r="T80" s="796"/>
    </row>
    <row r="81">
      <c r="A81" s="796"/>
      <c r="B81" s="796"/>
      <c r="C81" s="796"/>
      <c r="D81" s="796"/>
      <c r="E81" s="797"/>
      <c r="F81" s="796"/>
      <c r="G81" s="796"/>
      <c r="H81" s="796"/>
      <c r="I81" s="796"/>
      <c r="J81" s="797"/>
      <c r="K81" s="797"/>
      <c r="L81" s="796"/>
      <c r="M81" s="797"/>
      <c r="N81" s="797"/>
      <c r="O81" s="797"/>
      <c r="P81" s="797"/>
      <c r="Q81" s="797"/>
      <c r="R81" s="797"/>
      <c r="S81" s="797"/>
      <c r="T81" s="796"/>
    </row>
    <row r="82">
      <c r="A82" s="796"/>
      <c r="B82" s="796"/>
      <c r="C82" s="796"/>
      <c r="D82" s="796"/>
      <c r="E82" s="797"/>
      <c r="F82" s="796"/>
      <c r="G82" s="796"/>
      <c r="H82" s="796"/>
      <c r="I82" s="796"/>
      <c r="J82" s="797"/>
      <c r="K82" s="797"/>
      <c r="L82" s="796"/>
      <c r="M82" s="797"/>
      <c r="N82" s="797"/>
      <c r="O82" s="797"/>
      <c r="P82" s="797"/>
      <c r="Q82" s="797"/>
      <c r="R82" s="797"/>
      <c r="S82" s="797"/>
      <c r="T82" s="796"/>
    </row>
    <row r="83">
      <c r="A83" s="796"/>
      <c r="B83" s="796"/>
      <c r="C83" s="796"/>
      <c r="D83" s="796"/>
      <c r="E83" s="797"/>
      <c r="F83" s="796"/>
      <c r="G83" s="796"/>
      <c r="H83" s="796"/>
      <c r="I83" s="796"/>
      <c r="J83" s="797"/>
      <c r="K83" s="797"/>
      <c r="L83" s="796"/>
      <c r="M83" s="797"/>
      <c r="N83" s="797"/>
      <c r="O83" s="797"/>
      <c r="P83" s="797"/>
      <c r="Q83" s="797"/>
      <c r="R83" s="797"/>
      <c r="S83" s="797"/>
      <c r="T83" s="796"/>
    </row>
    <row r="84">
      <c r="A84" s="796"/>
      <c r="B84" s="796"/>
      <c r="C84" s="796"/>
      <c r="D84" s="796"/>
      <c r="E84" s="797"/>
      <c r="F84" s="796"/>
      <c r="G84" s="796"/>
      <c r="H84" s="796"/>
      <c r="I84" s="796"/>
      <c r="J84" s="797"/>
      <c r="K84" s="797"/>
      <c r="L84" s="796"/>
      <c r="M84" s="797"/>
      <c r="N84" s="797"/>
      <c r="O84" s="797"/>
      <c r="P84" s="797"/>
      <c r="Q84" s="797"/>
      <c r="R84" s="797"/>
      <c r="S84" s="797"/>
      <c r="T84" s="796"/>
    </row>
    <row r="85">
      <c r="A85" s="796"/>
      <c r="B85" s="796"/>
      <c r="C85" s="796"/>
      <c r="D85" s="796"/>
      <c r="E85" s="797"/>
      <c r="F85" s="796"/>
      <c r="G85" s="796"/>
      <c r="H85" s="796"/>
      <c r="I85" s="796"/>
      <c r="J85" s="797"/>
      <c r="K85" s="797"/>
      <c r="L85" s="796"/>
      <c r="M85" s="797"/>
      <c r="N85" s="797"/>
      <c r="O85" s="797"/>
      <c r="P85" s="797"/>
      <c r="Q85" s="797"/>
      <c r="R85" s="797"/>
      <c r="S85" s="797"/>
      <c r="T85" s="796"/>
    </row>
    <row r="86">
      <c r="A86" s="796"/>
      <c r="B86" s="796"/>
      <c r="C86" s="796"/>
      <c r="D86" s="796"/>
      <c r="E86" s="797"/>
      <c r="F86" s="796"/>
      <c r="G86" s="796"/>
      <c r="H86" s="796"/>
      <c r="I86" s="796"/>
      <c r="J86" s="797"/>
      <c r="K86" s="797"/>
      <c r="L86" s="796"/>
      <c r="M86" s="797"/>
      <c r="N86" s="797"/>
      <c r="O86" s="797"/>
      <c r="P86" s="797"/>
      <c r="Q86" s="797"/>
      <c r="R86" s="797"/>
      <c r="S86" s="797"/>
      <c r="T86" s="796"/>
    </row>
    <row r="87">
      <c r="A87" s="796"/>
      <c r="B87" s="796"/>
      <c r="C87" s="796"/>
      <c r="D87" s="796"/>
      <c r="E87" s="797"/>
      <c r="F87" s="796"/>
      <c r="G87" s="796"/>
      <c r="H87" s="796"/>
      <c r="I87" s="796"/>
      <c r="J87" s="797"/>
      <c r="K87" s="797"/>
      <c r="L87" s="796"/>
      <c r="M87" s="797"/>
      <c r="N87" s="797"/>
      <c r="O87" s="797"/>
      <c r="P87" s="797"/>
      <c r="Q87" s="797"/>
      <c r="R87" s="797"/>
      <c r="S87" s="797"/>
      <c r="T87" s="796"/>
    </row>
    <row r="88">
      <c r="A88" s="796"/>
      <c r="B88" s="796"/>
      <c r="C88" s="796"/>
      <c r="D88" s="796"/>
      <c r="E88" s="797"/>
      <c r="F88" s="796"/>
      <c r="G88" s="796"/>
      <c r="H88" s="796"/>
      <c r="I88" s="796"/>
      <c r="J88" s="797"/>
      <c r="K88" s="797"/>
      <c r="L88" s="796"/>
      <c r="M88" s="797"/>
      <c r="N88" s="797"/>
      <c r="O88" s="797"/>
      <c r="P88" s="797"/>
      <c r="Q88" s="797"/>
      <c r="R88" s="797"/>
      <c r="S88" s="797"/>
      <c r="T88" s="796"/>
    </row>
    <row r="89">
      <c r="A89" s="796"/>
      <c r="B89" s="796"/>
      <c r="C89" s="796"/>
      <c r="D89" s="796"/>
      <c r="E89" s="797"/>
      <c r="F89" s="796"/>
      <c r="G89" s="796"/>
      <c r="H89" s="796"/>
      <c r="I89" s="796"/>
      <c r="J89" s="797"/>
      <c r="K89" s="797"/>
      <c r="L89" s="796"/>
      <c r="M89" s="797"/>
      <c r="N89" s="797"/>
      <c r="O89" s="797"/>
      <c r="P89" s="797"/>
      <c r="Q89" s="797"/>
      <c r="R89" s="797"/>
      <c r="S89" s="797"/>
      <c r="T89" s="796"/>
    </row>
    <row r="90">
      <c r="A90" s="796"/>
      <c r="B90" s="796"/>
      <c r="C90" s="796"/>
      <c r="D90" s="796"/>
      <c r="E90" s="797"/>
      <c r="F90" s="796"/>
      <c r="G90" s="796"/>
      <c r="H90" s="796"/>
      <c r="I90" s="796"/>
      <c r="J90" s="797"/>
      <c r="K90" s="797"/>
      <c r="L90" s="796"/>
      <c r="M90" s="797"/>
      <c r="N90" s="797"/>
      <c r="O90" s="797"/>
      <c r="P90" s="797"/>
      <c r="Q90" s="797"/>
      <c r="R90" s="797"/>
      <c r="S90" s="797"/>
      <c r="T90" s="796"/>
    </row>
    <row r="91">
      <c r="A91" s="796"/>
      <c r="B91" s="796"/>
      <c r="C91" s="796"/>
      <c r="D91" s="796"/>
      <c r="E91" s="797"/>
      <c r="F91" s="796"/>
      <c r="G91" s="796"/>
      <c r="H91" s="796"/>
      <c r="I91" s="796"/>
      <c r="J91" s="797"/>
      <c r="K91" s="797"/>
      <c r="L91" s="796"/>
      <c r="M91" s="797"/>
      <c r="N91" s="797"/>
      <c r="O91" s="797"/>
      <c r="P91" s="797"/>
      <c r="Q91" s="797"/>
      <c r="R91" s="797"/>
      <c r="S91" s="797"/>
      <c r="T91" s="796"/>
    </row>
    <row r="92">
      <c r="A92" s="796"/>
      <c r="B92" s="796"/>
      <c r="C92" s="796"/>
      <c r="D92" s="796"/>
      <c r="E92" s="797"/>
      <c r="F92" s="796"/>
      <c r="G92" s="796"/>
      <c r="H92" s="796"/>
      <c r="I92" s="796"/>
      <c r="J92" s="797"/>
      <c r="K92" s="797"/>
      <c r="L92" s="796"/>
      <c r="M92" s="797"/>
      <c r="N92" s="797"/>
      <c r="O92" s="797"/>
      <c r="P92" s="797"/>
      <c r="Q92" s="797"/>
      <c r="R92" s="797"/>
      <c r="S92" s="797"/>
      <c r="T92" s="796"/>
    </row>
    <row r="93">
      <c r="A93" s="796"/>
      <c r="B93" s="796"/>
      <c r="C93" s="796"/>
      <c r="D93" s="796"/>
      <c r="E93" s="797"/>
      <c r="F93" s="796"/>
      <c r="G93" s="796"/>
      <c r="H93" s="796"/>
      <c r="I93" s="796"/>
      <c r="J93" s="797"/>
      <c r="K93" s="797"/>
      <c r="L93" s="796"/>
      <c r="M93" s="797"/>
      <c r="N93" s="797"/>
      <c r="O93" s="797"/>
      <c r="P93" s="797"/>
      <c r="Q93" s="797"/>
      <c r="R93" s="797"/>
      <c r="S93" s="797"/>
      <c r="T93" s="796"/>
    </row>
    <row r="94">
      <c r="A94" s="796"/>
      <c r="B94" s="796"/>
      <c r="C94" s="796"/>
      <c r="D94" s="796"/>
      <c r="E94" s="797"/>
      <c r="F94" s="796"/>
      <c r="G94" s="796"/>
      <c r="H94" s="796"/>
      <c r="I94" s="796"/>
      <c r="J94" s="797"/>
      <c r="K94" s="797"/>
      <c r="L94" s="796"/>
      <c r="M94" s="797"/>
      <c r="N94" s="797"/>
      <c r="O94" s="797"/>
      <c r="P94" s="797"/>
      <c r="Q94" s="797"/>
      <c r="R94" s="797"/>
      <c r="S94" s="797"/>
      <c r="T94" s="796"/>
    </row>
    <row r="95">
      <c r="A95" s="796"/>
      <c r="B95" s="796"/>
      <c r="C95" s="796"/>
      <c r="D95" s="796"/>
      <c r="E95" s="797"/>
      <c r="F95" s="796"/>
      <c r="G95" s="796"/>
      <c r="H95" s="796"/>
      <c r="I95" s="796"/>
      <c r="J95" s="797"/>
      <c r="K95" s="797"/>
      <c r="L95" s="796"/>
      <c r="M95" s="797"/>
      <c r="N95" s="797"/>
      <c r="O95" s="797"/>
      <c r="P95" s="797"/>
      <c r="Q95" s="797"/>
      <c r="R95" s="797"/>
      <c r="S95" s="797"/>
      <c r="T95" s="796"/>
    </row>
    <row r="96">
      <c r="A96" s="796"/>
      <c r="B96" s="796"/>
      <c r="C96" s="796"/>
      <c r="D96" s="796"/>
      <c r="E96" s="797"/>
      <c r="F96" s="796"/>
      <c r="G96" s="796"/>
      <c r="H96" s="796"/>
      <c r="I96" s="796"/>
      <c r="J96" s="797"/>
      <c r="K96" s="797"/>
      <c r="L96" s="796"/>
      <c r="M96" s="797"/>
      <c r="N96" s="797"/>
      <c r="O96" s="797"/>
      <c r="P96" s="797"/>
      <c r="Q96" s="797"/>
      <c r="R96" s="797"/>
      <c r="S96" s="797"/>
      <c r="T96" s="796"/>
    </row>
    <row r="97">
      <c r="A97" s="796"/>
      <c r="B97" s="796"/>
      <c r="C97" s="796"/>
      <c r="D97" s="796"/>
      <c r="E97" s="797"/>
      <c r="F97" s="796"/>
      <c r="G97" s="796"/>
      <c r="H97" s="796"/>
      <c r="I97" s="796"/>
      <c r="J97" s="797"/>
      <c r="K97" s="797"/>
      <c r="L97" s="796"/>
      <c r="M97" s="797"/>
      <c r="N97" s="797"/>
      <c r="O97" s="797"/>
      <c r="P97" s="797"/>
      <c r="Q97" s="797"/>
      <c r="R97" s="797"/>
      <c r="S97" s="797"/>
      <c r="T97" s="796"/>
    </row>
    <row r="98">
      <c r="A98" s="796"/>
      <c r="B98" s="796"/>
      <c r="C98" s="796"/>
      <c r="D98" s="796"/>
      <c r="E98" s="797"/>
      <c r="F98" s="796"/>
      <c r="G98" s="796"/>
      <c r="H98" s="796"/>
      <c r="I98" s="796"/>
      <c r="J98" s="797"/>
      <c r="K98" s="797"/>
      <c r="L98" s="796"/>
      <c r="M98" s="797"/>
      <c r="N98" s="797"/>
      <c r="O98" s="797"/>
      <c r="P98" s="797"/>
      <c r="Q98" s="797"/>
      <c r="R98" s="797"/>
      <c r="S98" s="797"/>
      <c r="T98" s="796"/>
    </row>
    <row r="99">
      <c r="A99" s="796"/>
      <c r="B99" s="796"/>
      <c r="C99" s="796"/>
      <c r="D99" s="796"/>
      <c r="E99" s="797"/>
      <c r="F99" s="796"/>
      <c r="G99" s="796"/>
      <c r="H99" s="796"/>
      <c r="I99" s="796"/>
      <c r="J99" s="797"/>
      <c r="K99" s="797"/>
      <c r="L99" s="796"/>
      <c r="M99" s="797"/>
      <c r="N99" s="797"/>
      <c r="O99" s="797"/>
      <c r="P99" s="797"/>
      <c r="Q99" s="797"/>
      <c r="R99" s="797"/>
      <c r="S99" s="797"/>
      <c r="T99" s="796"/>
    </row>
    <row r="100">
      <c r="A100" s="796"/>
      <c r="B100" s="796"/>
      <c r="C100" s="796"/>
      <c r="D100" s="796"/>
      <c r="E100" s="797"/>
      <c r="F100" s="796"/>
      <c r="G100" s="796"/>
      <c r="H100" s="796"/>
      <c r="I100" s="796"/>
      <c r="J100" s="797"/>
      <c r="K100" s="797"/>
      <c r="L100" s="796"/>
      <c r="M100" s="797"/>
      <c r="N100" s="797"/>
      <c r="O100" s="797"/>
      <c r="P100" s="797"/>
      <c r="Q100" s="797"/>
      <c r="R100" s="797"/>
      <c r="S100" s="797"/>
      <c r="T100" s="796"/>
    </row>
    <row r="101">
      <c r="A101" s="796"/>
      <c r="B101" s="796"/>
      <c r="C101" s="796"/>
      <c r="D101" s="796"/>
      <c r="E101" s="797"/>
      <c r="F101" s="796"/>
      <c r="G101" s="796"/>
      <c r="H101" s="796"/>
      <c r="I101" s="796"/>
      <c r="J101" s="797"/>
      <c r="K101" s="797"/>
      <c r="L101" s="796"/>
      <c r="M101" s="797"/>
      <c r="N101" s="797"/>
      <c r="O101" s="797"/>
      <c r="P101" s="797"/>
      <c r="Q101" s="797"/>
      <c r="R101" s="797"/>
      <c r="S101" s="797"/>
      <c r="T101" s="796"/>
    </row>
    <row r="102">
      <c r="A102" s="796"/>
      <c r="B102" s="796"/>
      <c r="C102" s="796"/>
      <c r="D102" s="796"/>
      <c r="E102" s="797"/>
      <c r="F102" s="796"/>
      <c r="G102" s="796"/>
      <c r="H102" s="796"/>
      <c r="I102" s="796"/>
      <c r="J102" s="797"/>
      <c r="K102" s="797"/>
      <c r="L102" s="796"/>
      <c r="M102" s="797"/>
      <c r="N102" s="797"/>
      <c r="O102" s="797"/>
      <c r="P102" s="797"/>
      <c r="Q102" s="797"/>
      <c r="R102" s="797"/>
      <c r="S102" s="797"/>
      <c r="T102" s="796"/>
    </row>
    <row r="103">
      <c r="A103" s="796"/>
      <c r="B103" s="796"/>
      <c r="C103" s="796"/>
      <c r="D103" s="796"/>
      <c r="E103" s="797"/>
      <c r="F103" s="796"/>
      <c r="G103" s="796"/>
      <c r="H103" s="796"/>
      <c r="I103" s="796"/>
      <c r="J103" s="797"/>
      <c r="K103" s="797"/>
      <c r="L103" s="796"/>
      <c r="M103" s="797"/>
      <c r="N103" s="797"/>
      <c r="O103" s="797"/>
      <c r="P103" s="797"/>
      <c r="Q103" s="797"/>
      <c r="R103" s="797"/>
      <c r="S103" s="797"/>
      <c r="T103" s="796"/>
    </row>
    <row r="104">
      <c r="A104" s="796"/>
      <c r="B104" s="796"/>
      <c r="C104" s="796"/>
      <c r="D104" s="796"/>
      <c r="E104" s="797"/>
      <c r="F104" s="796"/>
      <c r="G104" s="796"/>
      <c r="H104" s="796"/>
      <c r="I104" s="796"/>
      <c r="J104" s="797"/>
      <c r="K104" s="797"/>
      <c r="L104" s="796"/>
      <c r="M104" s="797"/>
      <c r="N104" s="797"/>
      <c r="O104" s="797"/>
      <c r="P104" s="797"/>
      <c r="Q104" s="797"/>
      <c r="R104" s="797"/>
      <c r="S104" s="797"/>
      <c r="T104" s="796"/>
    </row>
    <row r="105">
      <c r="A105" s="796"/>
      <c r="B105" s="796"/>
      <c r="C105" s="796"/>
      <c r="D105" s="796"/>
      <c r="E105" s="797"/>
      <c r="F105" s="796"/>
      <c r="G105" s="796"/>
      <c r="H105" s="796"/>
      <c r="I105" s="796"/>
      <c r="J105" s="797"/>
      <c r="K105" s="797"/>
      <c r="L105" s="796"/>
      <c r="M105" s="797"/>
      <c r="N105" s="797"/>
      <c r="O105" s="797"/>
      <c r="P105" s="797"/>
      <c r="Q105" s="797"/>
      <c r="R105" s="797"/>
      <c r="S105" s="797"/>
      <c r="T105" s="796"/>
    </row>
    <row r="106">
      <c r="A106" s="796"/>
      <c r="B106" s="796"/>
      <c r="C106" s="796"/>
      <c r="D106" s="796"/>
      <c r="E106" s="797"/>
      <c r="F106" s="796"/>
      <c r="G106" s="796"/>
      <c r="H106" s="796"/>
      <c r="I106" s="796"/>
      <c r="J106" s="797"/>
      <c r="K106" s="797"/>
      <c r="L106" s="796"/>
      <c r="M106" s="797"/>
      <c r="N106" s="797"/>
      <c r="O106" s="797"/>
      <c r="P106" s="797"/>
      <c r="Q106" s="797"/>
      <c r="R106" s="797"/>
      <c r="S106" s="797"/>
      <c r="T106" s="796"/>
    </row>
    <row r="107">
      <c r="A107" s="796"/>
      <c r="B107" s="796"/>
      <c r="C107" s="796"/>
      <c r="D107" s="796"/>
      <c r="E107" s="797"/>
      <c r="F107" s="796"/>
      <c r="G107" s="796"/>
      <c r="H107" s="796"/>
      <c r="I107" s="796"/>
      <c r="J107" s="797"/>
      <c r="K107" s="797"/>
      <c r="L107" s="796"/>
      <c r="M107" s="797"/>
      <c r="N107" s="797"/>
      <c r="O107" s="797"/>
      <c r="P107" s="797"/>
      <c r="Q107" s="797"/>
      <c r="R107" s="797"/>
      <c r="S107" s="797"/>
      <c r="T107" s="796"/>
    </row>
    <row r="108">
      <c r="A108" s="796"/>
      <c r="B108" s="796"/>
      <c r="C108" s="796"/>
      <c r="D108" s="796"/>
      <c r="E108" s="797"/>
      <c r="F108" s="796"/>
      <c r="G108" s="796"/>
      <c r="H108" s="796"/>
      <c r="I108" s="796"/>
      <c r="J108" s="797"/>
      <c r="K108" s="797"/>
      <c r="L108" s="796"/>
      <c r="M108" s="797"/>
      <c r="N108" s="797"/>
      <c r="O108" s="797"/>
      <c r="P108" s="797"/>
      <c r="Q108" s="797"/>
      <c r="R108" s="797"/>
      <c r="S108" s="797"/>
      <c r="T108" s="796"/>
    </row>
    <row r="109">
      <c r="A109" s="796"/>
      <c r="B109" s="796"/>
      <c r="C109" s="796"/>
      <c r="D109" s="796"/>
      <c r="E109" s="797"/>
      <c r="F109" s="796"/>
      <c r="G109" s="796"/>
      <c r="H109" s="796"/>
      <c r="I109" s="796"/>
      <c r="J109" s="797"/>
      <c r="K109" s="797"/>
      <c r="L109" s="796"/>
      <c r="M109" s="797"/>
      <c r="N109" s="797"/>
      <c r="O109" s="797"/>
      <c r="P109" s="797"/>
      <c r="Q109" s="797"/>
      <c r="R109" s="797"/>
      <c r="S109" s="797"/>
      <c r="T109" s="796"/>
    </row>
    <row r="110">
      <c r="A110" s="796"/>
      <c r="B110" s="796"/>
      <c r="C110" s="796"/>
      <c r="D110" s="796"/>
      <c r="E110" s="797"/>
      <c r="F110" s="796"/>
      <c r="G110" s="796"/>
      <c r="H110" s="796"/>
      <c r="I110" s="796"/>
      <c r="J110" s="797"/>
      <c r="K110" s="797"/>
      <c r="L110" s="796"/>
      <c r="M110" s="797"/>
      <c r="N110" s="797"/>
      <c r="O110" s="797"/>
      <c r="P110" s="797"/>
      <c r="Q110" s="797"/>
      <c r="R110" s="797"/>
      <c r="S110" s="797"/>
      <c r="T110" s="796"/>
    </row>
    <row r="111">
      <c r="A111" s="796"/>
      <c r="B111" s="796"/>
      <c r="C111" s="796"/>
      <c r="D111" s="796"/>
      <c r="E111" s="797"/>
      <c r="F111" s="796"/>
      <c r="G111" s="796"/>
      <c r="H111" s="796"/>
      <c r="I111" s="796"/>
      <c r="J111" s="797"/>
      <c r="K111" s="797"/>
      <c r="L111" s="796"/>
      <c r="M111" s="797"/>
      <c r="N111" s="797"/>
      <c r="O111" s="797"/>
      <c r="P111" s="797"/>
      <c r="Q111" s="797"/>
      <c r="R111" s="797"/>
      <c r="S111" s="797"/>
      <c r="T111" s="796"/>
    </row>
    <row r="112">
      <c r="A112" s="796"/>
      <c r="B112" s="796"/>
      <c r="C112" s="796"/>
      <c r="D112" s="796"/>
      <c r="E112" s="797"/>
      <c r="F112" s="796"/>
      <c r="G112" s="796"/>
      <c r="H112" s="796"/>
      <c r="I112" s="796"/>
      <c r="J112" s="797"/>
      <c r="K112" s="797"/>
      <c r="L112" s="796"/>
      <c r="M112" s="797"/>
      <c r="N112" s="797"/>
      <c r="O112" s="797"/>
      <c r="P112" s="797"/>
      <c r="Q112" s="797"/>
      <c r="R112" s="797"/>
      <c r="S112" s="797"/>
      <c r="T112" s="796"/>
    </row>
    <row r="113">
      <c r="A113" s="796"/>
      <c r="B113" s="796"/>
      <c r="C113" s="796"/>
      <c r="D113" s="796"/>
      <c r="E113" s="797"/>
      <c r="F113" s="796"/>
      <c r="G113" s="796"/>
      <c r="H113" s="796"/>
      <c r="I113" s="796"/>
      <c r="J113" s="797"/>
      <c r="K113" s="797"/>
      <c r="L113" s="796"/>
      <c r="M113" s="797"/>
      <c r="N113" s="797"/>
      <c r="O113" s="797"/>
      <c r="P113" s="797"/>
      <c r="Q113" s="797"/>
      <c r="R113" s="797"/>
      <c r="S113" s="797"/>
      <c r="T113" s="796"/>
    </row>
    <row r="114">
      <c r="A114" s="796"/>
      <c r="B114" s="796"/>
      <c r="C114" s="796"/>
      <c r="D114" s="796"/>
      <c r="E114" s="797"/>
      <c r="F114" s="796"/>
      <c r="G114" s="796"/>
      <c r="H114" s="796"/>
      <c r="I114" s="796"/>
      <c r="J114" s="797"/>
      <c r="K114" s="797"/>
      <c r="L114" s="796"/>
      <c r="M114" s="797"/>
      <c r="N114" s="797"/>
      <c r="O114" s="797"/>
      <c r="P114" s="797"/>
      <c r="Q114" s="797"/>
      <c r="R114" s="797"/>
      <c r="S114" s="797"/>
      <c r="T114" s="796"/>
    </row>
    <row r="115">
      <c r="A115" s="796"/>
      <c r="B115" s="796"/>
      <c r="C115" s="796"/>
      <c r="D115" s="796"/>
      <c r="E115" s="797"/>
      <c r="F115" s="796"/>
      <c r="G115" s="796"/>
      <c r="H115" s="796"/>
      <c r="I115" s="796"/>
      <c r="J115" s="797"/>
      <c r="K115" s="797"/>
      <c r="L115" s="796"/>
      <c r="M115" s="797"/>
      <c r="N115" s="797"/>
      <c r="O115" s="797"/>
      <c r="P115" s="797"/>
      <c r="Q115" s="797"/>
      <c r="R115" s="797"/>
      <c r="S115" s="797"/>
      <c r="T115" s="796"/>
    </row>
    <row r="116">
      <c r="A116" s="796"/>
      <c r="B116" s="796"/>
      <c r="C116" s="796"/>
      <c r="D116" s="796"/>
      <c r="E116" s="797"/>
      <c r="F116" s="796"/>
      <c r="G116" s="796"/>
      <c r="H116" s="796"/>
      <c r="I116" s="796"/>
      <c r="J116" s="797"/>
      <c r="K116" s="797"/>
      <c r="L116" s="796"/>
      <c r="M116" s="797"/>
      <c r="N116" s="797"/>
      <c r="O116" s="797"/>
      <c r="P116" s="797"/>
      <c r="Q116" s="797"/>
      <c r="R116" s="797"/>
      <c r="S116" s="797"/>
      <c r="T116" s="796"/>
    </row>
    <row r="117">
      <c r="A117" s="796"/>
      <c r="B117" s="796"/>
      <c r="C117" s="796"/>
      <c r="D117" s="796"/>
      <c r="E117" s="797"/>
      <c r="F117" s="796"/>
      <c r="G117" s="796"/>
      <c r="H117" s="796"/>
      <c r="I117" s="796"/>
      <c r="J117" s="797"/>
      <c r="K117" s="797"/>
      <c r="L117" s="796"/>
      <c r="M117" s="797"/>
      <c r="N117" s="797"/>
      <c r="O117" s="797"/>
      <c r="P117" s="797"/>
      <c r="Q117" s="797"/>
      <c r="R117" s="797"/>
      <c r="S117" s="797"/>
      <c r="T117" s="796"/>
    </row>
    <row r="118">
      <c r="A118" s="796"/>
      <c r="B118" s="796"/>
      <c r="C118" s="796"/>
      <c r="D118" s="796"/>
      <c r="E118" s="797"/>
      <c r="F118" s="796"/>
      <c r="G118" s="796"/>
      <c r="H118" s="796"/>
      <c r="I118" s="796"/>
      <c r="J118" s="797"/>
      <c r="K118" s="797"/>
      <c r="L118" s="796"/>
      <c r="M118" s="797"/>
      <c r="N118" s="797"/>
      <c r="O118" s="797"/>
      <c r="P118" s="797"/>
      <c r="Q118" s="797"/>
      <c r="R118" s="797"/>
      <c r="S118" s="797"/>
      <c r="T118" s="796"/>
    </row>
    <row r="119">
      <c r="A119" s="796"/>
      <c r="B119" s="796"/>
      <c r="C119" s="796"/>
      <c r="D119" s="796"/>
      <c r="E119" s="797"/>
      <c r="F119" s="796"/>
      <c r="G119" s="796"/>
      <c r="H119" s="796"/>
      <c r="I119" s="796"/>
      <c r="J119" s="797"/>
      <c r="K119" s="797"/>
      <c r="L119" s="796"/>
      <c r="M119" s="797"/>
      <c r="N119" s="797"/>
      <c r="O119" s="797"/>
      <c r="P119" s="797"/>
      <c r="Q119" s="797"/>
      <c r="R119" s="797"/>
      <c r="S119" s="797"/>
      <c r="T119" s="796"/>
    </row>
    <row r="120">
      <c r="A120" s="796"/>
      <c r="B120" s="796"/>
      <c r="C120" s="796"/>
      <c r="D120" s="796"/>
      <c r="E120" s="797"/>
      <c r="F120" s="796"/>
      <c r="G120" s="796"/>
      <c r="H120" s="796"/>
      <c r="I120" s="796"/>
      <c r="J120" s="797"/>
      <c r="K120" s="797"/>
      <c r="L120" s="796"/>
      <c r="M120" s="797"/>
      <c r="N120" s="797"/>
      <c r="O120" s="797"/>
      <c r="P120" s="797"/>
      <c r="Q120" s="797"/>
      <c r="R120" s="797"/>
      <c r="S120" s="797"/>
      <c r="T120" s="796"/>
    </row>
    <row r="121">
      <c r="A121" s="796"/>
      <c r="B121" s="796"/>
      <c r="C121" s="796"/>
      <c r="D121" s="796"/>
      <c r="E121" s="797"/>
      <c r="F121" s="796"/>
      <c r="G121" s="796"/>
      <c r="H121" s="796"/>
      <c r="I121" s="796"/>
      <c r="J121" s="797"/>
      <c r="K121" s="797"/>
      <c r="L121" s="796"/>
      <c r="M121" s="797"/>
      <c r="N121" s="797"/>
      <c r="O121" s="797"/>
      <c r="P121" s="797"/>
      <c r="Q121" s="797"/>
      <c r="R121" s="797"/>
      <c r="S121" s="797"/>
      <c r="T121" s="796"/>
    </row>
    <row r="122">
      <c r="A122" s="796"/>
      <c r="B122" s="796"/>
      <c r="C122" s="796"/>
      <c r="D122" s="796"/>
      <c r="E122" s="797"/>
      <c r="F122" s="796"/>
      <c r="G122" s="796"/>
      <c r="H122" s="796"/>
      <c r="I122" s="796"/>
      <c r="J122" s="797"/>
      <c r="K122" s="797"/>
      <c r="L122" s="796"/>
      <c r="M122" s="797"/>
      <c r="N122" s="797"/>
      <c r="O122" s="797"/>
      <c r="P122" s="797"/>
      <c r="Q122" s="797"/>
      <c r="R122" s="797"/>
      <c r="S122" s="797"/>
      <c r="T122" s="796"/>
    </row>
    <row r="123">
      <c r="A123" s="796"/>
      <c r="B123" s="796"/>
      <c r="C123" s="796"/>
      <c r="D123" s="796"/>
      <c r="E123" s="797"/>
      <c r="F123" s="796"/>
      <c r="G123" s="796"/>
      <c r="H123" s="796"/>
      <c r="I123" s="796"/>
      <c r="J123" s="797"/>
      <c r="K123" s="797"/>
      <c r="L123" s="796"/>
      <c r="M123" s="797"/>
      <c r="N123" s="797"/>
      <c r="O123" s="797"/>
      <c r="P123" s="797"/>
      <c r="Q123" s="797"/>
      <c r="R123" s="797"/>
      <c r="S123" s="797"/>
      <c r="T123" s="796"/>
    </row>
    <row r="124">
      <c r="A124" s="796"/>
      <c r="B124" s="796"/>
      <c r="C124" s="796"/>
      <c r="D124" s="796"/>
      <c r="E124" s="797"/>
      <c r="F124" s="796"/>
      <c r="G124" s="796"/>
      <c r="H124" s="796"/>
      <c r="I124" s="796"/>
      <c r="J124" s="797"/>
      <c r="K124" s="797"/>
      <c r="L124" s="796"/>
      <c r="M124" s="797"/>
      <c r="N124" s="797"/>
      <c r="O124" s="797"/>
      <c r="P124" s="797"/>
      <c r="Q124" s="797"/>
      <c r="R124" s="797"/>
      <c r="S124" s="797"/>
      <c r="T124" s="796"/>
    </row>
    <row r="125">
      <c r="A125" s="796"/>
      <c r="B125" s="796"/>
      <c r="C125" s="796"/>
      <c r="D125" s="796"/>
      <c r="E125" s="797"/>
      <c r="F125" s="796"/>
      <c r="G125" s="796"/>
      <c r="H125" s="796"/>
      <c r="I125" s="796"/>
      <c r="J125" s="797"/>
      <c r="K125" s="797"/>
      <c r="L125" s="796"/>
      <c r="M125" s="797"/>
      <c r="N125" s="797"/>
      <c r="O125" s="797"/>
      <c r="P125" s="797"/>
      <c r="Q125" s="797"/>
      <c r="R125" s="797"/>
      <c r="S125" s="797"/>
      <c r="T125" s="796"/>
    </row>
    <row r="126">
      <c r="A126" s="796"/>
      <c r="B126" s="796"/>
      <c r="C126" s="796"/>
      <c r="D126" s="796"/>
      <c r="E126" s="797"/>
      <c r="F126" s="796"/>
      <c r="G126" s="796"/>
      <c r="H126" s="796"/>
      <c r="I126" s="796"/>
      <c r="J126" s="797"/>
      <c r="K126" s="797"/>
      <c r="L126" s="796"/>
      <c r="M126" s="797"/>
      <c r="N126" s="797"/>
      <c r="O126" s="797"/>
      <c r="P126" s="797"/>
      <c r="Q126" s="797"/>
      <c r="R126" s="797"/>
      <c r="S126" s="797"/>
      <c r="T126" s="796"/>
    </row>
    <row r="127">
      <c r="A127" s="796"/>
      <c r="B127" s="796"/>
      <c r="C127" s="796"/>
      <c r="D127" s="796"/>
      <c r="E127" s="797"/>
      <c r="F127" s="796"/>
      <c r="G127" s="796"/>
      <c r="H127" s="796"/>
      <c r="I127" s="796"/>
      <c r="J127" s="797"/>
      <c r="K127" s="797"/>
      <c r="L127" s="796"/>
      <c r="M127" s="797"/>
      <c r="N127" s="797"/>
      <c r="O127" s="797"/>
      <c r="P127" s="797"/>
      <c r="Q127" s="797"/>
      <c r="R127" s="797"/>
      <c r="S127" s="797"/>
      <c r="T127" s="796"/>
    </row>
    <row r="128">
      <c r="A128" s="796"/>
      <c r="B128" s="796"/>
      <c r="C128" s="796"/>
      <c r="D128" s="796"/>
      <c r="E128" s="797"/>
      <c r="F128" s="796"/>
      <c r="G128" s="796"/>
      <c r="H128" s="796"/>
      <c r="I128" s="796"/>
      <c r="J128" s="797"/>
      <c r="K128" s="797"/>
      <c r="L128" s="796"/>
      <c r="M128" s="797"/>
      <c r="N128" s="797"/>
      <c r="O128" s="797"/>
      <c r="P128" s="797"/>
      <c r="Q128" s="797"/>
      <c r="R128" s="797"/>
      <c r="S128" s="797"/>
      <c r="T128" s="796"/>
    </row>
    <row r="129">
      <c r="A129" s="796"/>
      <c r="B129" s="796"/>
      <c r="C129" s="796"/>
      <c r="D129" s="796"/>
      <c r="E129" s="797"/>
      <c r="F129" s="796"/>
      <c r="G129" s="796"/>
      <c r="H129" s="796"/>
      <c r="I129" s="796"/>
      <c r="J129" s="797"/>
      <c r="K129" s="797"/>
      <c r="L129" s="796"/>
      <c r="M129" s="797"/>
      <c r="N129" s="797"/>
      <c r="O129" s="797"/>
      <c r="P129" s="797"/>
      <c r="Q129" s="797"/>
      <c r="R129" s="797"/>
      <c r="S129" s="797"/>
      <c r="T129" s="796"/>
    </row>
    <row r="130">
      <c r="A130" s="796"/>
      <c r="B130" s="796"/>
      <c r="C130" s="796"/>
      <c r="D130" s="796"/>
      <c r="E130" s="797"/>
      <c r="F130" s="796"/>
      <c r="G130" s="796"/>
      <c r="H130" s="796"/>
      <c r="I130" s="796"/>
      <c r="J130" s="797"/>
      <c r="K130" s="797"/>
      <c r="L130" s="796"/>
      <c r="M130" s="797"/>
      <c r="N130" s="797"/>
      <c r="O130" s="797"/>
      <c r="P130" s="797"/>
      <c r="Q130" s="797"/>
      <c r="R130" s="797"/>
      <c r="S130" s="797"/>
      <c r="T130" s="796"/>
    </row>
    <row r="131">
      <c r="A131" s="796"/>
      <c r="B131" s="796"/>
      <c r="C131" s="796"/>
      <c r="D131" s="796"/>
      <c r="E131" s="797"/>
      <c r="F131" s="796"/>
      <c r="G131" s="796"/>
      <c r="H131" s="796"/>
      <c r="I131" s="796"/>
      <c r="J131" s="797"/>
      <c r="K131" s="797"/>
      <c r="L131" s="796"/>
      <c r="M131" s="797"/>
      <c r="N131" s="797"/>
      <c r="O131" s="797"/>
      <c r="P131" s="797"/>
      <c r="Q131" s="797"/>
      <c r="R131" s="797"/>
      <c r="S131" s="797"/>
      <c r="T131" s="796"/>
    </row>
    <row r="132">
      <c r="A132" s="796"/>
      <c r="B132" s="796"/>
      <c r="C132" s="796"/>
      <c r="D132" s="796"/>
      <c r="E132" s="797"/>
      <c r="F132" s="796"/>
      <c r="G132" s="796"/>
      <c r="H132" s="796"/>
      <c r="I132" s="796"/>
      <c r="J132" s="797"/>
      <c r="K132" s="797"/>
      <c r="L132" s="796"/>
      <c r="M132" s="797"/>
      <c r="N132" s="797"/>
      <c r="O132" s="797"/>
      <c r="P132" s="797"/>
      <c r="Q132" s="797"/>
      <c r="R132" s="797"/>
      <c r="S132" s="797"/>
      <c r="T132" s="796"/>
    </row>
    <row r="133">
      <c r="A133" s="796"/>
      <c r="B133" s="796"/>
      <c r="C133" s="796"/>
      <c r="D133" s="796"/>
      <c r="E133" s="797"/>
      <c r="F133" s="796"/>
      <c r="G133" s="796"/>
      <c r="H133" s="796"/>
      <c r="I133" s="796"/>
      <c r="J133" s="797"/>
      <c r="K133" s="797"/>
      <c r="L133" s="796"/>
      <c r="M133" s="797"/>
      <c r="N133" s="797"/>
      <c r="O133" s="797"/>
      <c r="P133" s="797"/>
      <c r="Q133" s="797"/>
      <c r="R133" s="797"/>
      <c r="S133" s="797"/>
      <c r="T133" s="796"/>
    </row>
    <row r="134">
      <c r="A134" s="796"/>
      <c r="B134" s="796"/>
      <c r="C134" s="796"/>
      <c r="D134" s="796"/>
      <c r="E134" s="797"/>
      <c r="F134" s="796"/>
      <c r="G134" s="796"/>
      <c r="H134" s="796"/>
      <c r="I134" s="796"/>
      <c r="J134" s="797"/>
      <c r="K134" s="797"/>
      <c r="L134" s="796"/>
      <c r="M134" s="797"/>
      <c r="N134" s="797"/>
      <c r="O134" s="797"/>
      <c r="P134" s="797"/>
      <c r="Q134" s="797"/>
      <c r="R134" s="797"/>
      <c r="S134" s="797"/>
      <c r="T134" s="796"/>
    </row>
    <row r="135">
      <c r="A135" s="796"/>
      <c r="B135" s="796"/>
      <c r="C135" s="796"/>
      <c r="D135" s="796"/>
      <c r="E135" s="797"/>
      <c r="F135" s="796"/>
      <c r="G135" s="796"/>
      <c r="H135" s="796"/>
      <c r="I135" s="796"/>
      <c r="J135" s="797"/>
      <c r="K135" s="797"/>
      <c r="L135" s="796"/>
      <c r="M135" s="797"/>
      <c r="N135" s="797"/>
      <c r="O135" s="797"/>
      <c r="P135" s="797"/>
      <c r="Q135" s="797"/>
      <c r="R135" s="797"/>
      <c r="S135" s="797"/>
      <c r="T135" s="796"/>
    </row>
    <row r="136">
      <c r="A136" s="796"/>
      <c r="B136" s="796"/>
      <c r="C136" s="796"/>
      <c r="D136" s="796"/>
      <c r="E136" s="797"/>
      <c r="F136" s="796"/>
      <c r="G136" s="796"/>
      <c r="H136" s="796"/>
      <c r="I136" s="796"/>
      <c r="J136" s="797"/>
      <c r="K136" s="797"/>
      <c r="L136" s="796"/>
      <c r="M136" s="797"/>
      <c r="N136" s="797"/>
      <c r="O136" s="797"/>
      <c r="P136" s="797"/>
      <c r="Q136" s="797"/>
      <c r="R136" s="797"/>
      <c r="S136" s="797"/>
      <c r="T136" s="796"/>
    </row>
    <row r="137">
      <c r="A137" s="796"/>
      <c r="B137" s="796"/>
      <c r="C137" s="796"/>
      <c r="D137" s="796"/>
      <c r="E137" s="797"/>
      <c r="F137" s="796"/>
      <c r="G137" s="796"/>
      <c r="H137" s="796"/>
      <c r="I137" s="796"/>
      <c r="J137" s="797"/>
      <c r="K137" s="797"/>
      <c r="L137" s="796"/>
      <c r="M137" s="797"/>
      <c r="N137" s="797"/>
      <c r="O137" s="797"/>
      <c r="P137" s="797"/>
      <c r="Q137" s="797"/>
      <c r="R137" s="797"/>
      <c r="S137" s="797"/>
      <c r="T137" s="796"/>
    </row>
    <row r="138">
      <c r="A138" s="796"/>
      <c r="B138" s="796"/>
      <c r="C138" s="796"/>
      <c r="D138" s="796"/>
      <c r="E138" s="797"/>
      <c r="F138" s="796"/>
      <c r="G138" s="796"/>
      <c r="H138" s="796"/>
      <c r="I138" s="796"/>
      <c r="J138" s="797"/>
      <c r="K138" s="797"/>
      <c r="L138" s="796"/>
      <c r="M138" s="797"/>
      <c r="N138" s="797"/>
      <c r="O138" s="797"/>
      <c r="P138" s="797"/>
      <c r="Q138" s="797"/>
      <c r="R138" s="797"/>
      <c r="S138" s="797"/>
      <c r="T138" s="796"/>
    </row>
    <row r="139">
      <c r="A139" s="796"/>
      <c r="B139" s="796"/>
      <c r="C139" s="796"/>
      <c r="D139" s="796"/>
      <c r="E139" s="797"/>
      <c r="F139" s="796"/>
      <c r="G139" s="796"/>
      <c r="H139" s="796"/>
      <c r="I139" s="796"/>
      <c r="J139" s="797"/>
      <c r="K139" s="797"/>
      <c r="L139" s="796"/>
      <c r="M139" s="797"/>
      <c r="N139" s="797"/>
      <c r="O139" s="797"/>
      <c r="P139" s="797"/>
      <c r="Q139" s="797"/>
      <c r="R139" s="797"/>
      <c r="S139" s="797"/>
      <c r="T139" s="796"/>
    </row>
    <row r="140">
      <c r="A140" s="796"/>
      <c r="B140" s="796"/>
      <c r="C140" s="796"/>
      <c r="D140" s="796"/>
      <c r="E140" s="797"/>
      <c r="F140" s="796"/>
      <c r="G140" s="796"/>
      <c r="H140" s="796"/>
      <c r="I140" s="796"/>
      <c r="J140" s="797"/>
      <c r="K140" s="797"/>
      <c r="L140" s="796"/>
      <c r="M140" s="797"/>
      <c r="N140" s="797"/>
      <c r="O140" s="797"/>
      <c r="P140" s="797"/>
      <c r="Q140" s="797"/>
      <c r="R140" s="797"/>
      <c r="S140" s="797"/>
      <c r="T140" s="796"/>
    </row>
    <row r="141">
      <c r="A141" s="796"/>
      <c r="B141" s="796"/>
      <c r="C141" s="796"/>
      <c r="D141" s="796"/>
      <c r="E141" s="797"/>
      <c r="F141" s="796"/>
      <c r="G141" s="796"/>
      <c r="H141" s="796"/>
      <c r="I141" s="796"/>
      <c r="J141" s="797"/>
      <c r="K141" s="797"/>
      <c r="L141" s="796"/>
      <c r="M141" s="797"/>
      <c r="N141" s="797"/>
      <c r="O141" s="797"/>
      <c r="P141" s="797"/>
      <c r="Q141" s="797"/>
      <c r="R141" s="797"/>
      <c r="S141" s="797"/>
      <c r="T141" s="796"/>
    </row>
    <row r="142">
      <c r="A142" s="796"/>
      <c r="B142" s="796"/>
      <c r="C142" s="796"/>
      <c r="D142" s="796"/>
      <c r="E142" s="797"/>
      <c r="F142" s="796"/>
      <c r="G142" s="796"/>
      <c r="H142" s="796"/>
      <c r="I142" s="796"/>
      <c r="J142" s="797"/>
      <c r="K142" s="797"/>
      <c r="L142" s="796"/>
      <c r="M142" s="797"/>
      <c r="N142" s="797"/>
      <c r="O142" s="797"/>
      <c r="P142" s="797"/>
      <c r="Q142" s="797"/>
      <c r="R142" s="797"/>
      <c r="S142" s="797"/>
      <c r="T142" s="796"/>
    </row>
    <row r="143">
      <c r="A143" s="796"/>
      <c r="B143" s="796"/>
      <c r="C143" s="796"/>
      <c r="D143" s="796"/>
      <c r="E143" s="797"/>
      <c r="F143" s="796"/>
      <c r="G143" s="796"/>
      <c r="H143" s="796"/>
      <c r="I143" s="796"/>
      <c r="J143" s="797"/>
      <c r="K143" s="797"/>
      <c r="L143" s="796"/>
      <c r="M143" s="797"/>
      <c r="N143" s="797"/>
      <c r="O143" s="797"/>
      <c r="P143" s="797"/>
      <c r="Q143" s="797"/>
      <c r="R143" s="797"/>
      <c r="S143" s="797"/>
      <c r="T143" s="796"/>
    </row>
    <row r="144">
      <c r="A144" s="796"/>
      <c r="B144" s="796"/>
      <c r="C144" s="796"/>
      <c r="D144" s="796"/>
      <c r="E144" s="797"/>
      <c r="F144" s="796"/>
      <c r="G144" s="796"/>
      <c r="H144" s="796"/>
      <c r="I144" s="796"/>
      <c r="J144" s="797"/>
      <c r="K144" s="797"/>
      <c r="L144" s="796"/>
      <c r="M144" s="797"/>
      <c r="N144" s="797"/>
      <c r="O144" s="797"/>
      <c r="P144" s="797"/>
      <c r="Q144" s="797"/>
      <c r="R144" s="797"/>
      <c r="S144" s="797"/>
      <c r="T144" s="796"/>
    </row>
    <row r="145">
      <c r="A145" s="796"/>
      <c r="B145" s="796"/>
      <c r="C145" s="796"/>
      <c r="D145" s="796"/>
      <c r="E145" s="797"/>
      <c r="F145" s="796"/>
      <c r="G145" s="796"/>
      <c r="H145" s="796"/>
      <c r="I145" s="796"/>
      <c r="J145" s="797"/>
      <c r="K145" s="797"/>
      <c r="L145" s="796"/>
      <c r="M145" s="797"/>
      <c r="N145" s="797"/>
      <c r="O145" s="797"/>
      <c r="P145" s="797"/>
      <c r="Q145" s="797"/>
      <c r="R145" s="797"/>
      <c r="S145" s="797"/>
      <c r="T145" s="796"/>
    </row>
    <row r="146">
      <c r="A146" s="796"/>
      <c r="B146" s="796"/>
      <c r="C146" s="796"/>
      <c r="D146" s="796"/>
      <c r="E146" s="797"/>
      <c r="F146" s="796"/>
      <c r="G146" s="796"/>
      <c r="H146" s="796"/>
      <c r="I146" s="796"/>
      <c r="J146" s="797"/>
      <c r="K146" s="797"/>
      <c r="L146" s="796"/>
      <c r="M146" s="797"/>
      <c r="N146" s="797"/>
      <c r="O146" s="797"/>
      <c r="P146" s="797"/>
      <c r="Q146" s="797"/>
      <c r="R146" s="797"/>
      <c r="S146" s="797"/>
      <c r="T146" s="796"/>
    </row>
    <row r="147">
      <c r="A147" s="796"/>
      <c r="B147" s="796"/>
      <c r="C147" s="796"/>
      <c r="D147" s="796"/>
      <c r="E147" s="797"/>
      <c r="F147" s="796"/>
      <c r="G147" s="796"/>
      <c r="H147" s="796"/>
      <c r="I147" s="796"/>
      <c r="J147" s="797"/>
      <c r="K147" s="797"/>
      <c r="L147" s="796"/>
      <c r="M147" s="797"/>
      <c r="N147" s="797"/>
      <c r="O147" s="797"/>
      <c r="P147" s="797"/>
      <c r="Q147" s="797"/>
      <c r="R147" s="797"/>
      <c r="S147" s="797"/>
      <c r="T147" s="796"/>
    </row>
    <row r="148">
      <c r="A148" s="796"/>
      <c r="B148" s="796"/>
      <c r="C148" s="796"/>
      <c r="D148" s="796"/>
      <c r="E148" s="797"/>
      <c r="F148" s="796"/>
      <c r="G148" s="796"/>
      <c r="H148" s="796"/>
      <c r="I148" s="796"/>
      <c r="J148" s="797"/>
      <c r="K148" s="797"/>
      <c r="L148" s="796"/>
      <c r="M148" s="797"/>
      <c r="N148" s="797"/>
      <c r="O148" s="797"/>
      <c r="P148" s="797"/>
      <c r="Q148" s="797"/>
      <c r="R148" s="797"/>
      <c r="S148" s="797"/>
      <c r="T148" s="796"/>
    </row>
    <row r="149">
      <c r="A149" s="796"/>
      <c r="B149" s="796"/>
      <c r="C149" s="796"/>
      <c r="D149" s="796"/>
      <c r="E149" s="797"/>
      <c r="F149" s="796"/>
      <c r="G149" s="796"/>
      <c r="H149" s="796"/>
      <c r="I149" s="796"/>
      <c r="J149" s="797"/>
      <c r="K149" s="797"/>
      <c r="L149" s="796"/>
      <c r="M149" s="797"/>
      <c r="N149" s="797"/>
      <c r="O149" s="797"/>
      <c r="P149" s="797"/>
      <c r="Q149" s="797"/>
      <c r="R149" s="797"/>
      <c r="S149" s="797"/>
      <c r="T149" s="796"/>
    </row>
    <row r="150">
      <c r="A150" s="796"/>
      <c r="B150" s="796"/>
      <c r="C150" s="796"/>
      <c r="D150" s="796"/>
      <c r="E150" s="797"/>
      <c r="F150" s="796"/>
      <c r="G150" s="796"/>
      <c r="H150" s="796"/>
      <c r="I150" s="796"/>
      <c r="J150" s="797"/>
      <c r="K150" s="797"/>
      <c r="L150" s="796"/>
      <c r="M150" s="797"/>
      <c r="N150" s="797"/>
      <c r="O150" s="797"/>
      <c r="P150" s="797"/>
      <c r="Q150" s="797"/>
      <c r="R150" s="797"/>
      <c r="S150" s="797"/>
      <c r="T150" s="796"/>
    </row>
    <row r="151">
      <c r="A151" s="796"/>
      <c r="B151" s="796"/>
      <c r="C151" s="796"/>
      <c r="D151" s="796"/>
      <c r="E151" s="797"/>
      <c r="F151" s="796"/>
      <c r="G151" s="796"/>
      <c r="H151" s="796"/>
      <c r="I151" s="796"/>
      <c r="J151" s="797"/>
      <c r="K151" s="797"/>
      <c r="L151" s="796"/>
      <c r="M151" s="797"/>
      <c r="N151" s="797"/>
      <c r="O151" s="797"/>
      <c r="P151" s="797"/>
      <c r="Q151" s="797"/>
      <c r="R151" s="797"/>
      <c r="S151" s="797"/>
      <c r="T151" s="796"/>
    </row>
    <row r="152">
      <c r="A152" s="796"/>
      <c r="B152" s="796"/>
      <c r="C152" s="796"/>
      <c r="D152" s="796"/>
      <c r="E152" s="797"/>
      <c r="F152" s="796"/>
      <c r="G152" s="796"/>
      <c r="H152" s="796"/>
      <c r="I152" s="796"/>
      <c r="J152" s="797"/>
      <c r="K152" s="797"/>
      <c r="L152" s="796"/>
      <c r="M152" s="797"/>
      <c r="N152" s="797"/>
      <c r="O152" s="797"/>
      <c r="P152" s="797"/>
      <c r="Q152" s="797"/>
      <c r="R152" s="797"/>
      <c r="S152" s="797"/>
      <c r="T152" s="796"/>
    </row>
    <row r="153">
      <c r="A153" s="796"/>
      <c r="B153" s="796"/>
      <c r="C153" s="796"/>
      <c r="D153" s="796"/>
      <c r="E153" s="797"/>
      <c r="F153" s="796"/>
      <c r="G153" s="796"/>
      <c r="H153" s="796"/>
      <c r="I153" s="796"/>
      <c r="J153" s="797"/>
      <c r="K153" s="797"/>
      <c r="L153" s="796"/>
      <c r="M153" s="797"/>
      <c r="N153" s="797"/>
      <c r="O153" s="797"/>
      <c r="P153" s="797"/>
      <c r="Q153" s="797"/>
      <c r="R153" s="797"/>
      <c r="S153" s="797"/>
      <c r="T153" s="796"/>
    </row>
    <row r="154">
      <c r="A154" s="796"/>
      <c r="B154" s="796"/>
      <c r="C154" s="796"/>
      <c r="D154" s="796"/>
      <c r="E154" s="797"/>
      <c r="F154" s="796"/>
      <c r="G154" s="796"/>
      <c r="H154" s="796"/>
      <c r="I154" s="796"/>
      <c r="J154" s="797"/>
      <c r="K154" s="797"/>
      <c r="L154" s="796"/>
      <c r="M154" s="797"/>
      <c r="N154" s="797"/>
      <c r="O154" s="797"/>
      <c r="P154" s="797"/>
      <c r="Q154" s="797"/>
      <c r="R154" s="797"/>
      <c r="S154" s="797"/>
      <c r="T154" s="796"/>
    </row>
    <row r="155">
      <c r="A155" s="796"/>
      <c r="B155" s="796"/>
      <c r="C155" s="796"/>
      <c r="D155" s="796"/>
      <c r="E155" s="797"/>
      <c r="F155" s="796"/>
      <c r="G155" s="796"/>
      <c r="H155" s="796"/>
      <c r="I155" s="796"/>
      <c r="J155" s="797"/>
      <c r="K155" s="797"/>
      <c r="L155" s="796"/>
      <c r="M155" s="797"/>
      <c r="N155" s="797"/>
      <c r="O155" s="797"/>
      <c r="P155" s="797"/>
      <c r="Q155" s="797"/>
      <c r="R155" s="797"/>
      <c r="S155" s="797"/>
      <c r="T155" s="796"/>
    </row>
    <row r="156">
      <c r="A156" s="796"/>
      <c r="B156" s="796"/>
      <c r="C156" s="796"/>
      <c r="D156" s="796"/>
      <c r="E156" s="797"/>
      <c r="F156" s="796"/>
      <c r="G156" s="796"/>
      <c r="H156" s="796"/>
      <c r="I156" s="796"/>
      <c r="J156" s="797"/>
      <c r="K156" s="797"/>
      <c r="L156" s="796"/>
      <c r="M156" s="797"/>
      <c r="N156" s="797"/>
      <c r="O156" s="797"/>
      <c r="P156" s="797"/>
      <c r="Q156" s="797"/>
      <c r="R156" s="797"/>
      <c r="S156" s="797"/>
      <c r="T156" s="796"/>
    </row>
    <row r="157">
      <c r="A157" s="796"/>
      <c r="B157" s="796"/>
      <c r="C157" s="796"/>
      <c r="D157" s="796"/>
      <c r="E157" s="797"/>
      <c r="F157" s="796"/>
      <c r="G157" s="796"/>
      <c r="H157" s="796"/>
      <c r="I157" s="796"/>
      <c r="J157" s="797"/>
      <c r="K157" s="797"/>
      <c r="L157" s="796"/>
      <c r="M157" s="797"/>
      <c r="N157" s="797"/>
      <c r="O157" s="797"/>
      <c r="P157" s="797"/>
      <c r="Q157" s="797"/>
      <c r="R157" s="797"/>
      <c r="S157" s="797"/>
      <c r="T157" s="796"/>
    </row>
    <row r="158">
      <c r="A158" s="796"/>
      <c r="B158" s="796"/>
      <c r="C158" s="796"/>
      <c r="D158" s="796"/>
      <c r="E158" s="797"/>
      <c r="F158" s="796"/>
      <c r="G158" s="796"/>
      <c r="H158" s="796"/>
      <c r="I158" s="796"/>
      <c r="J158" s="797"/>
      <c r="K158" s="797"/>
      <c r="L158" s="796"/>
      <c r="M158" s="797"/>
      <c r="N158" s="797"/>
      <c r="O158" s="797"/>
      <c r="P158" s="797"/>
      <c r="Q158" s="797"/>
      <c r="R158" s="797"/>
      <c r="S158" s="797"/>
      <c r="T158" s="796"/>
    </row>
    <row r="159">
      <c r="A159" s="796"/>
      <c r="B159" s="796"/>
      <c r="C159" s="796"/>
      <c r="D159" s="796"/>
      <c r="E159" s="797"/>
      <c r="F159" s="796"/>
      <c r="G159" s="796"/>
      <c r="H159" s="796"/>
      <c r="I159" s="796"/>
      <c r="J159" s="797"/>
      <c r="K159" s="797"/>
      <c r="L159" s="796"/>
      <c r="M159" s="797"/>
      <c r="N159" s="797"/>
      <c r="O159" s="797"/>
      <c r="P159" s="797"/>
      <c r="Q159" s="797"/>
      <c r="R159" s="797"/>
      <c r="S159" s="797"/>
      <c r="T159" s="796"/>
    </row>
    <row r="160">
      <c r="A160" s="796"/>
      <c r="B160" s="796"/>
      <c r="C160" s="796"/>
      <c r="D160" s="796"/>
      <c r="E160" s="797"/>
      <c r="F160" s="796"/>
      <c r="G160" s="796"/>
      <c r="H160" s="796"/>
      <c r="I160" s="796"/>
      <c r="J160" s="797"/>
      <c r="K160" s="797"/>
      <c r="L160" s="796"/>
      <c r="M160" s="797"/>
      <c r="N160" s="797"/>
      <c r="O160" s="797"/>
      <c r="P160" s="797"/>
      <c r="Q160" s="797"/>
      <c r="R160" s="797"/>
      <c r="S160" s="797"/>
      <c r="T160" s="796"/>
    </row>
    <row r="161">
      <c r="A161" s="796"/>
      <c r="B161" s="796"/>
      <c r="C161" s="796"/>
      <c r="D161" s="796"/>
      <c r="E161" s="797"/>
      <c r="F161" s="796"/>
      <c r="G161" s="796"/>
      <c r="H161" s="796"/>
      <c r="I161" s="796"/>
      <c r="J161" s="797"/>
      <c r="K161" s="797"/>
      <c r="L161" s="796"/>
      <c r="M161" s="797"/>
      <c r="N161" s="797"/>
      <c r="O161" s="797"/>
      <c r="P161" s="797"/>
      <c r="Q161" s="797"/>
      <c r="R161" s="797"/>
      <c r="S161" s="797"/>
      <c r="T161" s="796"/>
    </row>
    <row r="162">
      <c r="A162" s="796"/>
      <c r="B162" s="796"/>
      <c r="C162" s="796"/>
      <c r="D162" s="796"/>
      <c r="E162" s="797"/>
      <c r="F162" s="796"/>
      <c r="G162" s="796"/>
      <c r="H162" s="796"/>
      <c r="I162" s="796"/>
      <c r="J162" s="797"/>
      <c r="K162" s="797"/>
      <c r="L162" s="796"/>
      <c r="M162" s="797"/>
      <c r="N162" s="797"/>
      <c r="O162" s="797"/>
      <c r="P162" s="797"/>
      <c r="Q162" s="797"/>
      <c r="R162" s="797"/>
      <c r="S162" s="797"/>
      <c r="T162" s="796"/>
    </row>
    <row r="163">
      <c r="A163" s="796"/>
      <c r="B163" s="796"/>
      <c r="C163" s="796"/>
      <c r="D163" s="796"/>
      <c r="E163" s="797"/>
      <c r="F163" s="796"/>
      <c r="G163" s="796"/>
      <c r="H163" s="796"/>
      <c r="I163" s="796"/>
      <c r="J163" s="797"/>
      <c r="K163" s="797"/>
      <c r="L163" s="796"/>
      <c r="M163" s="797"/>
      <c r="N163" s="797"/>
      <c r="O163" s="797"/>
      <c r="P163" s="797"/>
      <c r="Q163" s="797"/>
      <c r="R163" s="797"/>
      <c r="S163" s="797"/>
      <c r="T163" s="796"/>
    </row>
    <row r="164">
      <c r="A164" s="796"/>
      <c r="B164" s="796"/>
      <c r="C164" s="796"/>
      <c r="D164" s="796"/>
      <c r="E164" s="797"/>
      <c r="F164" s="796"/>
      <c r="G164" s="796"/>
      <c r="H164" s="796"/>
      <c r="I164" s="796"/>
      <c r="J164" s="797"/>
      <c r="K164" s="797"/>
      <c r="L164" s="796"/>
      <c r="M164" s="797"/>
      <c r="N164" s="797"/>
      <c r="O164" s="797"/>
      <c r="P164" s="797"/>
      <c r="Q164" s="797"/>
      <c r="R164" s="797"/>
      <c r="S164" s="797"/>
      <c r="T164" s="796"/>
    </row>
    <row r="165">
      <c r="A165" s="796"/>
      <c r="B165" s="796"/>
      <c r="C165" s="796"/>
      <c r="D165" s="796"/>
      <c r="E165" s="797"/>
      <c r="F165" s="796"/>
      <c r="G165" s="796"/>
      <c r="H165" s="796"/>
      <c r="I165" s="796"/>
      <c r="J165" s="797"/>
      <c r="K165" s="797"/>
      <c r="L165" s="796"/>
      <c r="M165" s="797"/>
      <c r="N165" s="797"/>
      <c r="O165" s="797"/>
      <c r="P165" s="797"/>
      <c r="Q165" s="797"/>
      <c r="R165" s="797"/>
      <c r="S165" s="797"/>
      <c r="T165" s="796"/>
    </row>
    <row r="166">
      <c r="A166" s="796"/>
      <c r="B166" s="796"/>
      <c r="C166" s="796"/>
      <c r="D166" s="796"/>
      <c r="E166" s="797"/>
      <c r="F166" s="796"/>
      <c r="G166" s="796"/>
      <c r="H166" s="796"/>
      <c r="I166" s="796"/>
      <c r="J166" s="797"/>
      <c r="K166" s="797"/>
      <c r="L166" s="796"/>
      <c r="M166" s="797"/>
      <c r="N166" s="797"/>
      <c r="O166" s="797"/>
      <c r="P166" s="797"/>
      <c r="Q166" s="797"/>
      <c r="R166" s="797"/>
      <c r="S166" s="797"/>
      <c r="T166" s="796"/>
    </row>
    <row r="167">
      <c r="A167" s="796"/>
      <c r="B167" s="796"/>
      <c r="C167" s="796"/>
      <c r="D167" s="796"/>
      <c r="E167" s="797"/>
      <c r="F167" s="796"/>
      <c r="G167" s="796"/>
      <c r="H167" s="796"/>
      <c r="I167" s="796"/>
      <c r="J167" s="797"/>
      <c r="K167" s="797"/>
      <c r="L167" s="796"/>
      <c r="M167" s="797"/>
      <c r="N167" s="797"/>
      <c r="O167" s="797"/>
      <c r="P167" s="797"/>
      <c r="Q167" s="797"/>
      <c r="R167" s="797"/>
      <c r="S167" s="797"/>
      <c r="T167" s="796"/>
    </row>
    <row r="168">
      <c r="A168" s="796"/>
      <c r="B168" s="796"/>
      <c r="C168" s="796"/>
      <c r="D168" s="796"/>
      <c r="E168" s="797"/>
      <c r="F168" s="796"/>
      <c r="G168" s="796"/>
      <c r="H168" s="796"/>
      <c r="I168" s="796"/>
      <c r="J168" s="797"/>
      <c r="K168" s="797"/>
      <c r="L168" s="796"/>
      <c r="M168" s="797"/>
      <c r="N168" s="797"/>
      <c r="O168" s="797"/>
      <c r="P168" s="797"/>
      <c r="Q168" s="797"/>
      <c r="R168" s="797"/>
      <c r="S168" s="797"/>
      <c r="T168" s="796"/>
    </row>
    <row r="169">
      <c r="A169" s="796"/>
      <c r="B169" s="796"/>
      <c r="C169" s="796"/>
      <c r="D169" s="796"/>
      <c r="E169" s="797"/>
      <c r="F169" s="796"/>
      <c r="G169" s="796"/>
      <c r="H169" s="796"/>
      <c r="I169" s="796"/>
      <c r="J169" s="797"/>
      <c r="K169" s="797"/>
      <c r="L169" s="796"/>
      <c r="M169" s="797"/>
      <c r="N169" s="797"/>
      <c r="O169" s="797"/>
      <c r="P169" s="797"/>
      <c r="Q169" s="797"/>
      <c r="R169" s="797"/>
      <c r="S169" s="797"/>
      <c r="T169" s="796"/>
    </row>
    <row r="170">
      <c r="A170" s="796"/>
      <c r="B170" s="796"/>
      <c r="C170" s="796"/>
      <c r="D170" s="796"/>
      <c r="E170" s="797"/>
      <c r="F170" s="796"/>
      <c r="G170" s="796"/>
      <c r="H170" s="796"/>
      <c r="I170" s="796"/>
      <c r="J170" s="797"/>
      <c r="K170" s="797"/>
      <c r="L170" s="796"/>
      <c r="M170" s="797"/>
      <c r="N170" s="797"/>
      <c r="O170" s="797"/>
      <c r="P170" s="797"/>
      <c r="Q170" s="797"/>
      <c r="R170" s="797"/>
      <c r="S170" s="797"/>
      <c r="T170" s="796"/>
    </row>
    <row r="171">
      <c r="A171" s="796"/>
      <c r="B171" s="796"/>
      <c r="C171" s="796"/>
      <c r="D171" s="796"/>
      <c r="E171" s="797"/>
      <c r="F171" s="796"/>
      <c r="G171" s="796"/>
      <c r="H171" s="796"/>
      <c r="I171" s="796"/>
      <c r="J171" s="797"/>
      <c r="K171" s="797"/>
      <c r="L171" s="796"/>
      <c r="M171" s="797"/>
      <c r="N171" s="797"/>
      <c r="O171" s="797"/>
      <c r="P171" s="797"/>
      <c r="Q171" s="797"/>
      <c r="R171" s="797"/>
      <c r="S171" s="797"/>
      <c r="T171" s="796"/>
    </row>
    <row r="172">
      <c r="A172" s="796"/>
      <c r="B172" s="796"/>
      <c r="C172" s="796"/>
      <c r="D172" s="796"/>
      <c r="E172" s="797"/>
      <c r="F172" s="796"/>
      <c r="G172" s="796"/>
      <c r="H172" s="796"/>
      <c r="I172" s="796"/>
      <c r="J172" s="797"/>
      <c r="K172" s="797"/>
      <c r="L172" s="796"/>
      <c r="M172" s="797"/>
      <c r="N172" s="797"/>
      <c r="O172" s="797"/>
      <c r="P172" s="797"/>
      <c r="Q172" s="797"/>
      <c r="R172" s="797"/>
      <c r="S172" s="797"/>
      <c r="T172" s="796"/>
    </row>
    <row r="173">
      <c r="A173" s="796"/>
      <c r="B173" s="796"/>
      <c r="C173" s="796"/>
      <c r="D173" s="796"/>
      <c r="E173" s="797"/>
      <c r="F173" s="796"/>
      <c r="G173" s="796"/>
      <c r="H173" s="796"/>
      <c r="I173" s="796"/>
      <c r="J173" s="797"/>
      <c r="K173" s="797"/>
      <c r="L173" s="796"/>
      <c r="M173" s="797"/>
      <c r="N173" s="797"/>
      <c r="O173" s="797"/>
      <c r="P173" s="797"/>
      <c r="Q173" s="797"/>
      <c r="R173" s="797"/>
      <c r="S173" s="797"/>
      <c r="T173" s="796"/>
    </row>
    <row r="174">
      <c r="A174" s="796"/>
      <c r="B174" s="796"/>
      <c r="C174" s="796"/>
      <c r="D174" s="796"/>
      <c r="E174" s="797"/>
      <c r="F174" s="796"/>
      <c r="G174" s="796"/>
      <c r="H174" s="796"/>
      <c r="I174" s="796"/>
      <c r="J174" s="797"/>
      <c r="K174" s="797"/>
      <c r="L174" s="796"/>
      <c r="M174" s="797"/>
      <c r="N174" s="797"/>
      <c r="O174" s="797"/>
      <c r="P174" s="797"/>
      <c r="Q174" s="797"/>
      <c r="R174" s="797"/>
      <c r="S174" s="797"/>
      <c r="T174" s="796"/>
    </row>
    <row r="175">
      <c r="A175" s="796"/>
      <c r="B175" s="796"/>
      <c r="C175" s="796"/>
      <c r="D175" s="796"/>
      <c r="E175" s="797"/>
      <c r="F175" s="796"/>
      <c r="G175" s="796"/>
      <c r="H175" s="796"/>
      <c r="I175" s="796"/>
      <c r="J175" s="797"/>
      <c r="K175" s="797"/>
      <c r="L175" s="796"/>
      <c r="M175" s="797"/>
      <c r="N175" s="797"/>
      <c r="O175" s="797"/>
      <c r="P175" s="797"/>
      <c r="Q175" s="797"/>
      <c r="R175" s="797"/>
      <c r="S175" s="797"/>
      <c r="T175" s="796"/>
    </row>
    <row r="176">
      <c r="A176" s="796"/>
      <c r="B176" s="796"/>
      <c r="C176" s="796"/>
      <c r="D176" s="796"/>
      <c r="E176" s="797"/>
      <c r="F176" s="796"/>
      <c r="G176" s="796"/>
      <c r="H176" s="796"/>
      <c r="I176" s="796"/>
      <c r="J176" s="797"/>
      <c r="K176" s="797"/>
      <c r="L176" s="796"/>
      <c r="M176" s="797"/>
      <c r="N176" s="797"/>
      <c r="O176" s="797"/>
      <c r="P176" s="797"/>
      <c r="Q176" s="797"/>
      <c r="R176" s="797"/>
      <c r="S176" s="797"/>
      <c r="T176" s="796"/>
    </row>
    <row r="177">
      <c r="A177" s="796"/>
      <c r="B177" s="796"/>
      <c r="C177" s="796"/>
      <c r="D177" s="796"/>
      <c r="E177" s="797"/>
      <c r="F177" s="796"/>
      <c r="G177" s="796"/>
      <c r="H177" s="796"/>
      <c r="I177" s="796"/>
      <c r="J177" s="797"/>
      <c r="K177" s="797"/>
      <c r="L177" s="796"/>
      <c r="M177" s="797"/>
      <c r="N177" s="797"/>
      <c r="O177" s="797"/>
      <c r="P177" s="797"/>
      <c r="Q177" s="797"/>
      <c r="R177" s="797"/>
      <c r="S177" s="797"/>
      <c r="T177" s="796"/>
    </row>
    <row r="178">
      <c r="A178" s="796"/>
      <c r="B178" s="796"/>
      <c r="C178" s="796"/>
      <c r="D178" s="796"/>
      <c r="E178" s="797"/>
      <c r="F178" s="796"/>
      <c r="G178" s="796"/>
      <c r="H178" s="796"/>
      <c r="I178" s="796"/>
      <c r="J178" s="797"/>
      <c r="K178" s="797"/>
      <c r="L178" s="796"/>
      <c r="M178" s="797"/>
      <c r="N178" s="797"/>
      <c r="O178" s="797"/>
      <c r="P178" s="797"/>
      <c r="Q178" s="797"/>
      <c r="R178" s="797"/>
      <c r="S178" s="797"/>
      <c r="T178" s="796"/>
    </row>
    <row r="179">
      <c r="A179" s="796"/>
      <c r="B179" s="796"/>
      <c r="C179" s="796"/>
      <c r="D179" s="796"/>
      <c r="E179" s="797"/>
      <c r="F179" s="796"/>
      <c r="G179" s="796"/>
      <c r="H179" s="796"/>
      <c r="I179" s="796"/>
      <c r="J179" s="797"/>
      <c r="K179" s="797"/>
      <c r="L179" s="796"/>
      <c r="M179" s="797"/>
      <c r="N179" s="797"/>
      <c r="O179" s="797"/>
      <c r="P179" s="797"/>
      <c r="Q179" s="797"/>
      <c r="R179" s="797"/>
      <c r="S179" s="797"/>
      <c r="T179" s="796"/>
    </row>
    <row r="180">
      <c r="A180" s="796"/>
      <c r="B180" s="796"/>
      <c r="C180" s="796"/>
      <c r="D180" s="796"/>
      <c r="E180" s="797"/>
      <c r="F180" s="796"/>
      <c r="G180" s="796"/>
      <c r="H180" s="796"/>
      <c r="I180" s="796"/>
      <c r="J180" s="797"/>
      <c r="K180" s="797"/>
      <c r="L180" s="796"/>
      <c r="M180" s="797"/>
      <c r="N180" s="797"/>
      <c r="O180" s="797"/>
      <c r="P180" s="797"/>
      <c r="Q180" s="797"/>
      <c r="R180" s="797"/>
      <c r="S180" s="797"/>
      <c r="T180" s="796"/>
    </row>
    <row r="181">
      <c r="A181" s="796"/>
      <c r="B181" s="796"/>
      <c r="C181" s="796"/>
      <c r="D181" s="796"/>
      <c r="E181" s="797"/>
      <c r="F181" s="796"/>
      <c r="G181" s="796"/>
      <c r="H181" s="796"/>
      <c r="I181" s="796"/>
      <c r="J181" s="797"/>
      <c r="K181" s="797"/>
      <c r="L181" s="796"/>
      <c r="M181" s="797"/>
      <c r="N181" s="797"/>
      <c r="O181" s="797"/>
      <c r="P181" s="797"/>
      <c r="Q181" s="797"/>
      <c r="R181" s="797"/>
      <c r="S181" s="797"/>
      <c r="T181" s="796"/>
    </row>
    <row r="182">
      <c r="A182" s="796"/>
      <c r="B182" s="796"/>
      <c r="C182" s="796"/>
      <c r="D182" s="796"/>
      <c r="E182" s="797"/>
      <c r="F182" s="796"/>
      <c r="G182" s="796"/>
      <c r="H182" s="796"/>
      <c r="I182" s="796"/>
      <c r="J182" s="797"/>
      <c r="K182" s="797"/>
      <c r="L182" s="796"/>
      <c r="M182" s="797"/>
      <c r="N182" s="797"/>
      <c r="O182" s="797"/>
      <c r="P182" s="797"/>
      <c r="Q182" s="797"/>
      <c r="R182" s="797"/>
      <c r="S182" s="797"/>
      <c r="T182" s="796"/>
    </row>
    <row r="183">
      <c r="A183" s="796"/>
      <c r="B183" s="796"/>
      <c r="C183" s="796"/>
      <c r="D183" s="796"/>
      <c r="E183" s="797"/>
      <c r="F183" s="796"/>
      <c r="G183" s="796"/>
      <c r="H183" s="796"/>
      <c r="I183" s="796"/>
      <c r="J183" s="797"/>
      <c r="K183" s="797"/>
      <c r="L183" s="796"/>
      <c r="M183" s="797"/>
      <c r="N183" s="797"/>
      <c r="O183" s="797"/>
      <c r="P183" s="797"/>
      <c r="Q183" s="797"/>
      <c r="R183" s="797"/>
      <c r="S183" s="797"/>
      <c r="T183" s="796"/>
    </row>
    <row r="184">
      <c r="A184" s="796"/>
      <c r="B184" s="796"/>
      <c r="C184" s="796"/>
      <c r="D184" s="796"/>
      <c r="E184" s="797"/>
      <c r="F184" s="796"/>
      <c r="G184" s="796"/>
      <c r="H184" s="796"/>
      <c r="I184" s="796"/>
      <c r="J184" s="797"/>
      <c r="K184" s="797"/>
      <c r="L184" s="796"/>
      <c r="M184" s="797"/>
      <c r="N184" s="797"/>
      <c r="O184" s="797"/>
      <c r="P184" s="797"/>
      <c r="Q184" s="797"/>
      <c r="R184" s="797"/>
      <c r="S184" s="797"/>
      <c r="T184" s="796"/>
    </row>
    <row r="185">
      <c r="A185" s="796"/>
      <c r="B185" s="796"/>
      <c r="C185" s="796"/>
      <c r="D185" s="796"/>
      <c r="E185" s="797"/>
      <c r="F185" s="796"/>
      <c r="G185" s="796"/>
      <c r="H185" s="796"/>
      <c r="I185" s="796"/>
      <c r="J185" s="797"/>
      <c r="K185" s="797"/>
      <c r="L185" s="796"/>
      <c r="M185" s="797"/>
      <c r="N185" s="797"/>
      <c r="O185" s="797"/>
      <c r="P185" s="797"/>
      <c r="Q185" s="797"/>
      <c r="R185" s="797"/>
      <c r="S185" s="797"/>
      <c r="T185" s="796"/>
    </row>
    <row r="186">
      <c r="A186" s="796"/>
      <c r="B186" s="796"/>
      <c r="C186" s="796"/>
      <c r="D186" s="796"/>
      <c r="E186" s="797"/>
      <c r="F186" s="796"/>
      <c r="G186" s="796"/>
      <c r="H186" s="796"/>
      <c r="I186" s="796"/>
      <c r="J186" s="797"/>
      <c r="K186" s="797"/>
      <c r="L186" s="796"/>
      <c r="M186" s="797"/>
      <c r="N186" s="797"/>
      <c r="O186" s="797"/>
      <c r="P186" s="797"/>
      <c r="Q186" s="797"/>
      <c r="R186" s="797"/>
      <c r="S186" s="797"/>
      <c r="T186" s="796"/>
    </row>
    <row r="187">
      <c r="A187" s="796"/>
      <c r="B187" s="796"/>
      <c r="C187" s="796"/>
      <c r="D187" s="796"/>
      <c r="E187" s="797"/>
      <c r="F187" s="796"/>
      <c r="G187" s="796"/>
      <c r="H187" s="796"/>
      <c r="I187" s="796"/>
      <c r="J187" s="797"/>
      <c r="K187" s="797"/>
      <c r="L187" s="796"/>
      <c r="M187" s="797"/>
      <c r="N187" s="797"/>
      <c r="O187" s="797"/>
      <c r="P187" s="797"/>
      <c r="Q187" s="797"/>
      <c r="R187" s="797"/>
      <c r="S187" s="797"/>
      <c r="T187" s="796"/>
    </row>
    <row r="188">
      <c r="A188" s="796"/>
      <c r="B188" s="796"/>
      <c r="C188" s="796"/>
      <c r="D188" s="796"/>
      <c r="E188" s="797"/>
      <c r="F188" s="796"/>
      <c r="G188" s="796"/>
      <c r="H188" s="796"/>
      <c r="I188" s="796"/>
      <c r="J188" s="797"/>
      <c r="K188" s="797"/>
      <c r="L188" s="796"/>
      <c r="M188" s="797"/>
      <c r="N188" s="797"/>
      <c r="O188" s="797"/>
      <c r="P188" s="797"/>
      <c r="Q188" s="797"/>
      <c r="R188" s="797"/>
      <c r="S188" s="797"/>
      <c r="T188" s="796"/>
    </row>
    <row r="189">
      <c r="A189" s="796"/>
      <c r="B189" s="796"/>
      <c r="C189" s="796"/>
      <c r="D189" s="796"/>
      <c r="E189" s="797"/>
      <c r="F189" s="796"/>
      <c r="G189" s="796"/>
      <c r="H189" s="796"/>
      <c r="I189" s="796"/>
      <c r="J189" s="797"/>
      <c r="K189" s="797"/>
      <c r="L189" s="796"/>
      <c r="M189" s="797"/>
      <c r="N189" s="797"/>
      <c r="O189" s="797"/>
      <c r="P189" s="797"/>
      <c r="Q189" s="797"/>
      <c r="R189" s="797"/>
      <c r="S189" s="797"/>
      <c r="T189" s="796"/>
    </row>
    <row r="190">
      <c r="A190" s="796"/>
      <c r="B190" s="796"/>
      <c r="C190" s="796"/>
      <c r="D190" s="796"/>
      <c r="E190" s="797"/>
      <c r="F190" s="796"/>
      <c r="G190" s="796"/>
      <c r="H190" s="796"/>
      <c r="I190" s="796"/>
      <c r="J190" s="797"/>
      <c r="K190" s="797"/>
      <c r="L190" s="796"/>
      <c r="M190" s="797"/>
      <c r="N190" s="797"/>
      <c r="O190" s="797"/>
      <c r="P190" s="797"/>
      <c r="Q190" s="797"/>
      <c r="R190" s="797"/>
      <c r="S190" s="797"/>
      <c r="T190" s="796"/>
    </row>
    <row r="191">
      <c r="A191" s="796"/>
      <c r="B191" s="796"/>
      <c r="C191" s="796"/>
      <c r="D191" s="796"/>
      <c r="E191" s="797"/>
      <c r="F191" s="796"/>
      <c r="G191" s="796"/>
      <c r="H191" s="796"/>
      <c r="I191" s="796"/>
      <c r="J191" s="797"/>
      <c r="K191" s="797"/>
      <c r="L191" s="796"/>
      <c r="M191" s="797"/>
      <c r="N191" s="797"/>
      <c r="O191" s="797"/>
      <c r="P191" s="797"/>
      <c r="Q191" s="797"/>
      <c r="R191" s="797"/>
      <c r="S191" s="797"/>
      <c r="T191" s="796"/>
    </row>
    <row r="192">
      <c r="A192" s="796"/>
      <c r="B192" s="796"/>
      <c r="C192" s="796"/>
      <c r="D192" s="796"/>
      <c r="E192" s="797"/>
      <c r="F192" s="796"/>
      <c r="G192" s="796"/>
      <c r="H192" s="796"/>
      <c r="I192" s="796"/>
      <c r="J192" s="797"/>
      <c r="K192" s="797"/>
      <c r="L192" s="796"/>
      <c r="M192" s="797"/>
      <c r="N192" s="797"/>
      <c r="O192" s="797"/>
      <c r="P192" s="797"/>
      <c r="Q192" s="797"/>
      <c r="R192" s="797"/>
      <c r="S192" s="797"/>
      <c r="T192" s="796"/>
    </row>
    <row r="193">
      <c r="A193" s="796"/>
      <c r="B193" s="796"/>
      <c r="C193" s="796"/>
      <c r="D193" s="796"/>
      <c r="E193" s="797"/>
      <c r="F193" s="796"/>
      <c r="G193" s="796"/>
      <c r="H193" s="796"/>
      <c r="I193" s="796"/>
      <c r="J193" s="797"/>
      <c r="K193" s="797"/>
      <c r="L193" s="796"/>
      <c r="M193" s="797"/>
      <c r="N193" s="797"/>
      <c r="O193" s="797"/>
      <c r="P193" s="797"/>
      <c r="Q193" s="797"/>
      <c r="R193" s="797"/>
      <c r="S193" s="797"/>
      <c r="T193" s="796"/>
    </row>
    <row r="194">
      <c r="A194" s="796"/>
      <c r="B194" s="796"/>
      <c r="C194" s="796"/>
      <c r="D194" s="796"/>
      <c r="E194" s="797"/>
      <c r="F194" s="796"/>
      <c r="G194" s="796"/>
      <c r="H194" s="796"/>
      <c r="I194" s="796"/>
      <c r="J194" s="797"/>
      <c r="K194" s="797"/>
      <c r="L194" s="796"/>
      <c r="M194" s="797"/>
      <c r="N194" s="797"/>
      <c r="O194" s="797"/>
      <c r="P194" s="797"/>
      <c r="Q194" s="797"/>
      <c r="R194" s="797"/>
      <c r="S194" s="797"/>
      <c r="T194" s="796"/>
    </row>
    <row r="195">
      <c r="A195" s="796"/>
      <c r="B195" s="796"/>
      <c r="C195" s="796"/>
      <c r="D195" s="796"/>
      <c r="E195" s="797"/>
      <c r="F195" s="796"/>
      <c r="G195" s="796"/>
      <c r="H195" s="796"/>
      <c r="I195" s="796"/>
      <c r="J195" s="797"/>
      <c r="K195" s="797"/>
      <c r="L195" s="796"/>
      <c r="M195" s="797"/>
      <c r="N195" s="797"/>
      <c r="O195" s="797"/>
      <c r="P195" s="797"/>
      <c r="Q195" s="797"/>
      <c r="R195" s="797"/>
      <c r="S195" s="797"/>
      <c r="T195" s="796"/>
    </row>
    <row r="196">
      <c r="A196" s="796"/>
      <c r="B196" s="796"/>
      <c r="C196" s="796"/>
      <c r="D196" s="796"/>
      <c r="E196" s="797"/>
      <c r="F196" s="796"/>
      <c r="G196" s="796"/>
      <c r="H196" s="796"/>
      <c r="I196" s="796"/>
      <c r="J196" s="797"/>
      <c r="K196" s="797"/>
      <c r="L196" s="796"/>
      <c r="M196" s="797"/>
      <c r="N196" s="797"/>
      <c r="O196" s="797"/>
      <c r="P196" s="797"/>
      <c r="Q196" s="797"/>
      <c r="R196" s="797"/>
      <c r="S196" s="797"/>
      <c r="T196" s="796"/>
    </row>
    <row r="197">
      <c r="A197" s="796"/>
      <c r="B197" s="796"/>
      <c r="C197" s="796"/>
      <c r="D197" s="796"/>
      <c r="E197" s="797"/>
      <c r="F197" s="796"/>
      <c r="G197" s="796"/>
      <c r="H197" s="796"/>
      <c r="I197" s="796"/>
      <c r="J197" s="797"/>
      <c r="K197" s="797"/>
      <c r="L197" s="796"/>
      <c r="M197" s="797"/>
      <c r="N197" s="797"/>
      <c r="O197" s="797"/>
      <c r="P197" s="797"/>
      <c r="Q197" s="797"/>
      <c r="R197" s="797"/>
      <c r="S197" s="797"/>
      <c r="T197" s="796"/>
    </row>
    <row r="198">
      <c r="A198" s="796"/>
      <c r="B198" s="796"/>
      <c r="C198" s="796"/>
      <c r="D198" s="796"/>
      <c r="E198" s="797"/>
      <c r="F198" s="796"/>
      <c r="G198" s="796"/>
      <c r="H198" s="796"/>
      <c r="I198" s="796"/>
      <c r="J198" s="797"/>
      <c r="K198" s="797"/>
      <c r="L198" s="796"/>
      <c r="M198" s="797"/>
      <c r="N198" s="797"/>
      <c r="O198" s="797"/>
      <c r="P198" s="797"/>
      <c r="Q198" s="797"/>
      <c r="R198" s="797"/>
      <c r="S198" s="797"/>
      <c r="T198" s="796"/>
    </row>
    <row r="199">
      <c r="A199" s="796"/>
      <c r="B199" s="796"/>
      <c r="C199" s="796"/>
      <c r="D199" s="796"/>
      <c r="E199" s="797"/>
      <c r="F199" s="796"/>
      <c r="G199" s="796"/>
      <c r="H199" s="796"/>
      <c r="I199" s="796"/>
      <c r="J199" s="797"/>
      <c r="K199" s="797"/>
      <c r="L199" s="796"/>
      <c r="M199" s="797"/>
      <c r="N199" s="797"/>
      <c r="O199" s="797"/>
      <c r="P199" s="797"/>
      <c r="Q199" s="797"/>
      <c r="R199" s="797"/>
      <c r="S199" s="797"/>
      <c r="T199" s="796"/>
    </row>
    <row r="200">
      <c r="A200" s="796"/>
      <c r="B200" s="796"/>
      <c r="C200" s="796"/>
      <c r="D200" s="796"/>
      <c r="E200" s="797"/>
      <c r="F200" s="796"/>
      <c r="G200" s="796"/>
      <c r="H200" s="796"/>
      <c r="I200" s="796"/>
      <c r="J200" s="797"/>
      <c r="K200" s="797"/>
      <c r="L200" s="796"/>
      <c r="M200" s="797"/>
      <c r="N200" s="797"/>
      <c r="O200" s="797"/>
      <c r="P200" s="797"/>
      <c r="Q200" s="797"/>
      <c r="R200" s="797"/>
      <c r="S200" s="797"/>
      <c r="T200" s="796"/>
    </row>
    <row r="201">
      <c r="A201" s="796"/>
      <c r="B201" s="796"/>
      <c r="C201" s="796"/>
      <c r="D201" s="796"/>
      <c r="E201" s="797"/>
      <c r="F201" s="796"/>
      <c r="G201" s="796"/>
      <c r="H201" s="796"/>
      <c r="I201" s="796"/>
      <c r="J201" s="797"/>
      <c r="K201" s="797"/>
      <c r="L201" s="796"/>
      <c r="M201" s="797"/>
      <c r="N201" s="797"/>
      <c r="O201" s="797"/>
      <c r="P201" s="797"/>
      <c r="Q201" s="797"/>
      <c r="R201" s="797"/>
      <c r="S201" s="797"/>
      <c r="T201" s="796"/>
    </row>
    <row r="202">
      <c r="A202" s="796"/>
      <c r="B202" s="796"/>
      <c r="C202" s="796"/>
      <c r="D202" s="796"/>
      <c r="E202" s="797"/>
      <c r="F202" s="796"/>
      <c r="G202" s="796"/>
      <c r="H202" s="796"/>
      <c r="I202" s="796"/>
      <c r="J202" s="797"/>
      <c r="K202" s="797"/>
      <c r="L202" s="796"/>
      <c r="M202" s="797"/>
      <c r="N202" s="797"/>
      <c r="O202" s="797"/>
      <c r="P202" s="797"/>
      <c r="Q202" s="797"/>
      <c r="R202" s="797"/>
      <c r="S202" s="797"/>
      <c r="T202" s="796"/>
    </row>
    <row r="203">
      <c r="A203" s="796"/>
      <c r="B203" s="796"/>
      <c r="C203" s="796"/>
      <c r="D203" s="796"/>
      <c r="E203" s="797"/>
      <c r="F203" s="796"/>
      <c r="G203" s="796"/>
      <c r="H203" s="796"/>
      <c r="I203" s="796"/>
      <c r="J203" s="797"/>
      <c r="K203" s="797"/>
      <c r="L203" s="796"/>
      <c r="M203" s="797"/>
      <c r="N203" s="797"/>
      <c r="O203" s="797"/>
      <c r="P203" s="797"/>
      <c r="Q203" s="797"/>
      <c r="R203" s="797"/>
      <c r="S203" s="797"/>
      <c r="T203" s="796"/>
    </row>
    <row r="204">
      <c r="A204" s="796"/>
      <c r="B204" s="796"/>
      <c r="C204" s="796"/>
      <c r="D204" s="796"/>
      <c r="E204" s="797"/>
      <c r="F204" s="796"/>
      <c r="G204" s="796"/>
      <c r="H204" s="796"/>
      <c r="I204" s="796"/>
      <c r="J204" s="797"/>
      <c r="K204" s="797"/>
      <c r="L204" s="796"/>
      <c r="M204" s="797"/>
      <c r="N204" s="797"/>
      <c r="O204" s="797"/>
      <c r="P204" s="797"/>
      <c r="Q204" s="797"/>
      <c r="R204" s="797"/>
      <c r="S204" s="797"/>
      <c r="T204" s="796"/>
    </row>
    <row r="205">
      <c r="A205" s="796"/>
      <c r="B205" s="796"/>
      <c r="C205" s="796"/>
      <c r="D205" s="796"/>
      <c r="E205" s="797"/>
      <c r="F205" s="796"/>
      <c r="G205" s="796"/>
      <c r="H205" s="796"/>
      <c r="I205" s="796"/>
      <c r="J205" s="797"/>
      <c r="K205" s="797"/>
      <c r="L205" s="796"/>
      <c r="M205" s="797"/>
      <c r="N205" s="797"/>
      <c r="O205" s="797"/>
      <c r="P205" s="797"/>
      <c r="Q205" s="797"/>
      <c r="R205" s="797"/>
      <c r="S205" s="797"/>
      <c r="T205" s="796"/>
    </row>
    <row r="206">
      <c r="A206" s="796"/>
      <c r="B206" s="796"/>
      <c r="C206" s="796"/>
      <c r="D206" s="796"/>
      <c r="E206" s="797"/>
      <c r="F206" s="796"/>
      <c r="G206" s="796"/>
      <c r="H206" s="796"/>
      <c r="I206" s="796"/>
      <c r="J206" s="797"/>
      <c r="K206" s="797"/>
      <c r="L206" s="796"/>
      <c r="M206" s="797"/>
      <c r="N206" s="797"/>
      <c r="O206" s="797"/>
      <c r="P206" s="797"/>
      <c r="Q206" s="797"/>
      <c r="R206" s="797"/>
      <c r="S206" s="797"/>
      <c r="T206" s="796"/>
    </row>
    <row r="207">
      <c r="A207" s="796"/>
      <c r="B207" s="796"/>
      <c r="C207" s="796"/>
      <c r="D207" s="796"/>
      <c r="E207" s="797"/>
      <c r="F207" s="796"/>
      <c r="G207" s="796"/>
      <c r="H207" s="796"/>
      <c r="I207" s="796"/>
      <c r="J207" s="797"/>
      <c r="K207" s="797"/>
      <c r="L207" s="796"/>
      <c r="M207" s="797"/>
      <c r="N207" s="797"/>
      <c r="O207" s="797"/>
      <c r="P207" s="797"/>
      <c r="Q207" s="797"/>
      <c r="R207" s="797"/>
      <c r="S207" s="797"/>
      <c r="T207" s="796"/>
    </row>
    <row r="208">
      <c r="A208" s="796"/>
      <c r="B208" s="796"/>
      <c r="C208" s="796"/>
      <c r="D208" s="796"/>
      <c r="E208" s="797"/>
      <c r="F208" s="796"/>
      <c r="G208" s="796"/>
      <c r="H208" s="796"/>
      <c r="I208" s="796"/>
      <c r="J208" s="797"/>
      <c r="K208" s="797"/>
      <c r="L208" s="796"/>
      <c r="M208" s="797"/>
      <c r="N208" s="797"/>
      <c r="O208" s="797"/>
      <c r="P208" s="797"/>
      <c r="Q208" s="797"/>
      <c r="R208" s="797"/>
      <c r="S208" s="797"/>
      <c r="T208" s="796"/>
    </row>
    <row r="209">
      <c r="A209" s="796"/>
      <c r="B209" s="796"/>
      <c r="C209" s="796"/>
      <c r="D209" s="796"/>
      <c r="E209" s="797"/>
      <c r="F209" s="796"/>
      <c r="G209" s="796"/>
      <c r="H209" s="796"/>
      <c r="I209" s="796"/>
      <c r="J209" s="797"/>
      <c r="K209" s="797"/>
      <c r="L209" s="796"/>
      <c r="M209" s="797"/>
      <c r="N209" s="797"/>
      <c r="O209" s="797"/>
      <c r="P209" s="797"/>
      <c r="Q209" s="797"/>
      <c r="R209" s="797"/>
      <c r="S209" s="797"/>
      <c r="T209" s="796"/>
    </row>
    <row r="210">
      <c r="A210" s="796"/>
      <c r="B210" s="796"/>
      <c r="C210" s="796"/>
      <c r="D210" s="796"/>
      <c r="E210" s="797"/>
      <c r="F210" s="796"/>
      <c r="G210" s="796"/>
      <c r="H210" s="796"/>
      <c r="I210" s="796"/>
      <c r="J210" s="797"/>
      <c r="K210" s="797"/>
      <c r="L210" s="796"/>
      <c r="M210" s="797"/>
      <c r="N210" s="797"/>
      <c r="O210" s="797"/>
      <c r="P210" s="797"/>
      <c r="Q210" s="797"/>
      <c r="R210" s="797"/>
      <c r="S210" s="797"/>
      <c r="T210" s="796"/>
    </row>
    <row r="211">
      <c r="A211" s="796"/>
      <c r="B211" s="796"/>
      <c r="C211" s="796"/>
      <c r="D211" s="796"/>
      <c r="E211" s="797"/>
      <c r="F211" s="796"/>
      <c r="G211" s="796"/>
      <c r="H211" s="796"/>
      <c r="I211" s="796"/>
      <c r="J211" s="797"/>
      <c r="K211" s="797"/>
      <c r="L211" s="796"/>
      <c r="M211" s="797"/>
      <c r="N211" s="797"/>
      <c r="O211" s="797"/>
      <c r="P211" s="797"/>
      <c r="Q211" s="797"/>
      <c r="R211" s="797"/>
      <c r="S211" s="797"/>
      <c r="T211" s="796"/>
    </row>
    <row r="212">
      <c r="A212" s="796"/>
      <c r="B212" s="796"/>
      <c r="C212" s="796"/>
      <c r="D212" s="796"/>
      <c r="E212" s="797"/>
      <c r="F212" s="796"/>
      <c r="G212" s="796"/>
      <c r="H212" s="796"/>
      <c r="I212" s="796"/>
      <c r="J212" s="797"/>
      <c r="K212" s="797"/>
      <c r="L212" s="796"/>
      <c r="M212" s="797"/>
      <c r="N212" s="797"/>
      <c r="O212" s="797"/>
      <c r="P212" s="797"/>
      <c r="Q212" s="797"/>
      <c r="R212" s="797"/>
      <c r="S212" s="797"/>
      <c r="T212" s="796"/>
    </row>
    <row r="213">
      <c r="A213" s="796"/>
      <c r="B213" s="796"/>
      <c r="C213" s="796"/>
      <c r="D213" s="796"/>
      <c r="E213" s="797"/>
      <c r="F213" s="796"/>
      <c r="G213" s="796"/>
      <c r="H213" s="796"/>
      <c r="I213" s="796"/>
      <c r="J213" s="797"/>
      <c r="K213" s="797"/>
      <c r="L213" s="796"/>
      <c r="M213" s="797"/>
      <c r="N213" s="797"/>
      <c r="O213" s="797"/>
      <c r="P213" s="797"/>
      <c r="Q213" s="797"/>
      <c r="R213" s="797"/>
      <c r="S213" s="797"/>
      <c r="T213" s="796"/>
    </row>
    <row r="214">
      <c r="A214" s="796"/>
      <c r="B214" s="796"/>
      <c r="C214" s="796"/>
      <c r="D214" s="796"/>
      <c r="E214" s="797"/>
      <c r="F214" s="796"/>
      <c r="G214" s="796"/>
      <c r="H214" s="796"/>
      <c r="I214" s="796"/>
      <c r="J214" s="797"/>
      <c r="K214" s="797"/>
      <c r="L214" s="796"/>
      <c r="M214" s="797"/>
      <c r="N214" s="797"/>
      <c r="O214" s="797"/>
      <c r="P214" s="797"/>
      <c r="Q214" s="797"/>
      <c r="R214" s="797"/>
      <c r="S214" s="797"/>
      <c r="T214" s="796"/>
    </row>
    <row r="215">
      <c r="A215" s="796"/>
      <c r="B215" s="796"/>
      <c r="C215" s="796"/>
      <c r="D215" s="796"/>
      <c r="E215" s="797"/>
      <c r="F215" s="796"/>
      <c r="G215" s="796"/>
      <c r="H215" s="796"/>
      <c r="I215" s="796"/>
      <c r="J215" s="797"/>
      <c r="K215" s="797"/>
      <c r="L215" s="796"/>
      <c r="M215" s="797"/>
      <c r="N215" s="797"/>
      <c r="O215" s="797"/>
      <c r="P215" s="797"/>
      <c r="Q215" s="797"/>
      <c r="R215" s="797"/>
      <c r="S215" s="797"/>
      <c r="T215" s="796"/>
    </row>
    <row r="216">
      <c r="A216" s="796"/>
      <c r="B216" s="796"/>
      <c r="C216" s="796"/>
      <c r="D216" s="796"/>
      <c r="E216" s="797"/>
      <c r="F216" s="796"/>
      <c r="G216" s="796"/>
      <c r="H216" s="796"/>
      <c r="I216" s="796"/>
      <c r="J216" s="797"/>
      <c r="K216" s="797"/>
      <c r="L216" s="796"/>
      <c r="M216" s="797"/>
      <c r="N216" s="797"/>
      <c r="O216" s="797"/>
      <c r="P216" s="797"/>
      <c r="Q216" s="797"/>
      <c r="R216" s="797"/>
      <c r="S216" s="797"/>
      <c r="T216" s="796"/>
    </row>
    <row r="217">
      <c r="A217" s="796"/>
      <c r="B217" s="796"/>
      <c r="C217" s="796"/>
      <c r="D217" s="796"/>
      <c r="E217" s="797"/>
      <c r="F217" s="796"/>
      <c r="G217" s="796"/>
      <c r="H217" s="796"/>
      <c r="I217" s="796"/>
      <c r="J217" s="797"/>
      <c r="K217" s="797"/>
      <c r="L217" s="796"/>
      <c r="M217" s="797"/>
      <c r="N217" s="797"/>
      <c r="O217" s="797"/>
      <c r="P217" s="797"/>
      <c r="Q217" s="797"/>
      <c r="R217" s="797"/>
      <c r="S217" s="797"/>
      <c r="T217" s="796"/>
    </row>
    <row r="218">
      <c r="A218" s="796"/>
      <c r="B218" s="796"/>
      <c r="C218" s="796"/>
      <c r="D218" s="796"/>
      <c r="E218" s="797"/>
      <c r="F218" s="796"/>
      <c r="G218" s="796"/>
      <c r="H218" s="796"/>
      <c r="I218" s="796"/>
      <c r="J218" s="797"/>
      <c r="K218" s="797"/>
      <c r="L218" s="796"/>
      <c r="M218" s="797"/>
      <c r="N218" s="797"/>
      <c r="O218" s="797"/>
      <c r="P218" s="797"/>
      <c r="Q218" s="797"/>
      <c r="R218" s="797"/>
      <c r="S218" s="797"/>
      <c r="T218" s="796"/>
    </row>
    <row r="219">
      <c r="A219" s="796"/>
      <c r="B219" s="796"/>
      <c r="C219" s="796"/>
      <c r="D219" s="796"/>
      <c r="E219" s="797"/>
      <c r="F219" s="796"/>
      <c r="G219" s="796"/>
      <c r="H219" s="796"/>
      <c r="I219" s="796"/>
      <c r="J219" s="797"/>
      <c r="K219" s="797"/>
      <c r="L219" s="796"/>
      <c r="M219" s="797"/>
      <c r="N219" s="797"/>
      <c r="O219" s="797"/>
      <c r="P219" s="797"/>
      <c r="Q219" s="797"/>
      <c r="R219" s="797"/>
      <c r="S219" s="797"/>
      <c r="T219" s="796"/>
    </row>
    <row r="220">
      <c r="A220" s="796"/>
      <c r="B220" s="796"/>
      <c r="C220" s="796"/>
      <c r="D220" s="796"/>
      <c r="E220" s="797"/>
      <c r="F220" s="796"/>
      <c r="G220" s="796"/>
      <c r="H220" s="796"/>
      <c r="I220" s="796"/>
      <c r="J220" s="797"/>
      <c r="K220" s="797"/>
      <c r="L220" s="796"/>
      <c r="M220" s="797"/>
      <c r="N220" s="797"/>
      <c r="O220" s="797"/>
      <c r="P220" s="797"/>
      <c r="Q220" s="797"/>
      <c r="R220" s="797"/>
      <c r="S220" s="797"/>
      <c r="T220" s="796"/>
    </row>
    <row r="221">
      <c r="A221" s="796"/>
      <c r="B221" s="796"/>
      <c r="C221" s="796"/>
      <c r="D221" s="796"/>
      <c r="E221" s="797"/>
      <c r="F221" s="796"/>
      <c r="G221" s="796"/>
      <c r="H221" s="796"/>
      <c r="I221" s="796"/>
      <c r="J221" s="797"/>
      <c r="K221" s="797"/>
      <c r="L221" s="796"/>
      <c r="M221" s="797"/>
      <c r="N221" s="797"/>
      <c r="O221" s="797"/>
      <c r="P221" s="797"/>
      <c r="Q221" s="797"/>
      <c r="R221" s="797"/>
      <c r="S221" s="797"/>
      <c r="T221" s="796"/>
    </row>
    <row r="222">
      <c r="A222" s="796"/>
      <c r="B222" s="796"/>
      <c r="C222" s="796"/>
      <c r="D222" s="796"/>
      <c r="E222" s="797"/>
      <c r="F222" s="796"/>
      <c r="G222" s="796"/>
      <c r="H222" s="796"/>
      <c r="I222" s="796"/>
      <c r="J222" s="797"/>
      <c r="K222" s="797"/>
      <c r="L222" s="796"/>
      <c r="M222" s="797"/>
      <c r="N222" s="797"/>
      <c r="O222" s="797"/>
      <c r="P222" s="797"/>
      <c r="Q222" s="797"/>
      <c r="R222" s="797"/>
      <c r="S222" s="797"/>
      <c r="T222" s="796"/>
    </row>
    <row r="223">
      <c r="A223" s="796"/>
      <c r="B223" s="796"/>
      <c r="C223" s="796"/>
      <c r="D223" s="796"/>
      <c r="E223" s="797"/>
      <c r="F223" s="796"/>
      <c r="G223" s="796"/>
      <c r="H223" s="796"/>
      <c r="I223" s="796"/>
      <c r="J223" s="797"/>
      <c r="K223" s="797"/>
      <c r="L223" s="796"/>
      <c r="M223" s="797"/>
      <c r="N223" s="797"/>
      <c r="O223" s="797"/>
      <c r="P223" s="797"/>
      <c r="Q223" s="797"/>
      <c r="R223" s="797"/>
      <c r="S223" s="797"/>
      <c r="T223" s="796"/>
    </row>
    <row r="224">
      <c r="A224" s="796"/>
      <c r="B224" s="796"/>
      <c r="C224" s="796"/>
      <c r="D224" s="796"/>
      <c r="E224" s="797"/>
      <c r="F224" s="796"/>
      <c r="G224" s="796"/>
      <c r="H224" s="796"/>
      <c r="I224" s="796"/>
      <c r="J224" s="797"/>
      <c r="K224" s="797"/>
      <c r="L224" s="796"/>
      <c r="M224" s="797"/>
      <c r="N224" s="797"/>
      <c r="O224" s="797"/>
      <c r="P224" s="797"/>
      <c r="Q224" s="797"/>
      <c r="R224" s="797"/>
      <c r="S224" s="797"/>
      <c r="T224" s="796"/>
    </row>
    <row r="225">
      <c r="A225" s="796"/>
      <c r="B225" s="796"/>
      <c r="C225" s="796"/>
      <c r="D225" s="796"/>
      <c r="E225" s="797"/>
      <c r="F225" s="796"/>
      <c r="G225" s="796"/>
      <c r="H225" s="796"/>
      <c r="I225" s="796"/>
      <c r="J225" s="797"/>
      <c r="K225" s="797"/>
      <c r="L225" s="796"/>
      <c r="M225" s="797"/>
      <c r="N225" s="797"/>
      <c r="O225" s="797"/>
      <c r="P225" s="797"/>
      <c r="Q225" s="797"/>
      <c r="R225" s="797"/>
      <c r="S225" s="797"/>
      <c r="T225" s="796"/>
    </row>
    <row r="226">
      <c r="A226" s="796"/>
      <c r="B226" s="796"/>
      <c r="C226" s="796"/>
      <c r="D226" s="796"/>
      <c r="E226" s="797"/>
      <c r="F226" s="796"/>
      <c r="G226" s="796"/>
      <c r="H226" s="796"/>
      <c r="I226" s="796"/>
      <c r="J226" s="797"/>
      <c r="K226" s="797"/>
      <c r="L226" s="796"/>
      <c r="M226" s="797"/>
      <c r="N226" s="797"/>
      <c r="O226" s="797"/>
      <c r="P226" s="797"/>
      <c r="Q226" s="797"/>
      <c r="R226" s="797"/>
      <c r="S226" s="797"/>
      <c r="T226" s="796"/>
    </row>
    <row r="227">
      <c r="A227" s="796"/>
      <c r="B227" s="796"/>
      <c r="C227" s="796"/>
      <c r="D227" s="796"/>
      <c r="E227" s="797"/>
      <c r="F227" s="796"/>
      <c r="G227" s="796"/>
      <c r="H227" s="796"/>
      <c r="I227" s="796"/>
      <c r="J227" s="797"/>
      <c r="K227" s="797"/>
      <c r="L227" s="796"/>
      <c r="M227" s="797"/>
      <c r="N227" s="797"/>
      <c r="O227" s="797"/>
      <c r="P227" s="797"/>
      <c r="Q227" s="797"/>
      <c r="R227" s="797"/>
      <c r="S227" s="797"/>
      <c r="T227" s="796"/>
    </row>
    <row r="228">
      <c r="A228" s="796"/>
      <c r="B228" s="796"/>
      <c r="C228" s="796"/>
      <c r="D228" s="796"/>
      <c r="E228" s="797"/>
      <c r="F228" s="796"/>
      <c r="G228" s="796"/>
      <c r="H228" s="796"/>
      <c r="I228" s="796"/>
      <c r="J228" s="797"/>
      <c r="K228" s="797"/>
      <c r="L228" s="796"/>
      <c r="M228" s="797"/>
      <c r="N228" s="797"/>
      <c r="O228" s="797"/>
      <c r="P228" s="797"/>
      <c r="Q228" s="797"/>
      <c r="R228" s="797"/>
      <c r="S228" s="797"/>
      <c r="T228" s="796"/>
    </row>
    <row r="229">
      <c r="A229" s="796"/>
      <c r="B229" s="796"/>
      <c r="C229" s="796"/>
      <c r="D229" s="796"/>
      <c r="E229" s="797"/>
      <c r="F229" s="796"/>
      <c r="G229" s="796"/>
      <c r="H229" s="796"/>
      <c r="I229" s="796"/>
      <c r="J229" s="797"/>
      <c r="K229" s="797"/>
      <c r="L229" s="796"/>
      <c r="M229" s="797"/>
      <c r="N229" s="797"/>
      <c r="O229" s="797"/>
      <c r="P229" s="797"/>
      <c r="Q229" s="797"/>
      <c r="R229" s="797"/>
      <c r="S229" s="797"/>
      <c r="T229" s="796"/>
    </row>
    <row r="230">
      <c r="A230" s="796"/>
      <c r="B230" s="796"/>
      <c r="C230" s="796"/>
      <c r="D230" s="796"/>
      <c r="E230" s="797"/>
      <c r="F230" s="796"/>
      <c r="G230" s="796"/>
      <c r="H230" s="796"/>
      <c r="I230" s="796"/>
      <c r="J230" s="797"/>
      <c r="K230" s="797"/>
      <c r="L230" s="796"/>
      <c r="M230" s="797"/>
      <c r="N230" s="797"/>
      <c r="O230" s="797"/>
      <c r="P230" s="797"/>
      <c r="Q230" s="797"/>
      <c r="R230" s="797"/>
      <c r="S230" s="797"/>
      <c r="T230" s="796"/>
    </row>
    <row r="231">
      <c r="A231" s="796"/>
      <c r="B231" s="796"/>
      <c r="C231" s="796"/>
      <c r="D231" s="796"/>
      <c r="E231" s="797"/>
      <c r="F231" s="796"/>
      <c r="G231" s="796"/>
      <c r="H231" s="796"/>
      <c r="I231" s="796"/>
      <c r="J231" s="797"/>
      <c r="K231" s="797"/>
      <c r="L231" s="796"/>
      <c r="M231" s="797"/>
      <c r="N231" s="797"/>
      <c r="O231" s="797"/>
      <c r="P231" s="797"/>
      <c r="Q231" s="797"/>
      <c r="R231" s="797"/>
      <c r="S231" s="797"/>
      <c r="T231" s="796"/>
    </row>
    <row r="232">
      <c r="A232" s="796"/>
      <c r="B232" s="796"/>
      <c r="C232" s="796"/>
      <c r="D232" s="796"/>
      <c r="E232" s="797"/>
      <c r="F232" s="796"/>
      <c r="G232" s="796"/>
      <c r="H232" s="796"/>
      <c r="I232" s="796"/>
      <c r="J232" s="797"/>
      <c r="K232" s="797"/>
      <c r="L232" s="796"/>
      <c r="M232" s="797"/>
      <c r="N232" s="797"/>
      <c r="O232" s="797"/>
      <c r="P232" s="797"/>
      <c r="Q232" s="797"/>
      <c r="R232" s="797"/>
      <c r="S232" s="797"/>
      <c r="T232" s="796"/>
    </row>
    <row r="233">
      <c r="A233" s="796"/>
      <c r="B233" s="796"/>
      <c r="C233" s="796"/>
      <c r="D233" s="796"/>
      <c r="E233" s="797"/>
      <c r="F233" s="796"/>
      <c r="G233" s="796"/>
      <c r="H233" s="796"/>
      <c r="I233" s="796"/>
      <c r="J233" s="797"/>
      <c r="K233" s="797"/>
      <c r="L233" s="796"/>
      <c r="M233" s="797"/>
      <c r="N233" s="797"/>
      <c r="O233" s="797"/>
      <c r="P233" s="797"/>
      <c r="Q233" s="797"/>
      <c r="R233" s="797"/>
      <c r="S233" s="797"/>
      <c r="T233" s="796"/>
    </row>
    <row r="234">
      <c r="A234" s="796"/>
      <c r="B234" s="796"/>
      <c r="C234" s="796"/>
      <c r="D234" s="796"/>
      <c r="E234" s="797"/>
      <c r="F234" s="796"/>
      <c r="G234" s="796"/>
      <c r="H234" s="796"/>
      <c r="I234" s="796"/>
      <c r="J234" s="797"/>
      <c r="K234" s="797"/>
      <c r="L234" s="796"/>
      <c r="M234" s="797"/>
      <c r="N234" s="797"/>
      <c r="O234" s="797"/>
      <c r="P234" s="797"/>
      <c r="Q234" s="797"/>
      <c r="R234" s="797"/>
      <c r="S234" s="797"/>
      <c r="T234" s="796"/>
    </row>
    <row r="235">
      <c r="A235" s="796"/>
      <c r="B235" s="796"/>
      <c r="C235" s="796"/>
      <c r="D235" s="796"/>
      <c r="E235" s="797"/>
      <c r="F235" s="796"/>
      <c r="G235" s="796"/>
      <c r="H235" s="796"/>
      <c r="I235" s="796"/>
      <c r="J235" s="797"/>
      <c r="K235" s="797"/>
      <c r="L235" s="796"/>
      <c r="M235" s="797"/>
      <c r="N235" s="797"/>
      <c r="O235" s="797"/>
      <c r="P235" s="797"/>
      <c r="Q235" s="797"/>
      <c r="R235" s="797"/>
      <c r="S235" s="797"/>
      <c r="T235" s="796"/>
    </row>
    <row r="236">
      <c r="A236" s="796"/>
      <c r="B236" s="796"/>
      <c r="C236" s="796"/>
      <c r="D236" s="796"/>
      <c r="E236" s="797"/>
      <c r="F236" s="796"/>
      <c r="G236" s="796"/>
      <c r="H236" s="796"/>
      <c r="I236" s="796"/>
      <c r="J236" s="797"/>
      <c r="K236" s="797"/>
      <c r="L236" s="796"/>
      <c r="M236" s="797"/>
      <c r="N236" s="797"/>
      <c r="O236" s="797"/>
      <c r="P236" s="797"/>
      <c r="Q236" s="797"/>
      <c r="R236" s="797"/>
      <c r="S236" s="797"/>
      <c r="T236" s="796"/>
    </row>
    <row r="237">
      <c r="A237" s="796"/>
      <c r="B237" s="796"/>
      <c r="C237" s="796"/>
      <c r="D237" s="796"/>
      <c r="E237" s="797"/>
      <c r="F237" s="796"/>
      <c r="G237" s="796"/>
      <c r="H237" s="796"/>
      <c r="I237" s="796"/>
      <c r="J237" s="797"/>
      <c r="K237" s="797"/>
      <c r="L237" s="796"/>
      <c r="M237" s="797"/>
      <c r="N237" s="797"/>
      <c r="O237" s="797"/>
      <c r="P237" s="797"/>
      <c r="Q237" s="797"/>
      <c r="R237" s="797"/>
      <c r="S237" s="797"/>
      <c r="T237" s="796"/>
    </row>
    <row r="238">
      <c r="A238" s="796"/>
      <c r="B238" s="796"/>
      <c r="C238" s="796"/>
      <c r="D238" s="796"/>
      <c r="E238" s="797"/>
      <c r="F238" s="796"/>
      <c r="G238" s="796"/>
      <c r="H238" s="796"/>
      <c r="I238" s="796"/>
      <c r="J238" s="797"/>
      <c r="K238" s="797"/>
      <c r="L238" s="796"/>
      <c r="M238" s="797"/>
      <c r="N238" s="797"/>
      <c r="O238" s="797"/>
      <c r="P238" s="797"/>
      <c r="Q238" s="797"/>
      <c r="R238" s="797"/>
      <c r="S238" s="797"/>
      <c r="T238" s="796"/>
    </row>
    <row r="239">
      <c r="A239" s="796"/>
      <c r="B239" s="796"/>
      <c r="C239" s="796"/>
      <c r="D239" s="796"/>
      <c r="E239" s="797"/>
      <c r="F239" s="796"/>
      <c r="G239" s="796"/>
      <c r="H239" s="796"/>
      <c r="I239" s="796"/>
      <c r="J239" s="797"/>
      <c r="K239" s="797"/>
      <c r="L239" s="796"/>
      <c r="M239" s="797"/>
      <c r="N239" s="797"/>
      <c r="O239" s="797"/>
      <c r="P239" s="797"/>
      <c r="Q239" s="797"/>
      <c r="R239" s="797"/>
      <c r="S239" s="797"/>
      <c r="T239" s="796"/>
    </row>
    <row r="240">
      <c r="A240" s="796"/>
      <c r="B240" s="796"/>
      <c r="C240" s="796"/>
      <c r="D240" s="796"/>
      <c r="E240" s="797"/>
      <c r="F240" s="796"/>
      <c r="G240" s="796"/>
      <c r="H240" s="796"/>
      <c r="I240" s="796"/>
      <c r="J240" s="797"/>
      <c r="K240" s="797"/>
      <c r="L240" s="796"/>
      <c r="M240" s="797"/>
      <c r="N240" s="797"/>
      <c r="O240" s="797"/>
      <c r="P240" s="797"/>
      <c r="Q240" s="797"/>
      <c r="R240" s="797"/>
      <c r="S240" s="797"/>
      <c r="T240" s="796"/>
    </row>
    <row r="241">
      <c r="A241" s="796"/>
      <c r="B241" s="796"/>
      <c r="C241" s="796"/>
      <c r="D241" s="796"/>
      <c r="E241" s="797"/>
      <c r="F241" s="796"/>
      <c r="G241" s="796"/>
      <c r="H241" s="796"/>
      <c r="I241" s="796"/>
      <c r="J241" s="797"/>
      <c r="K241" s="797"/>
      <c r="L241" s="796"/>
      <c r="M241" s="797"/>
      <c r="N241" s="797"/>
      <c r="O241" s="797"/>
      <c r="P241" s="797"/>
      <c r="Q241" s="797"/>
      <c r="R241" s="797"/>
      <c r="S241" s="797"/>
      <c r="T241" s="796"/>
    </row>
    <row r="242">
      <c r="A242" s="796"/>
      <c r="B242" s="796"/>
      <c r="C242" s="796"/>
      <c r="D242" s="796"/>
      <c r="E242" s="797"/>
      <c r="F242" s="796"/>
      <c r="G242" s="796"/>
      <c r="H242" s="796"/>
      <c r="I242" s="796"/>
      <c r="J242" s="797"/>
      <c r="K242" s="797"/>
      <c r="L242" s="796"/>
      <c r="M242" s="797"/>
      <c r="N242" s="797"/>
      <c r="O242" s="797"/>
      <c r="P242" s="797"/>
      <c r="Q242" s="797"/>
      <c r="R242" s="797"/>
      <c r="S242" s="797"/>
      <c r="T242" s="796"/>
    </row>
    <row r="243">
      <c r="A243" s="796"/>
      <c r="B243" s="796"/>
      <c r="C243" s="796"/>
      <c r="D243" s="796"/>
      <c r="E243" s="797"/>
      <c r="F243" s="796"/>
      <c r="G243" s="796"/>
      <c r="H243" s="796"/>
      <c r="I243" s="796"/>
      <c r="J243" s="797"/>
      <c r="K243" s="797"/>
      <c r="L243" s="796"/>
      <c r="M243" s="797"/>
      <c r="N243" s="797"/>
      <c r="O243" s="797"/>
      <c r="P243" s="797"/>
      <c r="Q243" s="797"/>
      <c r="R243" s="797"/>
      <c r="S243" s="797"/>
      <c r="T243" s="796"/>
    </row>
    <row r="244">
      <c r="A244" s="796"/>
      <c r="B244" s="796"/>
      <c r="C244" s="796"/>
      <c r="D244" s="796"/>
      <c r="E244" s="797"/>
      <c r="F244" s="796"/>
      <c r="G244" s="796"/>
      <c r="H244" s="796"/>
      <c r="I244" s="796"/>
      <c r="J244" s="797"/>
      <c r="K244" s="797"/>
      <c r="L244" s="796"/>
      <c r="M244" s="797"/>
      <c r="N244" s="797"/>
      <c r="O244" s="797"/>
      <c r="P244" s="797"/>
      <c r="Q244" s="797"/>
      <c r="R244" s="797"/>
      <c r="S244" s="797"/>
      <c r="T244" s="796"/>
    </row>
    <row r="245">
      <c r="A245" s="796"/>
      <c r="B245" s="796"/>
      <c r="C245" s="796"/>
      <c r="D245" s="796"/>
      <c r="E245" s="797"/>
      <c r="F245" s="796"/>
      <c r="G245" s="796"/>
      <c r="H245" s="796"/>
      <c r="I245" s="796"/>
      <c r="J245" s="797"/>
      <c r="K245" s="797"/>
      <c r="L245" s="796"/>
      <c r="M245" s="797"/>
      <c r="N245" s="797"/>
      <c r="O245" s="797"/>
      <c r="P245" s="797"/>
      <c r="Q245" s="797"/>
      <c r="R245" s="797"/>
      <c r="S245" s="797"/>
      <c r="T245" s="796"/>
    </row>
    <row r="246">
      <c r="A246" s="796"/>
      <c r="B246" s="796"/>
      <c r="C246" s="796"/>
      <c r="D246" s="796"/>
      <c r="E246" s="797"/>
      <c r="F246" s="796"/>
      <c r="G246" s="796"/>
      <c r="H246" s="796"/>
      <c r="I246" s="796"/>
      <c r="J246" s="797"/>
      <c r="K246" s="797"/>
      <c r="L246" s="796"/>
      <c r="M246" s="797"/>
      <c r="N246" s="797"/>
      <c r="O246" s="797"/>
      <c r="P246" s="797"/>
      <c r="Q246" s="797"/>
      <c r="R246" s="797"/>
      <c r="S246" s="797"/>
      <c r="T246" s="796"/>
    </row>
    <row r="247">
      <c r="A247" s="796"/>
      <c r="B247" s="796"/>
      <c r="C247" s="796"/>
      <c r="D247" s="796"/>
      <c r="E247" s="797"/>
      <c r="F247" s="796"/>
      <c r="G247" s="796"/>
      <c r="H247" s="796"/>
      <c r="I247" s="796"/>
      <c r="J247" s="797"/>
      <c r="K247" s="797"/>
      <c r="L247" s="796"/>
      <c r="M247" s="797"/>
      <c r="N247" s="797"/>
      <c r="O247" s="797"/>
      <c r="P247" s="797"/>
      <c r="Q247" s="797"/>
      <c r="R247" s="797"/>
      <c r="S247" s="797"/>
      <c r="T247" s="796"/>
    </row>
    <row r="248">
      <c r="A248" s="796"/>
      <c r="B248" s="796"/>
      <c r="C248" s="796"/>
      <c r="D248" s="796"/>
      <c r="E248" s="797"/>
      <c r="F248" s="796"/>
      <c r="G248" s="796"/>
      <c r="H248" s="796"/>
      <c r="I248" s="796"/>
      <c r="J248" s="797"/>
      <c r="K248" s="797"/>
      <c r="L248" s="796"/>
      <c r="M248" s="797"/>
      <c r="N248" s="797"/>
      <c r="O248" s="797"/>
      <c r="P248" s="797"/>
      <c r="Q248" s="797"/>
      <c r="R248" s="797"/>
      <c r="S248" s="797"/>
      <c r="T248" s="796"/>
    </row>
    <row r="249">
      <c r="A249" s="796"/>
      <c r="B249" s="796"/>
      <c r="C249" s="796"/>
      <c r="D249" s="796"/>
      <c r="E249" s="797"/>
      <c r="F249" s="796"/>
      <c r="G249" s="796"/>
      <c r="H249" s="796"/>
      <c r="I249" s="796"/>
      <c r="J249" s="797"/>
      <c r="K249" s="797"/>
      <c r="L249" s="796"/>
      <c r="M249" s="797"/>
      <c r="N249" s="797"/>
      <c r="O249" s="797"/>
      <c r="P249" s="797"/>
      <c r="Q249" s="797"/>
      <c r="R249" s="797"/>
      <c r="S249" s="797"/>
      <c r="T249" s="796"/>
    </row>
    <row r="250">
      <c r="A250" s="796"/>
      <c r="B250" s="796"/>
      <c r="C250" s="796"/>
      <c r="D250" s="796"/>
      <c r="E250" s="797"/>
      <c r="F250" s="796"/>
      <c r="G250" s="796"/>
      <c r="H250" s="796"/>
      <c r="I250" s="796"/>
      <c r="J250" s="797"/>
      <c r="K250" s="797"/>
      <c r="L250" s="796"/>
      <c r="M250" s="797"/>
      <c r="N250" s="797"/>
      <c r="O250" s="797"/>
      <c r="P250" s="797"/>
      <c r="Q250" s="797"/>
      <c r="R250" s="797"/>
      <c r="S250" s="797"/>
      <c r="T250" s="796"/>
    </row>
    <row r="251">
      <c r="A251" s="796"/>
      <c r="B251" s="796"/>
      <c r="C251" s="796"/>
      <c r="D251" s="796"/>
      <c r="E251" s="797"/>
      <c r="F251" s="796"/>
      <c r="G251" s="796"/>
      <c r="H251" s="796"/>
      <c r="I251" s="796"/>
      <c r="J251" s="797"/>
      <c r="K251" s="797"/>
      <c r="L251" s="796"/>
      <c r="M251" s="797"/>
      <c r="N251" s="797"/>
      <c r="O251" s="797"/>
      <c r="P251" s="797"/>
      <c r="Q251" s="797"/>
      <c r="R251" s="797"/>
      <c r="S251" s="797"/>
      <c r="T251" s="796"/>
    </row>
    <row r="252">
      <c r="A252" s="796"/>
      <c r="B252" s="796"/>
      <c r="C252" s="796"/>
      <c r="D252" s="796"/>
      <c r="E252" s="797"/>
      <c r="F252" s="796"/>
      <c r="G252" s="796"/>
      <c r="H252" s="796"/>
      <c r="I252" s="796"/>
      <c r="J252" s="797"/>
      <c r="K252" s="797"/>
      <c r="L252" s="796"/>
      <c r="M252" s="797"/>
      <c r="N252" s="797"/>
      <c r="O252" s="797"/>
      <c r="P252" s="797"/>
      <c r="Q252" s="797"/>
      <c r="R252" s="797"/>
      <c r="S252" s="797"/>
      <c r="T252" s="796"/>
    </row>
    <row r="253">
      <c r="A253" s="796"/>
      <c r="B253" s="796"/>
      <c r="C253" s="796"/>
      <c r="D253" s="796"/>
      <c r="E253" s="797"/>
      <c r="F253" s="796"/>
      <c r="G253" s="796"/>
      <c r="H253" s="796"/>
      <c r="I253" s="796"/>
      <c r="J253" s="797"/>
      <c r="K253" s="797"/>
      <c r="L253" s="796"/>
      <c r="M253" s="797"/>
      <c r="N253" s="797"/>
      <c r="O253" s="797"/>
      <c r="P253" s="797"/>
      <c r="Q253" s="797"/>
      <c r="R253" s="797"/>
      <c r="S253" s="797"/>
      <c r="T253" s="796"/>
    </row>
    <row r="254">
      <c r="A254" s="796"/>
      <c r="B254" s="796"/>
      <c r="C254" s="796"/>
      <c r="D254" s="796"/>
      <c r="E254" s="797"/>
      <c r="F254" s="796"/>
      <c r="G254" s="796"/>
      <c r="H254" s="796"/>
      <c r="I254" s="796"/>
      <c r="J254" s="797"/>
      <c r="K254" s="797"/>
      <c r="L254" s="796"/>
      <c r="M254" s="797"/>
      <c r="N254" s="797"/>
      <c r="O254" s="797"/>
      <c r="P254" s="797"/>
      <c r="Q254" s="797"/>
      <c r="R254" s="797"/>
      <c r="S254" s="797"/>
      <c r="T254" s="796"/>
    </row>
    <row r="255">
      <c r="A255" s="796"/>
      <c r="B255" s="796"/>
      <c r="C255" s="796"/>
      <c r="D255" s="796"/>
      <c r="E255" s="797"/>
      <c r="F255" s="796"/>
      <c r="G255" s="796"/>
      <c r="H255" s="796"/>
      <c r="I255" s="796"/>
      <c r="J255" s="797"/>
      <c r="K255" s="797"/>
      <c r="L255" s="796"/>
      <c r="M255" s="797"/>
      <c r="N255" s="797"/>
      <c r="O255" s="797"/>
      <c r="P255" s="797"/>
      <c r="Q255" s="797"/>
      <c r="R255" s="797"/>
      <c r="S255" s="797"/>
      <c r="T255" s="796"/>
    </row>
    <row r="256">
      <c r="A256" s="796"/>
      <c r="B256" s="796"/>
      <c r="C256" s="796"/>
      <c r="D256" s="796"/>
      <c r="E256" s="797"/>
      <c r="F256" s="796"/>
      <c r="G256" s="796"/>
      <c r="H256" s="796"/>
      <c r="I256" s="796"/>
      <c r="J256" s="797"/>
      <c r="K256" s="797"/>
      <c r="L256" s="796"/>
      <c r="M256" s="797"/>
      <c r="N256" s="797"/>
      <c r="O256" s="797"/>
      <c r="P256" s="797"/>
      <c r="Q256" s="797"/>
      <c r="R256" s="797"/>
      <c r="S256" s="797"/>
      <c r="T256" s="796"/>
    </row>
    <row r="257">
      <c r="A257" s="796"/>
      <c r="B257" s="796"/>
      <c r="C257" s="796"/>
      <c r="D257" s="796"/>
      <c r="E257" s="797"/>
      <c r="F257" s="796"/>
      <c r="G257" s="796"/>
      <c r="H257" s="796"/>
      <c r="I257" s="796"/>
      <c r="J257" s="797"/>
      <c r="K257" s="797"/>
      <c r="L257" s="796"/>
      <c r="M257" s="797"/>
      <c r="N257" s="797"/>
      <c r="O257" s="797"/>
      <c r="P257" s="797"/>
      <c r="Q257" s="797"/>
      <c r="R257" s="797"/>
      <c r="S257" s="797"/>
      <c r="T257" s="796"/>
    </row>
    <row r="258">
      <c r="A258" s="796"/>
      <c r="B258" s="796"/>
      <c r="C258" s="796"/>
      <c r="D258" s="796"/>
      <c r="E258" s="797"/>
      <c r="F258" s="796"/>
      <c r="G258" s="796"/>
      <c r="H258" s="796"/>
      <c r="I258" s="796"/>
      <c r="J258" s="797"/>
      <c r="K258" s="797"/>
      <c r="L258" s="796"/>
      <c r="M258" s="797"/>
      <c r="N258" s="797"/>
      <c r="O258" s="797"/>
      <c r="P258" s="797"/>
      <c r="Q258" s="797"/>
      <c r="R258" s="797"/>
      <c r="S258" s="797"/>
      <c r="T258" s="796"/>
    </row>
    <row r="259">
      <c r="A259" s="796"/>
      <c r="B259" s="796"/>
      <c r="C259" s="796"/>
      <c r="D259" s="796"/>
      <c r="E259" s="797"/>
      <c r="F259" s="796"/>
      <c r="G259" s="796"/>
      <c r="H259" s="796"/>
      <c r="I259" s="796"/>
      <c r="J259" s="797"/>
      <c r="K259" s="797"/>
      <c r="L259" s="796"/>
      <c r="M259" s="797"/>
      <c r="N259" s="797"/>
      <c r="O259" s="797"/>
      <c r="P259" s="797"/>
      <c r="Q259" s="797"/>
      <c r="R259" s="797"/>
      <c r="S259" s="797"/>
      <c r="T259" s="796"/>
    </row>
    <row r="260">
      <c r="A260" s="796"/>
      <c r="B260" s="796"/>
      <c r="C260" s="796"/>
      <c r="D260" s="796"/>
      <c r="E260" s="797"/>
      <c r="F260" s="796"/>
      <c r="G260" s="796"/>
      <c r="H260" s="796"/>
      <c r="I260" s="796"/>
      <c r="J260" s="797"/>
      <c r="K260" s="797"/>
      <c r="L260" s="796"/>
      <c r="M260" s="797"/>
      <c r="N260" s="797"/>
      <c r="O260" s="797"/>
      <c r="P260" s="797"/>
      <c r="Q260" s="797"/>
      <c r="R260" s="797"/>
      <c r="S260" s="797"/>
      <c r="T260" s="796"/>
    </row>
    <row r="261">
      <c r="A261" s="796"/>
      <c r="B261" s="796"/>
      <c r="C261" s="796"/>
      <c r="D261" s="796"/>
      <c r="E261" s="797"/>
      <c r="F261" s="796"/>
      <c r="G261" s="796"/>
      <c r="H261" s="796"/>
      <c r="I261" s="796"/>
      <c r="J261" s="797"/>
      <c r="K261" s="797"/>
      <c r="L261" s="796"/>
      <c r="M261" s="797"/>
      <c r="N261" s="797"/>
      <c r="O261" s="797"/>
      <c r="P261" s="797"/>
      <c r="Q261" s="797"/>
      <c r="R261" s="797"/>
      <c r="S261" s="797"/>
      <c r="T261" s="796"/>
    </row>
    <row r="262">
      <c r="A262" s="796"/>
      <c r="B262" s="796"/>
      <c r="C262" s="796"/>
      <c r="D262" s="796"/>
      <c r="E262" s="797"/>
      <c r="F262" s="796"/>
      <c r="G262" s="796"/>
      <c r="H262" s="796"/>
      <c r="I262" s="796"/>
      <c r="J262" s="797"/>
      <c r="K262" s="797"/>
      <c r="L262" s="796"/>
      <c r="M262" s="797"/>
      <c r="N262" s="797"/>
      <c r="O262" s="797"/>
      <c r="P262" s="797"/>
      <c r="Q262" s="797"/>
      <c r="R262" s="797"/>
      <c r="S262" s="797"/>
      <c r="T262" s="796"/>
    </row>
    <row r="263">
      <c r="A263" s="796"/>
      <c r="B263" s="796"/>
      <c r="C263" s="796"/>
      <c r="D263" s="796"/>
      <c r="E263" s="797"/>
      <c r="F263" s="796"/>
      <c r="G263" s="796"/>
      <c r="H263" s="796"/>
      <c r="I263" s="796"/>
      <c r="J263" s="797"/>
      <c r="K263" s="797"/>
      <c r="L263" s="796"/>
      <c r="M263" s="797"/>
      <c r="N263" s="797"/>
      <c r="O263" s="797"/>
      <c r="P263" s="797"/>
      <c r="Q263" s="797"/>
      <c r="R263" s="797"/>
      <c r="S263" s="797"/>
      <c r="T263" s="796"/>
    </row>
    <row r="264">
      <c r="A264" s="796"/>
      <c r="B264" s="796"/>
      <c r="C264" s="796"/>
      <c r="D264" s="796"/>
      <c r="E264" s="797"/>
      <c r="F264" s="796"/>
      <c r="G264" s="796"/>
      <c r="H264" s="796"/>
      <c r="I264" s="796"/>
      <c r="J264" s="797"/>
      <c r="K264" s="797"/>
      <c r="L264" s="796"/>
      <c r="M264" s="797"/>
      <c r="N264" s="797"/>
      <c r="O264" s="797"/>
      <c r="P264" s="797"/>
      <c r="Q264" s="797"/>
      <c r="R264" s="797"/>
      <c r="S264" s="797"/>
      <c r="T264" s="796"/>
    </row>
    <row r="265">
      <c r="A265" s="796"/>
      <c r="B265" s="796"/>
      <c r="C265" s="796"/>
      <c r="D265" s="796"/>
      <c r="E265" s="797"/>
      <c r="F265" s="796"/>
      <c r="G265" s="796"/>
      <c r="H265" s="796"/>
      <c r="I265" s="796"/>
      <c r="J265" s="797"/>
      <c r="K265" s="797"/>
      <c r="L265" s="796"/>
      <c r="M265" s="797"/>
      <c r="N265" s="797"/>
      <c r="O265" s="797"/>
      <c r="P265" s="797"/>
      <c r="Q265" s="797"/>
      <c r="R265" s="797"/>
      <c r="S265" s="797"/>
      <c r="T265" s="796"/>
    </row>
    <row r="266">
      <c r="A266" s="796"/>
      <c r="B266" s="796"/>
      <c r="C266" s="796"/>
      <c r="D266" s="796"/>
      <c r="E266" s="797"/>
      <c r="F266" s="796"/>
      <c r="G266" s="796"/>
      <c r="H266" s="796"/>
      <c r="I266" s="796"/>
      <c r="J266" s="797"/>
      <c r="K266" s="797"/>
      <c r="L266" s="796"/>
      <c r="M266" s="797"/>
      <c r="N266" s="797"/>
      <c r="O266" s="797"/>
      <c r="P266" s="797"/>
      <c r="Q266" s="797"/>
      <c r="R266" s="797"/>
      <c r="S266" s="797"/>
      <c r="T266" s="796"/>
    </row>
    <row r="267">
      <c r="A267" s="796"/>
      <c r="B267" s="796"/>
      <c r="C267" s="796"/>
      <c r="D267" s="796"/>
      <c r="E267" s="797"/>
      <c r="F267" s="796"/>
      <c r="G267" s="796"/>
      <c r="H267" s="796"/>
      <c r="I267" s="796"/>
      <c r="J267" s="797"/>
      <c r="K267" s="797"/>
      <c r="L267" s="796"/>
      <c r="M267" s="797"/>
      <c r="N267" s="797"/>
      <c r="O267" s="797"/>
      <c r="P267" s="797"/>
      <c r="Q267" s="797"/>
      <c r="R267" s="797"/>
      <c r="S267" s="797"/>
      <c r="T267" s="796"/>
    </row>
    <row r="268">
      <c r="A268" s="796"/>
      <c r="B268" s="796"/>
      <c r="C268" s="796"/>
      <c r="D268" s="796"/>
      <c r="E268" s="797"/>
      <c r="F268" s="796"/>
      <c r="G268" s="796"/>
      <c r="H268" s="796"/>
      <c r="I268" s="796"/>
      <c r="J268" s="797"/>
      <c r="K268" s="797"/>
      <c r="L268" s="796"/>
      <c r="M268" s="797"/>
      <c r="N268" s="797"/>
      <c r="O268" s="797"/>
      <c r="P268" s="797"/>
      <c r="Q268" s="797"/>
      <c r="R268" s="797"/>
      <c r="S268" s="797"/>
      <c r="T268" s="796"/>
    </row>
    <row r="269">
      <c r="A269" s="796"/>
      <c r="B269" s="796"/>
      <c r="C269" s="796"/>
      <c r="D269" s="796"/>
      <c r="E269" s="797"/>
      <c r="F269" s="796"/>
      <c r="G269" s="796"/>
      <c r="H269" s="796"/>
      <c r="I269" s="796"/>
      <c r="J269" s="797"/>
      <c r="K269" s="797"/>
      <c r="L269" s="796"/>
      <c r="M269" s="797"/>
      <c r="N269" s="797"/>
      <c r="O269" s="797"/>
      <c r="P269" s="797"/>
      <c r="Q269" s="797"/>
      <c r="R269" s="797"/>
      <c r="S269" s="797"/>
      <c r="T269" s="796"/>
    </row>
    <row r="270">
      <c r="A270" s="796"/>
      <c r="B270" s="796"/>
      <c r="C270" s="796"/>
      <c r="D270" s="796"/>
      <c r="E270" s="797"/>
      <c r="F270" s="796"/>
      <c r="G270" s="796"/>
      <c r="H270" s="796"/>
      <c r="I270" s="796"/>
      <c r="J270" s="797"/>
      <c r="K270" s="797"/>
      <c r="L270" s="796"/>
      <c r="M270" s="797"/>
      <c r="N270" s="797"/>
      <c r="O270" s="797"/>
      <c r="P270" s="797"/>
      <c r="Q270" s="797"/>
      <c r="R270" s="797"/>
      <c r="S270" s="797"/>
      <c r="T270" s="796"/>
    </row>
    <row r="271">
      <c r="A271" s="796"/>
      <c r="B271" s="796"/>
      <c r="C271" s="796"/>
      <c r="D271" s="796"/>
      <c r="E271" s="797"/>
      <c r="F271" s="796"/>
      <c r="G271" s="796"/>
      <c r="H271" s="796"/>
      <c r="I271" s="796"/>
      <c r="J271" s="797"/>
      <c r="K271" s="797"/>
      <c r="L271" s="796"/>
      <c r="M271" s="797"/>
      <c r="N271" s="797"/>
      <c r="O271" s="797"/>
      <c r="P271" s="797"/>
      <c r="Q271" s="797"/>
      <c r="R271" s="797"/>
      <c r="S271" s="797"/>
      <c r="T271" s="796"/>
    </row>
    <row r="272">
      <c r="A272" s="796"/>
      <c r="B272" s="796"/>
      <c r="C272" s="796"/>
      <c r="D272" s="796"/>
      <c r="E272" s="797"/>
      <c r="F272" s="796"/>
      <c r="G272" s="796"/>
      <c r="H272" s="796"/>
      <c r="I272" s="796"/>
      <c r="J272" s="797"/>
      <c r="K272" s="797"/>
      <c r="L272" s="796"/>
      <c r="M272" s="797"/>
      <c r="N272" s="797"/>
      <c r="O272" s="797"/>
      <c r="P272" s="797"/>
      <c r="Q272" s="797"/>
      <c r="R272" s="797"/>
      <c r="S272" s="797"/>
      <c r="T272" s="796"/>
    </row>
    <row r="273">
      <c r="A273" s="796"/>
      <c r="B273" s="796"/>
      <c r="C273" s="796"/>
      <c r="D273" s="796"/>
      <c r="E273" s="797"/>
      <c r="F273" s="796"/>
      <c r="G273" s="796"/>
      <c r="H273" s="796"/>
      <c r="I273" s="796"/>
      <c r="J273" s="797"/>
      <c r="K273" s="797"/>
      <c r="L273" s="796"/>
      <c r="M273" s="797"/>
      <c r="N273" s="797"/>
      <c r="O273" s="797"/>
      <c r="P273" s="797"/>
      <c r="Q273" s="797"/>
      <c r="R273" s="797"/>
      <c r="S273" s="797"/>
      <c r="T273" s="796"/>
    </row>
    <row r="274">
      <c r="A274" s="796"/>
      <c r="B274" s="796"/>
      <c r="C274" s="796"/>
      <c r="D274" s="796"/>
      <c r="E274" s="797"/>
      <c r="F274" s="796"/>
      <c r="G274" s="796"/>
      <c r="H274" s="796"/>
      <c r="I274" s="796"/>
      <c r="J274" s="797"/>
      <c r="K274" s="797"/>
      <c r="L274" s="796"/>
      <c r="M274" s="797"/>
      <c r="N274" s="797"/>
      <c r="O274" s="797"/>
      <c r="P274" s="797"/>
      <c r="Q274" s="797"/>
      <c r="R274" s="797"/>
      <c r="S274" s="797"/>
      <c r="T274" s="796"/>
    </row>
    <row r="275">
      <c r="A275" s="796"/>
      <c r="B275" s="796"/>
      <c r="C275" s="796"/>
      <c r="D275" s="796"/>
      <c r="E275" s="797"/>
      <c r="F275" s="796"/>
      <c r="G275" s="796"/>
      <c r="H275" s="796"/>
      <c r="I275" s="796"/>
      <c r="J275" s="797"/>
      <c r="K275" s="797"/>
      <c r="L275" s="796"/>
      <c r="M275" s="797"/>
      <c r="N275" s="797"/>
      <c r="O275" s="797"/>
      <c r="P275" s="797"/>
      <c r="Q275" s="797"/>
      <c r="R275" s="797"/>
      <c r="S275" s="797"/>
      <c r="T275" s="796"/>
    </row>
    <row r="276">
      <c r="A276" s="796"/>
      <c r="B276" s="796"/>
      <c r="C276" s="796"/>
      <c r="D276" s="796"/>
      <c r="E276" s="797"/>
      <c r="F276" s="796"/>
      <c r="G276" s="796"/>
      <c r="H276" s="796"/>
      <c r="I276" s="796"/>
      <c r="J276" s="797"/>
      <c r="K276" s="797"/>
      <c r="L276" s="796"/>
      <c r="M276" s="797"/>
      <c r="N276" s="797"/>
      <c r="O276" s="797"/>
      <c r="P276" s="797"/>
      <c r="Q276" s="797"/>
      <c r="R276" s="797"/>
      <c r="S276" s="797"/>
      <c r="T276" s="796"/>
    </row>
    <row r="277">
      <c r="A277" s="796"/>
      <c r="B277" s="796"/>
      <c r="C277" s="796"/>
      <c r="D277" s="796"/>
      <c r="E277" s="797"/>
      <c r="F277" s="796"/>
      <c r="G277" s="796"/>
      <c r="H277" s="796"/>
      <c r="I277" s="796"/>
      <c r="J277" s="797"/>
      <c r="K277" s="797"/>
      <c r="L277" s="796"/>
      <c r="M277" s="797"/>
      <c r="N277" s="797"/>
      <c r="O277" s="797"/>
      <c r="P277" s="797"/>
      <c r="Q277" s="797"/>
      <c r="R277" s="797"/>
      <c r="S277" s="797"/>
      <c r="T277" s="796"/>
    </row>
    <row r="278">
      <c r="A278" s="796"/>
      <c r="B278" s="796"/>
      <c r="C278" s="796"/>
      <c r="D278" s="796"/>
      <c r="E278" s="797"/>
      <c r="F278" s="796"/>
      <c r="G278" s="796"/>
      <c r="H278" s="796"/>
      <c r="I278" s="796"/>
      <c r="J278" s="797"/>
      <c r="K278" s="797"/>
      <c r="L278" s="796"/>
      <c r="M278" s="797"/>
      <c r="N278" s="797"/>
      <c r="O278" s="797"/>
      <c r="P278" s="797"/>
      <c r="Q278" s="797"/>
      <c r="R278" s="797"/>
      <c r="S278" s="797"/>
      <c r="T278" s="796"/>
    </row>
    <row r="279">
      <c r="A279" s="796"/>
      <c r="B279" s="796"/>
      <c r="C279" s="796"/>
      <c r="D279" s="796"/>
      <c r="E279" s="797"/>
      <c r="F279" s="796"/>
      <c r="G279" s="796"/>
      <c r="H279" s="796"/>
      <c r="I279" s="796"/>
      <c r="J279" s="797"/>
      <c r="K279" s="797"/>
      <c r="L279" s="796"/>
      <c r="M279" s="797"/>
      <c r="N279" s="797"/>
      <c r="O279" s="797"/>
      <c r="P279" s="797"/>
      <c r="Q279" s="797"/>
      <c r="R279" s="797"/>
      <c r="S279" s="797"/>
      <c r="T279" s="796"/>
    </row>
    <row r="280">
      <c r="A280" s="796"/>
      <c r="B280" s="796"/>
      <c r="C280" s="796"/>
      <c r="D280" s="796"/>
      <c r="E280" s="797"/>
      <c r="F280" s="796"/>
      <c r="G280" s="796"/>
      <c r="H280" s="796"/>
      <c r="I280" s="796"/>
      <c r="J280" s="797"/>
      <c r="K280" s="797"/>
      <c r="L280" s="796"/>
      <c r="M280" s="797"/>
      <c r="N280" s="797"/>
      <c r="O280" s="797"/>
      <c r="P280" s="797"/>
      <c r="Q280" s="797"/>
      <c r="R280" s="797"/>
      <c r="S280" s="797"/>
      <c r="T280" s="796"/>
    </row>
    <row r="281">
      <c r="A281" s="796"/>
      <c r="B281" s="796"/>
      <c r="C281" s="796"/>
      <c r="D281" s="796"/>
      <c r="E281" s="797"/>
      <c r="F281" s="796"/>
      <c r="G281" s="796"/>
      <c r="H281" s="796"/>
      <c r="I281" s="796"/>
      <c r="J281" s="797"/>
      <c r="K281" s="797"/>
      <c r="L281" s="796"/>
      <c r="M281" s="797"/>
      <c r="N281" s="797"/>
      <c r="O281" s="797"/>
      <c r="P281" s="797"/>
      <c r="Q281" s="797"/>
      <c r="R281" s="797"/>
      <c r="S281" s="797"/>
      <c r="T281" s="796"/>
    </row>
    <row r="282">
      <c r="A282" s="796"/>
      <c r="B282" s="796"/>
      <c r="C282" s="796"/>
      <c r="D282" s="796"/>
      <c r="E282" s="797"/>
      <c r="F282" s="796"/>
      <c r="G282" s="796"/>
      <c r="H282" s="796"/>
      <c r="I282" s="796"/>
      <c r="J282" s="797"/>
      <c r="K282" s="797"/>
      <c r="L282" s="796"/>
      <c r="M282" s="797"/>
      <c r="N282" s="797"/>
      <c r="O282" s="797"/>
      <c r="P282" s="797"/>
      <c r="Q282" s="797"/>
      <c r="R282" s="797"/>
      <c r="S282" s="797"/>
      <c r="T282" s="796"/>
    </row>
    <row r="283">
      <c r="A283" s="796"/>
      <c r="B283" s="796"/>
      <c r="C283" s="796"/>
      <c r="D283" s="796"/>
      <c r="E283" s="797"/>
      <c r="F283" s="796"/>
      <c r="G283" s="796"/>
      <c r="H283" s="796"/>
      <c r="I283" s="796"/>
      <c r="J283" s="797"/>
      <c r="K283" s="797"/>
      <c r="L283" s="796"/>
      <c r="M283" s="797"/>
      <c r="N283" s="797"/>
      <c r="O283" s="797"/>
      <c r="P283" s="797"/>
      <c r="Q283" s="797"/>
      <c r="R283" s="797"/>
      <c r="S283" s="797"/>
      <c r="T283" s="796"/>
    </row>
    <row r="284">
      <c r="A284" s="796"/>
      <c r="B284" s="796"/>
      <c r="C284" s="796"/>
      <c r="D284" s="796"/>
      <c r="E284" s="797"/>
      <c r="F284" s="796"/>
      <c r="G284" s="796"/>
      <c r="H284" s="796"/>
      <c r="I284" s="796"/>
      <c r="J284" s="797"/>
      <c r="K284" s="797"/>
      <c r="L284" s="796"/>
      <c r="M284" s="797"/>
      <c r="N284" s="797"/>
      <c r="O284" s="797"/>
      <c r="P284" s="797"/>
      <c r="Q284" s="797"/>
      <c r="R284" s="797"/>
      <c r="S284" s="797"/>
      <c r="T284" s="796"/>
    </row>
    <row r="285">
      <c r="A285" s="796"/>
      <c r="B285" s="796"/>
      <c r="C285" s="796"/>
      <c r="D285" s="796"/>
      <c r="E285" s="797"/>
      <c r="F285" s="796"/>
      <c r="G285" s="796"/>
      <c r="H285" s="796"/>
      <c r="I285" s="796"/>
      <c r="J285" s="797"/>
      <c r="K285" s="797"/>
      <c r="L285" s="796"/>
      <c r="M285" s="797"/>
      <c r="N285" s="797"/>
      <c r="O285" s="797"/>
      <c r="P285" s="797"/>
      <c r="Q285" s="797"/>
      <c r="R285" s="797"/>
      <c r="S285" s="797"/>
      <c r="T285" s="796"/>
    </row>
    <row r="286">
      <c r="A286" s="796"/>
      <c r="B286" s="796"/>
      <c r="C286" s="796"/>
      <c r="D286" s="796"/>
      <c r="E286" s="797"/>
      <c r="F286" s="796"/>
      <c r="G286" s="796"/>
      <c r="H286" s="796"/>
      <c r="I286" s="796"/>
      <c r="J286" s="797"/>
      <c r="K286" s="797"/>
      <c r="L286" s="796"/>
      <c r="M286" s="797"/>
      <c r="N286" s="797"/>
      <c r="O286" s="797"/>
      <c r="P286" s="797"/>
      <c r="Q286" s="797"/>
      <c r="R286" s="797"/>
      <c r="S286" s="797"/>
      <c r="T286" s="796"/>
    </row>
    <row r="287">
      <c r="A287" s="796"/>
      <c r="B287" s="796"/>
      <c r="C287" s="796"/>
      <c r="D287" s="796"/>
      <c r="E287" s="797"/>
      <c r="F287" s="796"/>
      <c r="G287" s="796"/>
      <c r="H287" s="796"/>
      <c r="I287" s="796"/>
      <c r="J287" s="797"/>
      <c r="K287" s="797"/>
      <c r="L287" s="796"/>
      <c r="M287" s="797"/>
      <c r="N287" s="797"/>
      <c r="O287" s="797"/>
      <c r="P287" s="797"/>
      <c r="Q287" s="797"/>
      <c r="R287" s="797"/>
      <c r="S287" s="797"/>
      <c r="T287" s="796"/>
    </row>
    <row r="288">
      <c r="A288" s="796"/>
      <c r="B288" s="796"/>
      <c r="C288" s="796"/>
      <c r="D288" s="796"/>
      <c r="E288" s="797"/>
      <c r="F288" s="796"/>
      <c r="G288" s="796"/>
      <c r="H288" s="796"/>
      <c r="I288" s="796"/>
      <c r="J288" s="797"/>
      <c r="K288" s="797"/>
      <c r="L288" s="796"/>
      <c r="M288" s="797"/>
      <c r="N288" s="797"/>
      <c r="O288" s="797"/>
      <c r="P288" s="797"/>
      <c r="Q288" s="797"/>
      <c r="R288" s="797"/>
      <c r="S288" s="797"/>
      <c r="T288" s="796"/>
    </row>
    <row r="289">
      <c r="A289" s="796"/>
      <c r="B289" s="796"/>
      <c r="C289" s="796"/>
      <c r="D289" s="796"/>
      <c r="E289" s="797"/>
      <c r="F289" s="796"/>
      <c r="G289" s="796"/>
      <c r="H289" s="796"/>
      <c r="I289" s="796"/>
      <c r="J289" s="797"/>
      <c r="K289" s="797"/>
      <c r="L289" s="796"/>
      <c r="M289" s="797"/>
      <c r="N289" s="797"/>
      <c r="O289" s="797"/>
      <c r="P289" s="797"/>
      <c r="Q289" s="797"/>
      <c r="R289" s="797"/>
      <c r="S289" s="797"/>
      <c r="T289" s="796"/>
    </row>
    <row r="290">
      <c r="A290" s="796"/>
      <c r="B290" s="796"/>
      <c r="C290" s="796"/>
      <c r="D290" s="796"/>
      <c r="E290" s="797"/>
      <c r="F290" s="796"/>
      <c r="G290" s="796"/>
      <c r="H290" s="796"/>
      <c r="I290" s="796"/>
      <c r="J290" s="797"/>
      <c r="K290" s="797"/>
      <c r="L290" s="796"/>
      <c r="M290" s="797"/>
      <c r="N290" s="797"/>
      <c r="O290" s="797"/>
      <c r="P290" s="797"/>
      <c r="Q290" s="797"/>
      <c r="R290" s="797"/>
      <c r="S290" s="797"/>
      <c r="T290" s="796"/>
    </row>
    <row r="291">
      <c r="A291" s="796"/>
      <c r="B291" s="796"/>
      <c r="C291" s="796"/>
      <c r="D291" s="796"/>
      <c r="E291" s="797"/>
      <c r="F291" s="796"/>
      <c r="G291" s="796"/>
      <c r="H291" s="796"/>
      <c r="I291" s="796"/>
      <c r="J291" s="797"/>
      <c r="K291" s="797"/>
      <c r="L291" s="796"/>
      <c r="M291" s="797"/>
      <c r="N291" s="797"/>
      <c r="O291" s="797"/>
      <c r="P291" s="797"/>
      <c r="Q291" s="797"/>
      <c r="R291" s="797"/>
      <c r="S291" s="797"/>
      <c r="T291" s="796"/>
    </row>
    <row r="292">
      <c r="A292" s="796"/>
      <c r="B292" s="796"/>
      <c r="C292" s="796"/>
      <c r="D292" s="796"/>
      <c r="E292" s="797"/>
      <c r="F292" s="796"/>
      <c r="G292" s="796"/>
      <c r="H292" s="796"/>
      <c r="I292" s="796"/>
      <c r="J292" s="797"/>
      <c r="K292" s="797"/>
      <c r="L292" s="796"/>
      <c r="M292" s="797"/>
      <c r="N292" s="797"/>
      <c r="O292" s="797"/>
      <c r="P292" s="797"/>
      <c r="Q292" s="797"/>
      <c r="R292" s="797"/>
      <c r="S292" s="797"/>
      <c r="T292" s="796"/>
    </row>
    <row r="293">
      <c r="A293" s="796"/>
      <c r="B293" s="796"/>
      <c r="C293" s="796"/>
      <c r="D293" s="796"/>
      <c r="E293" s="797"/>
      <c r="F293" s="796"/>
      <c r="G293" s="796"/>
      <c r="H293" s="796"/>
      <c r="I293" s="796"/>
      <c r="J293" s="797"/>
      <c r="K293" s="797"/>
      <c r="L293" s="796"/>
      <c r="M293" s="797"/>
      <c r="N293" s="797"/>
      <c r="O293" s="797"/>
      <c r="P293" s="797"/>
      <c r="Q293" s="797"/>
      <c r="R293" s="797"/>
      <c r="S293" s="797"/>
      <c r="T293" s="796"/>
    </row>
    <row r="294">
      <c r="A294" s="796"/>
      <c r="B294" s="796"/>
      <c r="C294" s="796"/>
      <c r="D294" s="796"/>
      <c r="E294" s="797"/>
      <c r="F294" s="796"/>
      <c r="G294" s="796"/>
      <c r="H294" s="796"/>
      <c r="I294" s="796"/>
      <c r="J294" s="797"/>
      <c r="K294" s="797"/>
      <c r="L294" s="796"/>
      <c r="M294" s="797"/>
      <c r="N294" s="797"/>
      <c r="O294" s="797"/>
      <c r="P294" s="797"/>
      <c r="Q294" s="797"/>
      <c r="R294" s="797"/>
      <c r="S294" s="797"/>
      <c r="T294" s="796"/>
    </row>
    <row r="295">
      <c r="A295" s="796"/>
      <c r="B295" s="796"/>
      <c r="C295" s="796"/>
      <c r="D295" s="796"/>
      <c r="E295" s="797"/>
      <c r="F295" s="796"/>
      <c r="G295" s="796"/>
      <c r="H295" s="796"/>
      <c r="I295" s="796"/>
      <c r="J295" s="797"/>
      <c r="K295" s="797"/>
      <c r="L295" s="796"/>
      <c r="M295" s="797"/>
      <c r="N295" s="797"/>
      <c r="O295" s="797"/>
      <c r="P295" s="797"/>
      <c r="Q295" s="797"/>
      <c r="R295" s="797"/>
      <c r="S295" s="797"/>
      <c r="T295" s="796"/>
    </row>
    <row r="296">
      <c r="A296" s="796"/>
      <c r="B296" s="796"/>
      <c r="C296" s="796"/>
      <c r="D296" s="796"/>
      <c r="E296" s="797"/>
      <c r="F296" s="796"/>
      <c r="G296" s="796"/>
      <c r="H296" s="796"/>
      <c r="I296" s="796"/>
      <c r="J296" s="797"/>
      <c r="K296" s="797"/>
      <c r="L296" s="796"/>
      <c r="M296" s="797"/>
      <c r="N296" s="797"/>
      <c r="O296" s="797"/>
      <c r="P296" s="797"/>
      <c r="Q296" s="797"/>
      <c r="R296" s="797"/>
      <c r="S296" s="797"/>
      <c r="T296" s="796"/>
    </row>
    <row r="297">
      <c r="A297" s="796"/>
      <c r="B297" s="796"/>
      <c r="C297" s="796"/>
      <c r="D297" s="796"/>
      <c r="E297" s="797"/>
      <c r="F297" s="796"/>
      <c r="G297" s="796"/>
      <c r="H297" s="796"/>
      <c r="I297" s="796"/>
      <c r="J297" s="797"/>
      <c r="K297" s="797"/>
      <c r="L297" s="796"/>
      <c r="M297" s="797"/>
      <c r="N297" s="797"/>
      <c r="O297" s="797"/>
      <c r="P297" s="797"/>
      <c r="Q297" s="797"/>
      <c r="R297" s="797"/>
      <c r="S297" s="797"/>
      <c r="T297" s="796"/>
    </row>
    <row r="298">
      <c r="A298" s="796"/>
      <c r="B298" s="796"/>
      <c r="C298" s="796"/>
      <c r="D298" s="796"/>
      <c r="E298" s="797"/>
      <c r="F298" s="796"/>
      <c r="G298" s="796"/>
      <c r="H298" s="796"/>
      <c r="I298" s="796"/>
      <c r="J298" s="797"/>
      <c r="K298" s="797"/>
      <c r="L298" s="796"/>
      <c r="M298" s="797"/>
      <c r="N298" s="797"/>
      <c r="O298" s="797"/>
      <c r="P298" s="797"/>
      <c r="Q298" s="797"/>
      <c r="R298" s="797"/>
      <c r="S298" s="797"/>
      <c r="T298" s="796"/>
    </row>
    <row r="299">
      <c r="A299" s="796"/>
      <c r="B299" s="796"/>
      <c r="C299" s="796"/>
      <c r="D299" s="796"/>
      <c r="E299" s="797"/>
      <c r="F299" s="796"/>
      <c r="G299" s="796"/>
      <c r="H299" s="796"/>
      <c r="I299" s="796"/>
      <c r="J299" s="797"/>
      <c r="K299" s="797"/>
      <c r="L299" s="796"/>
      <c r="M299" s="797"/>
      <c r="N299" s="797"/>
      <c r="O299" s="797"/>
      <c r="P299" s="797"/>
      <c r="Q299" s="797"/>
      <c r="R299" s="797"/>
      <c r="S299" s="797"/>
      <c r="T299" s="796"/>
    </row>
    <row r="300">
      <c r="A300" s="796"/>
      <c r="B300" s="796"/>
      <c r="C300" s="796"/>
      <c r="D300" s="796"/>
      <c r="E300" s="797"/>
      <c r="F300" s="796"/>
      <c r="G300" s="796"/>
      <c r="H300" s="796"/>
      <c r="I300" s="796"/>
      <c r="J300" s="797"/>
      <c r="K300" s="797"/>
      <c r="L300" s="796"/>
      <c r="M300" s="797"/>
      <c r="N300" s="797"/>
      <c r="O300" s="797"/>
      <c r="P300" s="797"/>
      <c r="Q300" s="797"/>
      <c r="R300" s="797"/>
      <c r="S300" s="797"/>
      <c r="T300" s="796"/>
    </row>
    <row r="301">
      <c r="A301" s="796"/>
      <c r="B301" s="796"/>
      <c r="C301" s="796"/>
      <c r="D301" s="796"/>
      <c r="E301" s="797"/>
      <c r="F301" s="796"/>
      <c r="G301" s="796"/>
      <c r="H301" s="796"/>
      <c r="I301" s="796"/>
      <c r="J301" s="797"/>
      <c r="K301" s="797"/>
      <c r="L301" s="796"/>
      <c r="M301" s="797"/>
      <c r="N301" s="797"/>
      <c r="O301" s="797"/>
      <c r="P301" s="797"/>
      <c r="Q301" s="797"/>
      <c r="R301" s="797"/>
      <c r="S301" s="797"/>
      <c r="T301" s="796"/>
    </row>
    <row r="302">
      <c r="A302" s="796"/>
      <c r="B302" s="796"/>
      <c r="C302" s="796"/>
      <c r="D302" s="796"/>
      <c r="E302" s="797"/>
      <c r="F302" s="796"/>
      <c r="G302" s="796"/>
      <c r="H302" s="796"/>
      <c r="I302" s="796"/>
      <c r="J302" s="797"/>
      <c r="K302" s="797"/>
      <c r="L302" s="796"/>
      <c r="M302" s="797"/>
      <c r="N302" s="797"/>
      <c r="O302" s="797"/>
      <c r="P302" s="797"/>
      <c r="Q302" s="797"/>
      <c r="R302" s="797"/>
      <c r="S302" s="797"/>
      <c r="T302" s="796"/>
    </row>
    <row r="303">
      <c r="A303" s="796"/>
      <c r="B303" s="796"/>
      <c r="C303" s="796"/>
      <c r="D303" s="796"/>
      <c r="E303" s="797"/>
      <c r="F303" s="796"/>
      <c r="G303" s="796"/>
      <c r="H303" s="796"/>
      <c r="I303" s="796"/>
      <c r="J303" s="797"/>
      <c r="K303" s="797"/>
      <c r="L303" s="796"/>
      <c r="M303" s="797"/>
      <c r="N303" s="797"/>
      <c r="O303" s="797"/>
      <c r="P303" s="797"/>
      <c r="Q303" s="797"/>
      <c r="R303" s="797"/>
      <c r="S303" s="797"/>
      <c r="T303" s="796"/>
    </row>
    <row r="304">
      <c r="A304" s="796"/>
      <c r="B304" s="796"/>
      <c r="C304" s="796"/>
      <c r="D304" s="796"/>
      <c r="E304" s="797"/>
      <c r="F304" s="796"/>
      <c r="G304" s="796"/>
      <c r="H304" s="796"/>
      <c r="I304" s="796"/>
      <c r="J304" s="797"/>
      <c r="K304" s="797"/>
      <c r="L304" s="796"/>
      <c r="M304" s="797"/>
      <c r="N304" s="797"/>
      <c r="O304" s="797"/>
      <c r="P304" s="797"/>
      <c r="Q304" s="797"/>
      <c r="R304" s="797"/>
      <c r="S304" s="797"/>
      <c r="T304" s="796"/>
    </row>
    <row r="305">
      <c r="A305" s="796"/>
      <c r="B305" s="796"/>
      <c r="C305" s="796"/>
      <c r="D305" s="796"/>
      <c r="E305" s="797"/>
      <c r="F305" s="796"/>
      <c r="G305" s="796"/>
      <c r="H305" s="796"/>
      <c r="I305" s="796"/>
      <c r="J305" s="797"/>
      <c r="K305" s="797"/>
      <c r="L305" s="796"/>
      <c r="M305" s="797"/>
      <c r="N305" s="797"/>
      <c r="O305" s="797"/>
      <c r="P305" s="797"/>
      <c r="Q305" s="797"/>
      <c r="R305" s="797"/>
      <c r="S305" s="797"/>
      <c r="T305" s="796"/>
    </row>
    <row r="306">
      <c r="A306" s="796"/>
      <c r="B306" s="796"/>
      <c r="C306" s="796"/>
      <c r="D306" s="796"/>
      <c r="E306" s="797"/>
      <c r="F306" s="796"/>
      <c r="G306" s="796"/>
      <c r="H306" s="796"/>
      <c r="I306" s="796"/>
      <c r="J306" s="797"/>
      <c r="K306" s="797"/>
      <c r="L306" s="796"/>
      <c r="M306" s="797"/>
      <c r="N306" s="797"/>
      <c r="O306" s="797"/>
      <c r="P306" s="797"/>
      <c r="Q306" s="797"/>
      <c r="R306" s="797"/>
      <c r="S306" s="797"/>
      <c r="T306" s="796"/>
    </row>
    <row r="307">
      <c r="A307" s="796"/>
      <c r="B307" s="796"/>
      <c r="C307" s="796"/>
      <c r="D307" s="796"/>
      <c r="E307" s="797"/>
      <c r="F307" s="796"/>
      <c r="G307" s="796"/>
      <c r="H307" s="796"/>
      <c r="I307" s="796"/>
      <c r="J307" s="797"/>
      <c r="K307" s="797"/>
      <c r="L307" s="796"/>
      <c r="M307" s="797"/>
      <c r="N307" s="797"/>
      <c r="O307" s="797"/>
      <c r="P307" s="797"/>
      <c r="Q307" s="797"/>
      <c r="R307" s="797"/>
      <c r="S307" s="797"/>
      <c r="T307" s="796"/>
    </row>
    <row r="308">
      <c r="A308" s="796"/>
      <c r="B308" s="796"/>
      <c r="C308" s="796"/>
      <c r="D308" s="796"/>
      <c r="E308" s="797"/>
      <c r="F308" s="796"/>
      <c r="G308" s="796"/>
      <c r="H308" s="796"/>
      <c r="I308" s="796"/>
      <c r="J308" s="797"/>
      <c r="K308" s="797"/>
      <c r="L308" s="796"/>
      <c r="M308" s="797"/>
      <c r="N308" s="797"/>
      <c r="O308" s="797"/>
      <c r="P308" s="797"/>
      <c r="Q308" s="797"/>
      <c r="R308" s="797"/>
      <c r="S308" s="797"/>
      <c r="T308" s="796"/>
    </row>
    <row r="309">
      <c r="A309" s="796"/>
      <c r="B309" s="796"/>
      <c r="C309" s="796"/>
      <c r="D309" s="796"/>
      <c r="E309" s="797"/>
      <c r="F309" s="796"/>
      <c r="G309" s="796"/>
      <c r="H309" s="796"/>
      <c r="I309" s="796"/>
      <c r="J309" s="797"/>
      <c r="K309" s="797"/>
      <c r="L309" s="796"/>
      <c r="M309" s="797"/>
      <c r="N309" s="797"/>
      <c r="O309" s="797"/>
      <c r="P309" s="797"/>
      <c r="Q309" s="797"/>
      <c r="R309" s="797"/>
      <c r="S309" s="797"/>
      <c r="T309" s="796"/>
    </row>
    <row r="310">
      <c r="A310" s="796"/>
      <c r="B310" s="796"/>
      <c r="C310" s="796"/>
      <c r="D310" s="796"/>
      <c r="E310" s="797"/>
      <c r="F310" s="796"/>
      <c r="G310" s="796"/>
      <c r="H310" s="796"/>
      <c r="I310" s="796"/>
      <c r="J310" s="797"/>
      <c r="K310" s="797"/>
      <c r="L310" s="796"/>
      <c r="M310" s="797"/>
      <c r="N310" s="797"/>
      <c r="O310" s="797"/>
      <c r="P310" s="797"/>
      <c r="Q310" s="797"/>
      <c r="R310" s="797"/>
      <c r="S310" s="797"/>
      <c r="T310" s="796"/>
    </row>
    <row r="311">
      <c r="A311" s="796"/>
      <c r="B311" s="796"/>
      <c r="C311" s="796"/>
      <c r="D311" s="796"/>
      <c r="E311" s="797"/>
      <c r="F311" s="796"/>
      <c r="G311" s="796"/>
      <c r="H311" s="796"/>
      <c r="I311" s="796"/>
      <c r="J311" s="797"/>
      <c r="K311" s="797"/>
      <c r="L311" s="796"/>
      <c r="M311" s="797"/>
      <c r="N311" s="797"/>
      <c r="O311" s="797"/>
      <c r="P311" s="797"/>
      <c r="Q311" s="797"/>
      <c r="R311" s="797"/>
      <c r="S311" s="797"/>
      <c r="T311" s="796"/>
    </row>
    <row r="312">
      <c r="A312" s="796"/>
      <c r="B312" s="796"/>
      <c r="C312" s="796"/>
      <c r="D312" s="796"/>
      <c r="E312" s="797"/>
      <c r="F312" s="796"/>
      <c r="G312" s="796"/>
      <c r="H312" s="796"/>
      <c r="I312" s="796"/>
      <c r="J312" s="797"/>
      <c r="K312" s="797"/>
      <c r="L312" s="796"/>
      <c r="M312" s="797"/>
      <c r="N312" s="797"/>
      <c r="O312" s="797"/>
      <c r="P312" s="797"/>
      <c r="Q312" s="797"/>
      <c r="R312" s="797"/>
      <c r="S312" s="797"/>
      <c r="T312" s="796"/>
    </row>
    <row r="313">
      <c r="A313" s="796"/>
      <c r="B313" s="796"/>
      <c r="C313" s="796"/>
      <c r="D313" s="796"/>
      <c r="E313" s="797"/>
      <c r="F313" s="796"/>
      <c r="G313" s="796"/>
      <c r="H313" s="796"/>
      <c r="I313" s="796"/>
      <c r="J313" s="797"/>
      <c r="K313" s="797"/>
      <c r="L313" s="796"/>
      <c r="M313" s="797"/>
      <c r="N313" s="797"/>
      <c r="O313" s="797"/>
      <c r="P313" s="797"/>
      <c r="Q313" s="797"/>
      <c r="R313" s="797"/>
      <c r="S313" s="797"/>
      <c r="T313" s="796"/>
    </row>
    <row r="314">
      <c r="A314" s="796"/>
      <c r="B314" s="796"/>
      <c r="C314" s="796"/>
      <c r="D314" s="796"/>
      <c r="E314" s="797"/>
      <c r="F314" s="796"/>
      <c r="G314" s="796"/>
      <c r="H314" s="796"/>
      <c r="I314" s="796"/>
      <c r="J314" s="797"/>
      <c r="K314" s="797"/>
      <c r="L314" s="796"/>
      <c r="M314" s="797"/>
      <c r="N314" s="797"/>
      <c r="O314" s="797"/>
      <c r="P314" s="797"/>
      <c r="Q314" s="797"/>
      <c r="R314" s="797"/>
      <c r="S314" s="797"/>
      <c r="T314" s="796"/>
    </row>
    <row r="315">
      <c r="A315" s="796"/>
      <c r="B315" s="796"/>
      <c r="C315" s="796"/>
      <c r="D315" s="796"/>
      <c r="E315" s="797"/>
      <c r="F315" s="796"/>
      <c r="G315" s="796"/>
      <c r="H315" s="796"/>
      <c r="I315" s="796"/>
      <c r="J315" s="797"/>
      <c r="K315" s="797"/>
      <c r="L315" s="796"/>
      <c r="M315" s="797"/>
      <c r="N315" s="797"/>
      <c r="O315" s="797"/>
      <c r="P315" s="797"/>
      <c r="Q315" s="797"/>
      <c r="R315" s="797"/>
      <c r="S315" s="797"/>
      <c r="T315" s="796"/>
    </row>
    <row r="316">
      <c r="A316" s="796"/>
      <c r="B316" s="796"/>
      <c r="C316" s="796"/>
      <c r="D316" s="796"/>
      <c r="E316" s="797"/>
      <c r="F316" s="796"/>
      <c r="G316" s="796"/>
      <c r="H316" s="796"/>
      <c r="I316" s="796"/>
      <c r="J316" s="797"/>
      <c r="K316" s="797"/>
      <c r="L316" s="796"/>
      <c r="M316" s="797"/>
      <c r="N316" s="797"/>
      <c r="O316" s="797"/>
      <c r="P316" s="797"/>
      <c r="Q316" s="797"/>
      <c r="R316" s="797"/>
      <c r="S316" s="797"/>
      <c r="T316" s="796"/>
    </row>
    <row r="317">
      <c r="A317" s="796"/>
      <c r="B317" s="796"/>
      <c r="C317" s="796"/>
      <c r="D317" s="796"/>
      <c r="E317" s="797"/>
      <c r="F317" s="796"/>
      <c r="G317" s="796"/>
      <c r="H317" s="796"/>
      <c r="I317" s="796"/>
      <c r="J317" s="797"/>
      <c r="K317" s="797"/>
      <c r="L317" s="796"/>
      <c r="M317" s="797"/>
      <c r="N317" s="797"/>
      <c r="O317" s="797"/>
      <c r="P317" s="797"/>
      <c r="Q317" s="797"/>
      <c r="R317" s="797"/>
      <c r="S317" s="797"/>
      <c r="T317" s="796"/>
    </row>
    <row r="318">
      <c r="A318" s="796"/>
      <c r="B318" s="796"/>
      <c r="C318" s="796"/>
      <c r="D318" s="796"/>
      <c r="E318" s="797"/>
      <c r="F318" s="796"/>
      <c r="G318" s="796"/>
      <c r="H318" s="796"/>
      <c r="I318" s="796"/>
      <c r="J318" s="797"/>
      <c r="K318" s="797"/>
      <c r="L318" s="796"/>
      <c r="M318" s="797"/>
      <c r="N318" s="797"/>
      <c r="O318" s="797"/>
      <c r="P318" s="797"/>
      <c r="Q318" s="797"/>
      <c r="R318" s="797"/>
      <c r="S318" s="797"/>
      <c r="T318" s="796"/>
    </row>
    <row r="319">
      <c r="A319" s="796"/>
      <c r="B319" s="796"/>
      <c r="C319" s="796"/>
      <c r="D319" s="796"/>
      <c r="E319" s="797"/>
      <c r="F319" s="796"/>
      <c r="G319" s="796"/>
      <c r="H319" s="796"/>
      <c r="I319" s="796"/>
      <c r="J319" s="797"/>
      <c r="K319" s="797"/>
      <c r="L319" s="796"/>
      <c r="M319" s="797"/>
      <c r="N319" s="797"/>
      <c r="O319" s="797"/>
      <c r="P319" s="797"/>
      <c r="Q319" s="797"/>
      <c r="R319" s="797"/>
      <c r="S319" s="797"/>
      <c r="T319" s="796"/>
    </row>
    <row r="320">
      <c r="A320" s="796"/>
      <c r="B320" s="796"/>
      <c r="C320" s="796"/>
      <c r="D320" s="796"/>
      <c r="E320" s="797"/>
      <c r="F320" s="796"/>
      <c r="G320" s="796"/>
      <c r="H320" s="796"/>
      <c r="I320" s="796"/>
      <c r="J320" s="797"/>
      <c r="K320" s="797"/>
      <c r="L320" s="796"/>
      <c r="M320" s="797"/>
      <c r="N320" s="797"/>
      <c r="O320" s="797"/>
      <c r="P320" s="797"/>
      <c r="Q320" s="797"/>
      <c r="R320" s="797"/>
      <c r="S320" s="797"/>
      <c r="T320" s="796"/>
    </row>
    <row r="321">
      <c r="A321" s="796"/>
      <c r="B321" s="796"/>
      <c r="C321" s="796"/>
      <c r="D321" s="796"/>
      <c r="E321" s="797"/>
      <c r="F321" s="796"/>
      <c r="G321" s="796"/>
      <c r="H321" s="796"/>
      <c r="I321" s="796"/>
      <c r="J321" s="797"/>
      <c r="K321" s="797"/>
      <c r="L321" s="796"/>
      <c r="M321" s="797"/>
      <c r="N321" s="797"/>
      <c r="O321" s="797"/>
      <c r="P321" s="797"/>
      <c r="Q321" s="797"/>
      <c r="R321" s="797"/>
      <c r="S321" s="797"/>
      <c r="T321" s="796"/>
    </row>
    <row r="322">
      <c r="A322" s="796"/>
      <c r="B322" s="796"/>
      <c r="C322" s="796"/>
      <c r="D322" s="796"/>
      <c r="E322" s="797"/>
      <c r="F322" s="796"/>
      <c r="G322" s="796"/>
      <c r="H322" s="796"/>
      <c r="I322" s="796"/>
      <c r="J322" s="797"/>
      <c r="K322" s="797"/>
      <c r="L322" s="796"/>
      <c r="M322" s="797"/>
      <c r="N322" s="797"/>
      <c r="O322" s="797"/>
      <c r="P322" s="797"/>
      <c r="Q322" s="797"/>
      <c r="R322" s="797"/>
      <c r="S322" s="797"/>
      <c r="T322" s="796"/>
    </row>
    <row r="323">
      <c r="A323" s="796"/>
      <c r="B323" s="796"/>
      <c r="C323" s="796"/>
      <c r="D323" s="796"/>
      <c r="E323" s="797"/>
      <c r="F323" s="796"/>
      <c r="G323" s="796"/>
      <c r="H323" s="796"/>
      <c r="I323" s="796"/>
      <c r="J323" s="797"/>
      <c r="K323" s="797"/>
      <c r="L323" s="796"/>
      <c r="M323" s="797"/>
      <c r="N323" s="797"/>
      <c r="O323" s="797"/>
      <c r="P323" s="797"/>
      <c r="Q323" s="797"/>
      <c r="R323" s="797"/>
      <c r="S323" s="797"/>
      <c r="T323" s="796"/>
    </row>
    <row r="324">
      <c r="A324" s="796"/>
      <c r="B324" s="796"/>
      <c r="C324" s="796"/>
      <c r="D324" s="796"/>
      <c r="E324" s="797"/>
      <c r="F324" s="796"/>
      <c r="G324" s="796"/>
      <c r="H324" s="796"/>
      <c r="I324" s="796"/>
      <c r="J324" s="797"/>
      <c r="K324" s="797"/>
      <c r="L324" s="796"/>
      <c r="M324" s="797"/>
      <c r="N324" s="797"/>
      <c r="O324" s="797"/>
      <c r="P324" s="797"/>
      <c r="Q324" s="797"/>
      <c r="R324" s="797"/>
      <c r="S324" s="797"/>
      <c r="T324" s="796"/>
    </row>
    <row r="325">
      <c r="A325" s="796"/>
      <c r="B325" s="796"/>
      <c r="C325" s="796"/>
      <c r="D325" s="796"/>
      <c r="E325" s="797"/>
      <c r="F325" s="796"/>
      <c r="G325" s="796"/>
      <c r="H325" s="796"/>
      <c r="I325" s="796"/>
      <c r="J325" s="797"/>
      <c r="K325" s="797"/>
      <c r="L325" s="796"/>
      <c r="M325" s="797"/>
      <c r="N325" s="797"/>
      <c r="O325" s="797"/>
      <c r="P325" s="797"/>
      <c r="Q325" s="797"/>
      <c r="R325" s="797"/>
      <c r="S325" s="797"/>
      <c r="T325" s="796"/>
    </row>
    <row r="326">
      <c r="A326" s="796"/>
      <c r="B326" s="796"/>
      <c r="C326" s="796"/>
      <c r="D326" s="796"/>
      <c r="E326" s="797"/>
      <c r="F326" s="796"/>
      <c r="G326" s="796"/>
      <c r="H326" s="796"/>
      <c r="I326" s="796"/>
      <c r="J326" s="797"/>
      <c r="K326" s="797"/>
      <c r="L326" s="796"/>
      <c r="M326" s="797"/>
      <c r="N326" s="797"/>
      <c r="O326" s="797"/>
      <c r="P326" s="797"/>
      <c r="Q326" s="797"/>
      <c r="R326" s="797"/>
      <c r="S326" s="797"/>
      <c r="T326" s="796"/>
    </row>
    <row r="327">
      <c r="A327" s="796"/>
      <c r="B327" s="796"/>
      <c r="C327" s="796"/>
      <c r="D327" s="796"/>
      <c r="E327" s="797"/>
      <c r="F327" s="796"/>
      <c r="G327" s="796"/>
      <c r="H327" s="796"/>
      <c r="I327" s="796"/>
      <c r="J327" s="797"/>
      <c r="K327" s="797"/>
      <c r="L327" s="796"/>
      <c r="M327" s="797"/>
      <c r="N327" s="797"/>
      <c r="O327" s="797"/>
      <c r="P327" s="797"/>
      <c r="Q327" s="797"/>
      <c r="R327" s="797"/>
      <c r="S327" s="797"/>
      <c r="T327" s="796"/>
    </row>
    <row r="328">
      <c r="A328" s="796"/>
      <c r="B328" s="796"/>
      <c r="C328" s="796"/>
      <c r="D328" s="796"/>
      <c r="E328" s="797"/>
      <c r="F328" s="796"/>
      <c r="G328" s="796"/>
      <c r="H328" s="796"/>
      <c r="I328" s="796"/>
      <c r="J328" s="797"/>
      <c r="K328" s="797"/>
      <c r="L328" s="796"/>
      <c r="M328" s="797"/>
      <c r="N328" s="797"/>
      <c r="O328" s="797"/>
      <c r="P328" s="797"/>
      <c r="Q328" s="797"/>
      <c r="R328" s="797"/>
      <c r="S328" s="797"/>
      <c r="T328" s="796"/>
    </row>
    <row r="329">
      <c r="A329" s="796"/>
      <c r="B329" s="796"/>
      <c r="C329" s="796"/>
      <c r="D329" s="796"/>
      <c r="E329" s="797"/>
      <c r="F329" s="796"/>
      <c r="G329" s="796"/>
      <c r="H329" s="796"/>
      <c r="I329" s="796"/>
      <c r="J329" s="797"/>
      <c r="K329" s="797"/>
      <c r="L329" s="796"/>
      <c r="M329" s="797"/>
      <c r="N329" s="797"/>
      <c r="O329" s="797"/>
      <c r="P329" s="797"/>
      <c r="Q329" s="797"/>
      <c r="R329" s="797"/>
      <c r="S329" s="797"/>
      <c r="T329" s="796"/>
    </row>
    <row r="330">
      <c r="A330" s="796"/>
      <c r="B330" s="796"/>
      <c r="C330" s="796"/>
      <c r="D330" s="796"/>
      <c r="E330" s="797"/>
      <c r="F330" s="796"/>
      <c r="G330" s="796"/>
      <c r="H330" s="796"/>
      <c r="I330" s="796"/>
      <c r="J330" s="797"/>
      <c r="K330" s="797"/>
      <c r="L330" s="796"/>
      <c r="M330" s="797"/>
      <c r="N330" s="797"/>
      <c r="O330" s="797"/>
      <c r="P330" s="797"/>
      <c r="Q330" s="797"/>
      <c r="R330" s="797"/>
      <c r="S330" s="797"/>
      <c r="T330" s="796"/>
    </row>
    <row r="331">
      <c r="A331" s="796"/>
      <c r="B331" s="796"/>
      <c r="C331" s="796"/>
      <c r="D331" s="796"/>
      <c r="E331" s="797"/>
      <c r="F331" s="796"/>
      <c r="G331" s="796"/>
      <c r="H331" s="796"/>
      <c r="I331" s="796"/>
      <c r="J331" s="797"/>
      <c r="K331" s="797"/>
      <c r="L331" s="796"/>
      <c r="M331" s="797"/>
      <c r="N331" s="797"/>
      <c r="O331" s="797"/>
      <c r="P331" s="797"/>
      <c r="Q331" s="797"/>
      <c r="R331" s="797"/>
      <c r="S331" s="797"/>
      <c r="T331" s="796"/>
    </row>
    <row r="332">
      <c r="A332" s="796"/>
      <c r="B332" s="796"/>
      <c r="C332" s="796"/>
      <c r="D332" s="796"/>
      <c r="E332" s="797"/>
      <c r="F332" s="796"/>
      <c r="G332" s="796"/>
      <c r="H332" s="796"/>
      <c r="I332" s="796"/>
      <c r="J332" s="797"/>
      <c r="K332" s="797"/>
      <c r="L332" s="796"/>
      <c r="M332" s="797"/>
      <c r="N332" s="797"/>
      <c r="O332" s="797"/>
      <c r="P332" s="797"/>
      <c r="Q332" s="797"/>
      <c r="R332" s="797"/>
      <c r="S332" s="797"/>
      <c r="T332" s="796"/>
    </row>
    <row r="333">
      <c r="A333" s="796"/>
      <c r="B333" s="796"/>
      <c r="C333" s="796"/>
      <c r="D333" s="796"/>
      <c r="E333" s="797"/>
      <c r="F333" s="796"/>
      <c r="G333" s="796"/>
      <c r="H333" s="796"/>
      <c r="I333" s="796"/>
      <c r="J333" s="797"/>
      <c r="K333" s="797"/>
      <c r="L333" s="796"/>
      <c r="M333" s="797"/>
      <c r="N333" s="797"/>
      <c r="O333" s="797"/>
      <c r="P333" s="797"/>
      <c r="Q333" s="797"/>
      <c r="R333" s="797"/>
      <c r="S333" s="797"/>
      <c r="T333" s="796"/>
    </row>
    <row r="334">
      <c r="A334" s="796"/>
      <c r="B334" s="796"/>
      <c r="C334" s="796"/>
      <c r="D334" s="796"/>
      <c r="E334" s="797"/>
      <c r="F334" s="796"/>
      <c r="G334" s="796"/>
      <c r="H334" s="796"/>
      <c r="I334" s="796"/>
      <c r="J334" s="797"/>
      <c r="K334" s="797"/>
      <c r="L334" s="796"/>
      <c r="M334" s="797"/>
      <c r="N334" s="797"/>
      <c r="O334" s="797"/>
      <c r="P334" s="797"/>
      <c r="Q334" s="797"/>
      <c r="R334" s="797"/>
      <c r="S334" s="797"/>
      <c r="T334" s="796"/>
    </row>
    <row r="335">
      <c r="A335" s="796"/>
      <c r="B335" s="796"/>
      <c r="C335" s="796"/>
      <c r="D335" s="796"/>
      <c r="E335" s="797"/>
      <c r="F335" s="796"/>
      <c r="G335" s="796"/>
      <c r="H335" s="796"/>
      <c r="I335" s="796"/>
      <c r="J335" s="797"/>
      <c r="K335" s="797"/>
      <c r="L335" s="796"/>
      <c r="M335" s="797"/>
      <c r="N335" s="797"/>
      <c r="O335" s="797"/>
      <c r="P335" s="797"/>
      <c r="Q335" s="797"/>
      <c r="R335" s="797"/>
      <c r="S335" s="797"/>
      <c r="T335" s="796"/>
    </row>
    <row r="336">
      <c r="A336" s="796"/>
      <c r="B336" s="796"/>
      <c r="C336" s="796"/>
      <c r="D336" s="796"/>
      <c r="E336" s="797"/>
      <c r="F336" s="796"/>
      <c r="G336" s="796"/>
      <c r="H336" s="796"/>
      <c r="I336" s="796"/>
      <c r="J336" s="797"/>
      <c r="K336" s="797"/>
      <c r="L336" s="796"/>
      <c r="M336" s="797"/>
      <c r="N336" s="797"/>
      <c r="O336" s="797"/>
      <c r="P336" s="797"/>
      <c r="Q336" s="797"/>
      <c r="R336" s="797"/>
      <c r="S336" s="797"/>
      <c r="T336" s="796"/>
    </row>
    <row r="337">
      <c r="A337" s="796"/>
      <c r="B337" s="796"/>
      <c r="C337" s="796"/>
      <c r="D337" s="796"/>
      <c r="E337" s="797"/>
      <c r="F337" s="796"/>
      <c r="G337" s="796"/>
      <c r="H337" s="796"/>
      <c r="I337" s="796"/>
      <c r="J337" s="797"/>
      <c r="K337" s="797"/>
      <c r="L337" s="796"/>
      <c r="M337" s="797"/>
      <c r="N337" s="797"/>
      <c r="O337" s="797"/>
      <c r="P337" s="797"/>
      <c r="Q337" s="797"/>
      <c r="R337" s="797"/>
      <c r="S337" s="797"/>
      <c r="T337" s="796"/>
    </row>
    <row r="338">
      <c r="A338" s="796"/>
      <c r="B338" s="796"/>
      <c r="C338" s="796"/>
      <c r="D338" s="796"/>
      <c r="E338" s="797"/>
      <c r="F338" s="796"/>
      <c r="G338" s="796"/>
      <c r="H338" s="796"/>
      <c r="I338" s="796"/>
      <c r="J338" s="797"/>
      <c r="K338" s="797"/>
      <c r="L338" s="796"/>
      <c r="M338" s="797"/>
      <c r="N338" s="797"/>
      <c r="O338" s="797"/>
      <c r="P338" s="797"/>
      <c r="Q338" s="797"/>
      <c r="R338" s="797"/>
      <c r="S338" s="797"/>
      <c r="T338" s="796"/>
    </row>
    <row r="339">
      <c r="A339" s="796"/>
      <c r="B339" s="796"/>
      <c r="C339" s="796"/>
      <c r="D339" s="796"/>
      <c r="E339" s="797"/>
      <c r="F339" s="796"/>
      <c r="G339" s="796"/>
      <c r="H339" s="796"/>
      <c r="I339" s="796"/>
      <c r="J339" s="797"/>
      <c r="K339" s="797"/>
      <c r="L339" s="796"/>
      <c r="M339" s="797"/>
      <c r="N339" s="797"/>
      <c r="O339" s="797"/>
      <c r="P339" s="797"/>
      <c r="Q339" s="797"/>
      <c r="R339" s="797"/>
      <c r="S339" s="797"/>
      <c r="T339" s="796"/>
    </row>
    <row r="340">
      <c r="A340" s="796"/>
      <c r="B340" s="796"/>
      <c r="C340" s="796"/>
      <c r="D340" s="796"/>
      <c r="E340" s="797"/>
      <c r="F340" s="796"/>
      <c r="G340" s="796"/>
      <c r="H340" s="796"/>
      <c r="I340" s="796"/>
      <c r="J340" s="797"/>
      <c r="K340" s="797"/>
      <c r="L340" s="796"/>
      <c r="M340" s="797"/>
      <c r="N340" s="797"/>
      <c r="O340" s="797"/>
      <c r="P340" s="797"/>
      <c r="Q340" s="797"/>
      <c r="R340" s="797"/>
      <c r="S340" s="797"/>
      <c r="T340" s="796"/>
    </row>
    <row r="341">
      <c r="A341" s="796"/>
      <c r="B341" s="796"/>
      <c r="C341" s="796"/>
      <c r="D341" s="796"/>
      <c r="E341" s="797"/>
      <c r="F341" s="796"/>
      <c r="G341" s="796"/>
      <c r="H341" s="796"/>
      <c r="I341" s="796"/>
      <c r="J341" s="797"/>
      <c r="K341" s="797"/>
      <c r="L341" s="796"/>
      <c r="M341" s="797"/>
      <c r="N341" s="797"/>
      <c r="O341" s="797"/>
      <c r="P341" s="797"/>
      <c r="Q341" s="797"/>
      <c r="R341" s="797"/>
      <c r="S341" s="797"/>
      <c r="T341" s="796"/>
    </row>
    <row r="342">
      <c r="A342" s="796"/>
      <c r="B342" s="796"/>
      <c r="C342" s="796"/>
      <c r="D342" s="796"/>
      <c r="E342" s="797"/>
      <c r="F342" s="796"/>
      <c r="G342" s="796"/>
      <c r="H342" s="796"/>
      <c r="I342" s="796"/>
      <c r="J342" s="797"/>
      <c r="K342" s="797"/>
      <c r="L342" s="796"/>
      <c r="M342" s="797"/>
      <c r="N342" s="797"/>
      <c r="O342" s="797"/>
      <c r="P342" s="797"/>
      <c r="Q342" s="797"/>
      <c r="R342" s="797"/>
      <c r="S342" s="797"/>
      <c r="T342" s="796"/>
    </row>
    <row r="343">
      <c r="A343" s="796"/>
      <c r="B343" s="796"/>
      <c r="C343" s="796"/>
      <c r="D343" s="796"/>
      <c r="E343" s="797"/>
      <c r="F343" s="796"/>
      <c r="G343" s="796"/>
      <c r="H343" s="796"/>
      <c r="I343" s="796"/>
      <c r="J343" s="797"/>
      <c r="K343" s="797"/>
      <c r="L343" s="796"/>
      <c r="M343" s="797"/>
      <c r="N343" s="797"/>
      <c r="O343" s="797"/>
      <c r="P343" s="797"/>
      <c r="Q343" s="797"/>
      <c r="R343" s="797"/>
      <c r="S343" s="797"/>
      <c r="T343" s="796"/>
    </row>
    <row r="344">
      <c r="A344" s="796"/>
      <c r="B344" s="796"/>
      <c r="C344" s="796"/>
      <c r="D344" s="796"/>
      <c r="E344" s="797"/>
      <c r="F344" s="796"/>
      <c r="G344" s="796"/>
      <c r="H344" s="796"/>
      <c r="I344" s="796"/>
      <c r="J344" s="797"/>
      <c r="K344" s="797"/>
      <c r="L344" s="796"/>
      <c r="M344" s="797"/>
      <c r="N344" s="797"/>
      <c r="O344" s="797"/>
      <c r="P344" s="797"/>
      <c r="Q344" s="797"/>
      <c r="R344" s="797"/>
      <c r="S344" s="797"/>
      <c r="T344" s="796"/>
    </row>
    <row r="345">
      <c r="A345" s="796"/>
      <c r="B345" s="796"/>
      <c r="C345" s="796"/>
      <c r="D345" s="796"/>
      <c r="E345" s="797"/>
      <c r="F345" s="796"/>
      <c r="G345" s="796"/>
      <c r="H345" s="796"/>
      <c r="I345" s="796"/>
      <c r="J345" s="797"/>
      <c r="K345" s="797"/>
      <c r="L345" s="796"/>
      <c r="M345" s="797"/>
      <c r="N345" s="797"/>
      <c r="O345" s="797"/>
      <c r="P345" s="797"/>
      <c r="Q345" s="797"/>
      <c r="R345" s="797"/>
      <c r="S345" s="797"/>
      <c r="T345" s="796"/>
    </row>
    <row r="346">
      <c r="A346" s="796"/>
      <c r="B346" s="796"/>
      <c r="C346" s="796"/>
      <c r="D346" s="796"/>
      <c r="E346" s="797"/>
      <c r="F346" s="796"/>
      <c r="G346" s="796"/>
      <c r="H346" s="796"/>
      <c r="I346" s="796"/>
      <c r="J346" s="797"/>
      <c r="K346" s="797"/>
      <c r="L346" s="796"/>
      <c r="M346" s="797"/>
      <c r="N346" s="797"/>
      <c r="O346" s="797"/>
      <c r="P346" s="797"/>
      <c r="Q346" s="797"/>
      <c r="R346" s="797"/>
      <c r="S346" s="797"/>
      <c r="T346" s="796"/>
    </row>
    <row r="347">
      <c r="A347" s="796"/>
      <c r="B347" s="796"/>
      <c r="C347" s="796"/>
      <c r="D347" s="796"/>
      <c r="E347" s="797"/>
      <c r="F347" s="796"/>
      <c r="G347" s="796"/>
      <c r="H347" s="796"/>
      <c r="I347" s="796"/>
      <c r="J347" s="797"/>
      <c r="K347" s="797"/>
      <c r="L347" s="796"/>
      <c r="M347" s="797"/>
      <c r="N347" s="797"/>
      <c r="O347" s="797"/>
      <c r="P347" s="797"/>
      <c r="Q347" s="797"/>
      <c r="R347" s="797"/>
      <c r="S347" s="797"/>
      <c r="T347" s="796"/>
    </row>
    <row r="348">
      <c r="A348" s="796"/>
      <c r="B348" s="796"/>
      <c r="C348" s="796"/>
      <c r="D348" s="796"/>
      <c r="E348" s="797"/>
      <c r="F348" s="796"/>
      <c r="G348" s="796"/>
      <c r="H348" s="796"/>
      <c r="I348" s="796"/>
      <c r="J348" s="797"/>
      <c r="K348" s="797"/>
      <c r="L348" s="796"/>
      <c r="M348" s="797"/>
      <c r="N348" s="797"/>
      <c r="O348" s="797"/>
      <c r="P348" s="797"/>
      <c r="Q348" s="797"/>
      <c r="R348" s="797"/>
      <c r="S348" s="797"/>
      <c r="T348" s="796"/>
    </row>
    <row r="349">
      <c r="A349" s="796"/>
      <c r="B349" s="796"/>
      <c r="C349" s="796"/>
      <c r="D349" s="796"/>
      <c r="E349" s="797"/>
      <c r="F349" s="796"/>
      <c r="G349" s="796"/>
      <c r="H349" s="796"/>
      <c r="I349" s="796"/>
      <c r="J349" s="797"/>
      <c r="K349" s="797"/>
      <c r="L349" s="796"/>
      <c r="M349" s="797"/>
      <c r="N349" s="797"/>
      <c r="O349" s="797"/>
      <c r="P349" s="797"/>
      <c r="Q349" s="797"/>
      <c r="R349" s="797"/>
      <c r="S349" s="797"/>
      <c r="T349" s="796"/>
    </row>
    <row r="350">
      <c r="A350" s="796"/>
      <c r="B350" s="796"/>
      <c r="C350" s="796"/>
      <c r="D350" s="796"/>
      <c r="E350" s="797"/>
      <c r="F350" s="796"/>
      <c r="G350" s="796"/>
      <c r="H350" s="796"/>
      <c r="I350" s="796"/>
      <c r="J350" s="797"/>
      <c r="K350" s="797"/>
      <c r="L350" s="796"/>
      <c r="M350" s="797"/>
      <c r="N350" s="797"/>
      <c r="O350" s="797"/>
      <c r="P350" s="797"/>
      <c r="Q350" s="797"/>
      <c r="R350" s="797"/>
      <c r="S350" s="797"/>
      <c r="T350" s="796"/>
    </row>
    <row r="351">
      <c r="A351" s="796"/>
      <c r="B351" s="796"/>
      <c r="C351" s="796"/>
      <c r="D351" s="796"/>
      <c r="E351" s="797"/>
      <c r="F351" s="796"/>
      <c r="G351" s="796"/>
      <c r="H351" s="796"/>
      <c r="I351" s="796"/>
      <c r="J351" s="797"/>
      <c r="K351" s="797"/>
      <c r="L351" s="796"/>
      <c r="M351" s="797"/>
      <c r="N351" s="797"/>
      <c r="O351" s="797"/>
      <c r="P351" s="797"/>
      <c r="Q351" s="797"/>
      <c r="R351" s="797"/>
      <c r="S351" s="797"/>
      <c r="T351" s="796"/>
    </row>
    <row r="352">
      <c r="A352" s="796"/>
      <c r="B352" s="796"/>
      <c r="C352" s="796"/>
      <c r="D352" s="796"/>
      <c r="E352" s="797"/>
      <c r="F352" s="796"/>
      <c r="G352" s="796"/>
      <c r="H352" s="796"/>
      <c r="I352" s="796"/>
      <c r="J352" s="797"/>
      <c r="K352" s="797"/>
      <c r="L352" s="796"/>
      <c r="M352" s="797"/>
      <c r="N352" s="797"/>
      <c r="O352" s="797"/>
      <c r="P352" s="797"/>
      <c r="Q352" s="797"/>
      <c r="R352" s="797"/>
      <c r="S352" s="797"/>
      <c r="T352" s="796"/>
    </row>
    <row r="353">
      <c r="A353" s="796"/>
      <c r="B353" s="796"/>
      <c r="C353" s="796"/>
      <c r="D353" s="796"/>
      <c r="E353" s="797"/>
      <c r="F353" s="796"/>
      <c r="G353" s="796"/>
      <c r="H353" s="796"/>
      <c r="I353" s="796"/>
      <c r="J353" s="797"/>
      <c r="K353" s="797"/>
      <c r="L353" s="796"/>
      <c r="M353" s="797"/>
      <c r="N353" s="797"/>
      <c r="O353" s="797"/>
      <c r="P353" s="797"/>
      <c r="Q353" s="797"/>
      <c r="R353" s="797"/>
      <c r="S353" s="797"/>
      <c r="T353" s="796"/>
    </row>
    <row r="354">
      <c r="A354" s="796"/>
      <c r="B354" s="796"/>
      <c r="C354" s="796"/>
      <c r="D354" s="796"/>
      <c r="E354" s="797"/>
      <c r="F354" s="796"/>
      <c r="G354" s="796"/>
      <c r="H354" s="796"/>
      <c r="I354" s="796"/>
      <c r="J354" s="797"/>
      <c r="K354" s="797"/>
      <c r="L354" s="796"/>
      <c r="M354" s="797"/>
      <c r="N354" s="797"/>
      <c r="O354" s="797"/>
      <c r="P354" s="797"/>
      <c r="Q354" s="797"/>
      <c r="R354" s="797"/>
      <c r="S354" s="797"/>
      <c r="T354" s="796"/>
    </row>
    <row r="355">
      <c r="A355" s="796"/>
      <c r="B355" s="796"/>
      <c r="C355" s="796"/>
      <c r="D355" s="796"/>
      <c r="E355" s="797"/>
      <c r="F355" s="796"/>
      <c r="G355" s="796"/>
      <c r="H355" s="796"/>
      <c r="I355" s="796"/>
      <c r="J355" s="797"/>
      <c r="K355" s="797"/>
      <c r="L355" s="796"/>
      <c r="M355" s="797"/>
      <c r="N355" s="797"/>
      <c r="O355" s="797"/>
      <c r="P355" s="797"/>
      <c r="Q355" s="797"/>
      <c r="R355" s="797"/>
      <c r="S355" s="797"/>
      <c r="T355" s="796"/>
    </row>
    <row r="356">
      <c r="A356" s="796"/>
      <c r="B356" s="796"/>
      <c r="C356" s="796"/>
      <c r="D356" s="796"/>
      <c r="E356" s="797"/>
      <c r="F356" s="796"/>
      <c r="G356" s="796"/>
      <c r="H356" s="796"/>
      <c r="I356" s="796"/>
      <c r="J356" s="797"/>
      <c r="K356" s="797"/>
      <c r="L356" s="796"/>
      <c r="M356" s="797"/>
      <c r="N356" s="797"/>
      <c r="O356" s="797"/>
      <c r="P356" s="797"/>
      <c r="Q356" s="797"/>
      <c r="R356" s="797"/>
      <c r="S356" s="797"/>
      <c r="T356" s="796"/>
    </row>
    <row r="357">
      <c r="A357" s="796"/>
      <c r="B357" s="796"/>
      <c r="C357" s="796"/>
      <c r="D357" s="796"/>
      <c r="E357" s="797"/>
      <c r="F357" s="796"/>
      <c r="G357" s="796"/>
      <c r="H357" s="796"/>
      <c r="I357" s="796"/>
      <c r="J357" s="797"/>
      <c r="K357" s="797"/>
      <c r="L357" s="796"/>
      <c r="M357" s="797"/>
      <c r="N357" s="797"/>
      <c r="O357" s="797"/>
      <c r="P357" s="797"/>
      <c r="Q357" s="797"/>
      <c r="R357" s="797"/>
      <c r="S357" s="797"/>
      <c r="T357" s="796"/>
    </row>
    <row r="358">
      <c r="A358" s="796"/>
      <c r="B358" s="796"/>
      <c r="C358" s="796"/>
      <c r="D358" s="796"/>
      <c r="E358" s="797"/>
      <c r="F358" s="796"/>
      <c r="G358" s="796"/>
      <c r="H358" s="796"/>
      <c r="I358" s="796"/>
      <c r="J358" s="797"/>
      <c r="K358" s="797"/>
      <c r="L358" s="796"/>
      <c r="M358" s="797"/>
      <c r="N358" s="797"/>
      <c r="O358" s="797"/>
      <c r="P358" s="797"/>
      <c r="Q358" s="797"/>
      <c r="R358" s="797"/>
      <c r="S358" s="797"/>
      <c r="T358" s="796"/>
    </row>
    <row r="359">
      <c r="A359" s="796"/>
      <c r="B359" s="796"/>
      <c r="C359" s="796"/>
      <c r="D359" s="796"/>
      <c r="E359" s="797"/>
      <c r="F359" s="796"/>
      <c r="G359" s="796"/>
      <c r="H359" s="796"/>
      <c r="I359" s="796"/>
      <c r="J359" s="797"/>
      <c r="K359" s="797"/>
      <c r="L359" s="796"/>
      <c r="M359" s="797"/>
      <c r="N359" s="797"/>
      <c r="O359" s="797"/>
      <c r="P359" s="797"/>
      <c r="Q359" s="797"/>
      <c r="R359" s="797"/>
      <c r="S359" s="797"/>
      <c r="T359" s="796"/>
    </row>
    <row r="360">
      <c r="A360" s="796"/>
      <c r="B360" s="796"/>
      <c r="C360" s="796"/>
      <c r="D360" s="796"/>
      <c r="E360" s="797"/>
      <c r="F360" s="796"/>
      <c r="G360" s="796"/>
      <c r="H360" s="796"/>
      <c r="I360" s="796"/>
      <c r="J360" s="797"/>
      <c r="K360" s="797"/>
      <c r="L360" s="796"/>
      <c r="M360" s="797"/>
      <c r="N360" s="797"/>
      <c r="O360" s="797"/>
      <c r="P360" s="797"/>
      <c r="Q360" s="797"/>
      <c r="R360" s="797"/>
      <c r="S360" s="797"/>
      <c r="T360" s="796"/>
    </row>
    <row r="361">
      <c r="A361" s="796"/>
      <c r="B361" s="796"/>
      <c r="C361" s="796"/>
      <c r="D361" s="796"/>
      <c r="E361" s="797"/>
      <c r="F361" s="796"/>
      <c r="G361" s="796"/>
      <c r="H361" s="796"/>
      <c r="I361" s="796"/>
      <c r="J361" s="797"/>
      <c r="K361" s="797"/>
      <c r="L361" s="796"/>
      <c r="M361" s="797"/>
      <c r="N361" s="797"/>
      <c r="O361" s="797"/>
      <c r="P361" s="797"/>
      <c r="Q361" s="797"/>
      <c r="R361" s="797"/>
      <c r="S361" s="797"/>
      <c r="T361" s="796"/>
    </row>
    <row r="362">
      <c r="A362" s="796"/>
      <c r="B362" s="796"/>
      <c r="C362" s="796"/>
      <c r="D362" s="796"/>
      <c r="E362" s="797"/>
      <c r="F362" s="796"/>
      <c r="G362" s="796"/>
      <c r="H362" s="796"/>
      <c r="I362" s="796"/>
      <c r="J362" s="797"/>
      <c r="K362" s="797"/>
      <c r="L362" s="796"/>
      <c r="M362" s="797"/>
      <c r="N362" s="797"/>
      <c r="O362" s="797"/>
      <c r="P362" s="797"/>
      <c r="Q362" s="797"/>
      <c r="R362" s="797"/>
      <c r="S362" s="797"/>
      <c r="T362" s="796"/>
    </row>
    <row r="363">
      <c r="A363" s="796"/>
      <c r="B363" s="796"/>
      <c r="C363" s="796"/>
      <c r="D363" s="796"/>
      <c r="E363" s="797"/>
      <c r="F363" s="796"/>
      <c r="G363" s="796"/>
      <c r="H363" s="796"/>
      <c r="I363" s="796"/>
      <c r="J363" s="797"/>
      <c r="K363" s="797"/>
      <c r="L363" s="796"/>
      <c r="M363" s="797"/>
      <c r="N363" s="797"/>
      <c r="O363" s="797"/>
      <c r="P363" s="797"/>
      <c r="Q363" s="797"/>
      <c r="R363" s="797"/>
      <c r="S363" s="797"/>
      <c r="T363" s="796"/>
    </row>
    <row r="364">
      <c r="A364" s="796"/>
      <c r="B364" s="796"/>
      <c r="C364" s="796"/>
      <c r="D364" s="796"/>
      <c r="E364" s="797"/>
      <c r="F364" s="796"/>
      <c r="G364" s="796"/>
      <c r="H364" s="796"/>
      <c r="I364" s="796"/>
      <c r="J364" s="797"/>
      <c r="K364" s="797"/>
      <c r="L364" s="796"/>
      <c r="M364" s="797"/>
      <c r="N364" s="797"/>
      <c r="O364" s="797"/>
      <c r="P364" s="797"/>
      <c r="Q364" s="797"/>
      <c r="R364" s="797"/>
      <c r="S364" s="797"/>
      <c r="T364" s="796"/>
    </row>
    <row r="365">
      <c r="A365" s="796"/>
      <c r="B365" s="796"/>
      <c r="C365" s="796"/>
      <c r="D365" s="796"/>
      <c r="E365" s="797"/>
      <c r="F365" s="796"/>
      <c r="G365" s="796"/>
      <c r="H365" s="796"/>
      <c r="I365" s="796"/>
      <c r="J365" s="797"/>
      <c r="K365" s="797"/>
      <c r="L365" s="796"/>
      <c r="M365" s="797"/>
      <c r="N365" s="797"/>
      <c r="O365" s="797"/>
      <c r="P365" s="797"/>
      <c r="Q365" s="797"/>
      <c r="R365" s="797"/>
      <c r="S365" s="797"/>
      <c r="T365" s="796"/>
    </row>
    <row r="366">
      <c r="A366" s="796"/>
      <c r="B366" s="796"/>
      <c r="C366" s="796"/>
      <c r="D366" s="796"/>
      <c r="E366" s="797"/>
      <c r="F366" s="796"/>
      <c r="G366" s="796"/>
      <c r="H366" s="796"/>
      <c r="I366" s="796"/>
      <c r="J366" s="797"/>
      <c r="K366" s="797"/>
      <c r="L366" s="796"/>
      <c r="M366" s="797"/>
      <c r="N366" s="797"/>
      <c r="O366" s="797"/>
      <c r="P366" s="797"/>
      <c r="Q366" s="797"/>
      <c r="R366" s="797"/>
      <c r="S366" s="797"/>
      <c r="T366" s="796"/>
    </row>
    <row r="367">
      <c r="A367" s="796"/>
      <c r="B367" s="796"/>
      <c r="C367" s="796"/>
      <c r="D367" s="796"/>
      <c r="E367" s="797"/>
      <c r="F367" s="796"/>
      <c r="G367" s="796"/>
      <c r="H367" s="796"/>
      <c r="I367" s="796"/>
      <c r="J367" s="797"/>
      <c r="K367" s="797"/>
      <c r="L367" s="796"/>
      <c r="M367" s="797"/>
      <c r="N367" s="797"/>
      <c r="O367" s="797"/>
      <c r="P367" s="797"/>
      <c r="Q367" s="797"/>
      <c r="R367" s="797"/>
      <c r="S367" s="797"/>
      <c r="T367" s="796"/>
    </row>
    <row r="368">
      <c r="A368" s="796"/>
      <c r="B368" s="796"/>
      <c r="C368" s="796"/>
      <c r="D368" s="796"/>
      <c r="E368" s="797"/>
      <c r="F368" s="796"/>
      <c r="G368" s="796"/>
      <c r="H368" s="796"/>
      <c r="I368" s="796"/>
      <c r="J368" s="797"/>
      <c r="K368" s="797"/>
      <c r="L368" s="796"/>
      <c r="M368" s="797"/>
      <c r="N368" s="797"/>
      <c r="O368" s="797"/>
      <c r="P368" s="797"/>
      <c r="Q368" s="797"/>
      <c r="R368" s="797"/>
      <c r="S368" s="797"/>
      <c r="T368" s="796"/>
    </row>
    <row r="369">
      <c r="A369" s="796"/>
      <c r="B369" s="796"/>
      <c r="C369" s="796"/>
      <c r="D369" s="796"/>
      <c r="E369" s="797"/>
      <c r="F369" s="796"/>
      <c r="G369" s="796"/>
      <c r="H369" s="796"/>
      <c r="I369" s="796"/>
      <c r="J369" s="797"/>
      <c r="K369" s="797"/>
      <c r="L369" s="796"/>
      <c r="M369" s="797"/>
      <c r="N369" s="797"/>
      <c r="O369" s="797"/>
      <c r="P369" s="797"/>
      <c r="Q369" s="797"/>
      <c r="R369" s="797"/>
      <c r="S369" s="797"/>
      <c r="T369" s="796"/>
    </row>
    <row r="370">
      <c r="A370" s="796"/>
      <c r="B370" s="796"/>
      <c r="C370" s="796"/>
      <c r="D370" s="796"/>
      <c r="E370" s="797"/>
      <c r="F370" s="796"/>
      <c r="G370" s="796"/>
      <c r="H370" s="796"/>
      <c r="I370" s="796"/>
      <c r="J370" s="797"/>
      <c r="K370" s="797"/>
      <c r="L370" s="796"/>
      <c r="M370" s="797"/>
      <c r="N370" s="797"/>
      <c r="O370" s="797"/>
      <c r="P370" s="797"/>
      <c r="Q370" s="797"/>
      <c r="R370" s="797"/>
      <c r="S370" s="797"/>
      <c r="T370" s="796"/>
    </row>
    <row r="371">
      <c r="A371" s="796"/>
      <c r="B371" s="796"/>
      <c r="C371" s="796"/>
      <c r="D371" s="796"/>
      <c r="E371" s="797"/>
      <c r="F371" s="796"/>
      <c r="G371" s="796"/>
      <c r="H371" s="796"/>
      <c r="I371" s="796"/>
      <c r="J371" s="797"/>
      <c r="K371" s="797"/>
      <c r="L371" s="796"/>
      <c r="M371" s="797"/>
      <c r="N371" s="797"/>
      <c r="O371" s="797"/>
      <c r="P371" s="797"/>
      <c r="Q371" s="797"/>
      <c r="R371" s="797"/>
      <c r="S371" s="797"/>
      <c r="T371" s="796"/>
    </row>
    <row r="372">
      <c r="A372" s="796"/>
      <c r="B372" s="796"/>
      <c r="C372" s="796"/>
      <c r="D372" s="796"/>
      <c r="E372" s="797"/>
      <c r="F372" s="796"/>
      <c r="G372" s="796"/>
      <c r="H372" s="796"/>
      <c r="I372" s="796"/>
      <c r="J372" s="797"/>
      <c r="K372" s="797"/>
      <c r="L372" s="796"/>
      <c r="M372" s="797"/>
      <c r="N372" s="797"/>
      <c r="O372" s="797"/>
      <c r="P372" s="797"/>
      <c r="Q372" s="797"/>
      <c r="R372" s="797"/>
      <c r="S372" s="797"/>
      <c r="T372" s="796"/>
    </row>
    <row r="373">
      <c r="A373" s="796"/>
      <c r="B373" s="796"/>
      <c r="C373" s="796"/>
      <c r="D373" s="796"/>
      <c r="E373" s="797"/>
      <c r="F373" s="796"/>
      <c r="G373" s="796"/>
      <c r="H373" s="796"/>
      <c r="I373" s="796"/>
      <c r="J373" s="797"/>
      <c r="K373" s="797"/>
      <c r="L373" s="796"/>
      <c r="M373" s="797"/>
      <c r="N373" s="797"/>
      <c r="O373" s="797"/>
      <c r="P373" s="797"/>
      <c r="Q373" s="797"/>
      <c r="R373" s="797"/>
      <c r="S373" s="797"/>
      <c r="T373" s="796"/>
    </row>
    <row r="374">
      <c r="A374" s="796"/>
      <c r="B374" s="796"/>
      <c r="C374" s="796"/>
      <c r="D374" s="796"/>
      <c r="E374" s="797"/>
      <c r="F374" s="796"/>
      <c r="G374" s="796"/>
      <c r="H374" s="796"/>
      <c r="I374" s="796"/>
      <c r="J374" s="797"/>
      <c r="K374" s="797"/>
      <c r="L374" s="796"/>
      <c r="M374" s="797"/>
      <c r="N374" s="797"/>
      <c r="O374" s="797"/>
      <c r="P374" s="797"/>
      <c r="Q374" s="797"/>
      <c r="R374" s="797"/>
      <c r="S374" s="797"/>
      <c r="T374" s="796"/>
    </row>
    <row r="375">
      <c r="A375" s="796"/>
      <c r="B375" s="796"/>
      <c r="C375" s="796"/>
      <c r="D375" s="796"/>
      <c r="E375" s="797"/>
      <c r="F375" s="796"/>
      <c r="G375" s="796"/>
      <c r="H375" s="796"/>
      <c r="I375" s="796"/>
      <c r="J375" s="797"/>
      <c r="K375" s="797"/>
      <c r="L375" s="796"/>
      <c r="M375" s="797"/>
      <c r="N375" s="797"/>
      <c r="O375" s="797"/>
      <c r="P375" s="797"/>
      <c r="Q375" s="797"/>
      <c r="R375" s="797"/>
      <c r="S375" s="797"/>
      <c r="T375" s="796"/>
    </row>
    <row r="376">
      <c r="A376" s="796"/>
      <c r="B376" s="796"/>
      <c r="C376" s="796"/>
      <c r="D376" s="796"/>
      <c r="E376" s="797"/>
      <c r="F376" s="796"/>
      <c r="G376" s="796"/>
      <c r="H376" s="796"/>
      <c r="I376" s="796"/>
      <c r="J376" s="797"/>
      <c r="K376" s="797"/>
      <c r="L376" s="796"/>
      <c r="M376" s="797"/>
      <c r="N376" s="797"/>
      <c r="O376" s="797"/>
      <c r="P376" s="797"/>
      <c r="Q376" s="797"/>
      <c r="R376" s="797"/>
      <c r="S376" s="797"/>
      <c r="T376" s="796"/>
    </row>
    <row r="377">
      <c r="A377" s="796"/>
      <c r="B377" s="796"/>
      <c r="C377" s="796"/>
      <c r="D377" s="796"/>
      <c r="E377" s="797"/>
      <c r="F377" s="796"/>
      <c r="G377" s="796"/>
      <c r="H377" s="796"/>
      <c r="I377" s="796"/>
      <c r="J377" s="797"/>
      <c r="K377" s="797"/>
      <c r="L377" s="796"/>
      <c r="M377" s="797"/>
      <c r="N377" s="797"/>
      <c r="O377" s="797"/>
      <c r="P377" s="797"/>
      <c r="Q377" s="797"/>
      <c r="R377" s="797"/>
      <c r="S377" s="797"/>
      <c r="T377" s="796"/>
    </row>
    <row r="378">
      <c r="A378" s="796"/>
      <c r="B378" s="796"/>
      <c r="C378" s="796"/>
      <c r="D378" s="796"/>
      <c r="E378" s="797"/>
      <c r="F378" s="796"/>
      <c r="G378" s="796"/>
      <c r="H378" s="796"/>
      <c r="I378" s="796"/>
      <c r="J378" s="797"/>
      <c r="K378" s="797"/>
      <c r="L378" s="796"/>
      <c r="M378" s="797"/>
      <c r="N378" s="797"/>
      <c r="O378" s="797"/>
      <c r="P378" s="797"/>
      <c r="Q378" s="797"/>
      <c r="R378" s="797"/>
      <c r="S378" s="797"/>
      <c r="T378" s="796"/>
    </row>
    <row r="379">
      <c r="A379" s="796"/>
      <c r="B379" s="796"/>
      <c r="C379" s="796"/>
      <c r="D379" s="796"/>
      <c r="E379" s="797"/>
      <c r="F379" s="796"/>
      <c r="G379" s="796"/>
      <c r="H379" s="796"/>
      <c r="I379" s="796"/>
      <c r="J379" s="797"/>
      <c r="K379" s="797"/>
      <c r="L379" s="796"/>
      <c r="M379" s="797"/>
      <c r="N379" s="797"/>
      <c r="O379" s="797"/>
      <c r="P379" s="797"/>
      <c r="Q379" s="797"/>
      <c r="R379" s="797"/>
      <c r="S379" s="797"/>
      <c r="T379" s="796"/>
    </row>
    <row r="380">
      <c r="A380" s="796"/>
      <c r="B380" s="796"/>
      <c r="C380" s="796"/>
      <c r="D380" s="796"/>
      <c r="E380" s="797"/>
      <c r="F380" s="796"/>
      <c r="G380" s="796"/>
      <c r="H380" s="796"/>
      <c r="I380" s="796"/>
      <c r="J380" s="797"/>
      <c r="K380" s="797"/>
      <c r="L380" s="796"/>
      <c r="M380" s="797"/>
      <c r="N380" s="797"/>
      <c r="O380" s="797"/>
      <c r="P380" s="797"/>
      <c r="Q380" s="797"/>
      <c r="R380" s="797"/>
      <c r="S380" s="797"/>
      <c r="T380" s="796"/>
    </row>
    <row r="381">
      <c r="A381" s="796"/>
      <c r="B381" s="796"/>
      <c r="C381" s="796"/>
      <c r="D381" s="796"/>
      <c r="E381" s="797"/>
      <c r="F381" s="796"/>
      <c r="G381" s="796"/>
      <c r="H381" s="796"/>
      <c r="I381" s="796"/>
      <c r="J381" s="797"/>
      <c r="K381" s="797"/>
      <c r="L381" s="796"/>
      <c r="M381" s="797"/>
      <c r="N381" s="797"/>
      <c r="O381" s="797"/>
      <c r="P381" s="797"/>
      <c r="Q381" s="797"/>
      <c r="R381" s="797"/>
      <c r="S381" s="797"/>
      <c r="T381" s="796"/>
    </row>
    <row r="382">
      <c r="A382" s="796"/>
      <c r="B382" s="796"/>
      <c r="C382" s="796"/>
      <c r="D382" s="796"/>
      <c r="E382" s="797"/>
      <c r="F382" s="796"/>
      <c r="G382" s="796"/>
      <c r="H382" s="796"/>
      <c r="I382" s="796"/>
      <c r="J382" s="797"/>
      <c r="K382" s="797"/>
      <c r="L382" s="796"/>
      <c r="M382" s="797"/>
      <c r="N382" s="797"/>
      <c r="O382" s="797"/>
      <c r="P382" s="797"/>
      <c r="Q382" s="797"/>
      <c r="R382" s="797"/>
      <c r="S382" s="797"/>
      <c r="T382" s="796"/>
    </row>
    <row r="383">
      <c r="A383" s="796"/>
      <c r="B383" s="796"/>
      <c r="C383" s="796"/>
      <c r="D383" s="796"/>
      <c r="E383" s="797"/>
      <c r="F383" s="796"/>
      <c r="G383" s="796"/>
      <c r="H383" s="796"/>
      <c r="I383" s="796"/>
      <c r="J383" s="797"/>
      <c r="K383" s="797"/>
      <c r="L383" s="796"/>
      <c r="M383" s="797"/>
      <c r="N383" s="797"/>
      <c r="O383" s="797"/>
      <c r="P383" s="797"/>
      <c r="Q383" s="797"/>
      <c r="R383" s="797"/>
      <c r="S383" s="797"/>
      <c r="T383" s="796"/>
    </row>
    <row r="384">
      <c r="A384" s="796"/>
      <c r="B384" s="796"/>
      <c r="C384" s="796"/>
      <c r="D384" s="796"/>
      <c r="E384" s="797"/>
      <c r="F384" s="796"/>
      <c r="G384" s="796"/>
      <c r="H384" s="796"/>
      <c r="I384" s="796"/>
      <c r="J384" s="797"/>
      <c r="K384" s="797"/>
      <c r="L384" s="796"/>
      <c r="M384" s="797"/>
      <c r="N384" s="797"/>
      <c r="O384" s="797"/>
      <c r="P384" s="797"/>
      <c r="Q384" s="797"/>
      <c r="R384" s="797"/>
      <c r="S384" s="797"/>
      <c r="T384" s="796"/>
    </row>
    <row r="385">
      <c r="A385" s="796"/>
      <c r="B385" s="796"/>
      <c r="C385" s="796"/>
      <c r="D385" s="796"/>
      <c r="E385" s="797"/>
      <c r="F385" s="796"/>
      <c r="G385" s="796"/>
      <c r="H385" s="796"/>
      <c r="I385" s="796"/>
      <c r="J385" s="797"/>
      <c r="K385" s="797"/>
      <c r="L385" s="796"/>
      <c r="M385" s="797"/>
      <c r="N385" s="797"/>
      <c r="O385" s="797"/>
      <c r="P385" s="797"/>
      <c r="Q385" s="797"/>
      <c r="R385" s="797"/>
      <c r="S385" s="797"/>
      <c r="T385" s="796"/>
    </row>
    <row r="386">
      <c r="A386" s="796"/>
      <c r="B386" s="796"/>
      <c r="C386" s="796"/>
      <c r="D386" s="796"/>
      <c r="E386" s="797"/>
      <c r="F386" s="796"/>
      <c r="G386" s="796"/>
      <c r="H386" s="796"/>
      <c r="I386" s="796"/>
      <c r="J386" s="797"/>
      <c r="K386" s="797"/>
      <c r="L386" s="796"/>
      <c r="M386" s="797"/>
      <c r="N386" s="797"/>
      <c r="O386" s="797"/>
      <c r="P386" s="797"/>
      <c r="Q386" s="797"/>
      <c r="R386" s="797"/>
      <c r="S386" s="797"/>
      <c r="T386" s="796"/>
    </row>
    <row r="387">
      <c r="A387" s="796"/>
      <c r="B387" s="796"/>
      <c r="C387" s="796"/>
      <c r="D387" s="796"/>
      <c r="E387" s="797"/>
      <c r="F387" s="796"/>
      <c r="G387" s="796"/>
      <c r="H387" s="796"/>
      <c r="I387" s="796"/>
      <c r="J387" s="797"/>
      <c r="K387" s="797"/>
      <c r="L387" s="796"/>
      <c r="M387" s="797"/>
      <c r="N387" s="797"/>
      <c r="O387" s="797"/>
      <c r="P387" s="797"/>
      <c r="Q387" s="797"/>
      <c r="R387" s="797"/>
      <c r="S387" s="797"/>
      <c r="T387" s="796"/>
    </row>
    <row r="388">
      <c r="A388" s="796"/>
      <c r="B388" s="796"/>
      <c r="C388" s="796"/>
      <c r="D388" s="796"/>
      <c r="E388" s="797"/>
      <c r="F388" s="796"/>
      <c r="G388" s="796"/>
      <c r="H388" s="796"/>
      <c r="I388" s="796"/>
      <c r="J388" s="797"/>
      <c r="K388" s="797"/>
      <c r="L388" s="796"/>
      <c r="M388" s="797"/>
      <c r="N388" s="797"/>
      <c r="O388" s="797"/>
      <c r="P388" s="797"/>
      <c r="Q388" s="797"/>
      <c r="R388" s="797"/>
      <c r="S388" s="797"/>
      <c r="T388" s="796"/>
    </row>
    <row r="389">
      <c r="A389" s="796"/>
      <c r="B389" s="796"/>
      <c r="C389" s="796"/>
      <c r="D389" s="796"/>
      <c r="E389" s="797"/>
      <c r="F389" s="796"/>
      <c r="G389" s="796"/>
      <c r="H389" s="796"/>
      <c r="I389" s="796"/>
      <c r="J389" s="797"/>
      <c r="K389" s="797"/>
      <c r="L389" s="796"/>
      <c r="M389" s="797"/>
      <c r="N389" s="797"/>
      <c r="O389" s="797"/>
      <c r="P389" s="797"/>
      <c r="Q389" s="797"/>
      <c r="R389" s="797"/>
      <c r="S389" s="797"/>
      <c r="T389" s="796"/>
    </row>
    <row r="390">
      <c r="A390" s="796"/>
      <c r="B390" s="796"/>
      <c r="C390" s="796"/>
      <c r="D390" s="796"/>
      <c r="E390" s="797"/>
      <c r="F390" s="796"/>
      <c r="G390" s="796"/>
      <c r="H390" s="796"/>
      <c r="I390" s="796"/>
      <c r="J390" s="797"/>
      <c r="K390" s="797"/>
      <c r="L390" s="796"/>
      <c r="M390" s="797"/>
      <c r="N390" s="797"/>
      <c r="O390" s="797"/>
      <c r="P390" s="797"/>
      <c r="Q390" s="797"/>
      <c r="R390" s="797"/>
      <c r="S390" s="797"/>
      <c r="T390" s="796"/>
    </row>
    <row r="391">
      <c r="A391" s="796"/>
      <c r="B391" s="796"/>
      <c r="C391" s="796"/>
      <c r="D391" s="796"/>
      <c r="E391" s="797"/>
      <c r="F391" s="796"/>
      <c r="G391" s="796"/>
      <c r="H391" s="796"/>
      <c r="I391" s="796"/>
      <c r="J391" s="797"/>
      <c r="K391" s="797"/>
      <c r="L391" s="796"/>
      <c r="M391" s="797"/>
      <c r="N391" s="797"/>
      <c r="O391" s="797"/>
      <c r="P391" s="797"/>
      <c r="Q391" s="797"/>
      <c r="R391" s="797"/>
      <c r="S391" s="797"/>
      <c r="T391" s="796"/>
    </row>
    <row r="392">
      <c r="A392" s="796"/>
      <c r="B392" s="796"/>
      <c r="C392" s="796"/>
      <c r="D392" s="796"/>
      <c r="E392" s="797"/>
      <c r="F392" s="796"/>
      <c r="G392" s="796"/>
      <c r="H392" s="796"/>
      <c r="I392" s="796"/>
      <c r="J392" s="797"/>
      <c r="K392" s="797"/>
      <c r="L392" s="796"/>
      <c r="M392" s="797"/>
      <c r="N392" s="797"/>
      <c r="O392" s="797"/>
      <c r="P392" s="797"/>
      <c r="Q392" s="797"/>
      <c r="R392" s="797"/>
      <c r="S392" s="797"/>
      <c r="T392" s="796"/>
    </row>
    <row r="393">
      <c r="A393" s="796"/>
      <c r="B393" s="796"/>
      <c r="C393" s="796"/>
      <c r="D393" s="796"/>
      <c r="E393" s="797"/>
      <c r="F393" s="796"/>
      <c r="G393" s="796"/>
      <c r="H393" s="796"/>
      <c r="I393" s="796"/>
      <c r="J393" s="797"/>
      <c r="K393" s="797"/>
      <c r="L393" s="796"/>
      <c r="M393" s="797"/>
      <c r="N393" s="797"/>
      <c r="O393" s="797"/>
      <c r="P393" s="797"/>
      <c r="Q393" s="797"/>
      <c r="R393" s="797"/>
      <c r="S393" s="797"/>
      <c r="T393" s="796"/>
    </row>
    <row r="394">
      <c r="A394" s="796"/>
      <c r="B394" s="796"/>
      <c r="C394" s="796"/>
      <c r="D394" s="796"/>
      <c r="E394" s="797"/>
      <c r="F394" s="796"/>
      <c r="G394" s="796"/>
      <c r="H394" s="796"/>
      <c r="I394" s="796"/>
      <c r="J394" s="797"/>
      <c r="K394" s="797"/>
      <c r="L394" s="796"/>
      <c r="M394" s="797"/>
      <c r="N394" s="797"/>
      <c r="O394" s="797"/>
      <c r="P394" s="797"/>
      <c r="Q394" s="797"/>
      <c r="R394" s="797"/>
      <c r="S394" s="797"/>
      <c r="T394" s="796"/>
    </row>
    <row r="395">
      <c r="A395" s="796"/>
      <c r="B395" s="796"/>
      <c r="C395" s="796"/>
      <c r="D395" s="796"/>
      <c r="E395" s="797"/>
      <c r="F395" s="796"/>
      <c r="G395" s="796"/>
      <c r="H395" s="796"/>
      <c r="I395" s="796"/>
      <c r="J395" s="797"/>
      <c r="K395" s="797"/>
      <c r="L395" s="796"/>
      <c r="M395" s="797"/>
      <c r="N395" s="797"/>
      <c r="O395" s="797"/>
      <c r="P395" s="797"/>
      <c r="Q395" s="797"/>
      <c r="R395" s="797"/>
      <c r="S395" s="797"/>
      <c r="T395" s="796"/>
    </row>
    <row r="396">
      <c r="A396" s="796"/>
      <c r="B396" s="796"/>
      <c r="C396" s="796"/>
      <c r="D396" s="796"/>
      <c r="E396" s="797"/>
      <c r="F396" s="796"/>
      <c r="G396" s="796"/>
      <c r="H396" s="796"/>
      <c r="I396" s="796"/>
      <c r="J396" s="797"/>
      <c r="K396" s="797"/>
      <c r="L396" s="796"/>
      <c r="M396" s="797"/>
      <c r="N396" s="797"/>
      <c r="O396" s="797"/>
      <c r="P396" s="797"/>
      <c r="Q396" s="797"/>
      <c r="R396" s="797"/>
      <c r="S396" s="797"/>
      <c r="T396" s="796"/>
    </row>
    <row r="397">
      <c r="A397" s="796"/>
      <c r="B397" s="796"/>
      <c r="C397" s="796"/>
      <c r="D397" s="796"/>
      <c r="E397" s="797"/>
      <c r="F397" s="796"/>
      <c r="G397" s="796"/>
      <c r="H397" s="796"/>
      <c r="I397" s="796"/>
      <c r="J397" s="797"/>
      <c r="K397" s="797"/>
      <c r="L397" s="796"/>
      <c r="M397" s="797"/>
      <c r="N397" s="797"/>
      <c r="O397" s="797"/>
      <c r="P397" s="797"/>
      <c r="Q397" s="797"/>
      <c r="R397" s="797"/>
      <c r="S397" s="797"/>
      <c r="T397" s="796"/>
    </row>
    <row r="398">
      <c r="A398" s="796"/>
      <c r="B398" s="796"/>
      <c r="C398" s="796"/>
      <c r="D398" s="796"/>
      <c r="E398" s="797"/>
      <c r="F398" s="796"/>
      <c r="G398" s="796"/>
      <c r="H398" s="796"/>
      <c r="I398" s="796"/>
      <c r="J398" s="797"/>
      <c r="K398" s="797"/>
      <c r="L398" s="796"/>
      <c r="M398" s="797"/>
      <c r="N398" s="797"/>
      <c r="O398" s="797"/>
      <c r="P398" s="797"/>
      <c r="Q398" s="797"/>
      <c r="R398" s="797"/>
      <c r="S398" s="797"/>
      <c r="T398" s="796"/>
    </row>
    <row r="399">
      <c r="A399" s="796"/>
      <c r="B399" s="796"/>
      <c r="C399" s="796"/>
      <c r="D399" s="796"/>
      <c r="E399" s="797"/>
      <c r="F399" s="796"/>
      <c r="G399" s="796"/>
      <c r="H399" s="796"/>
      <c r="I399" s="796"/>
      <c r="J399" s="797"/>
      <c r="K399" s="797"/>
      <c r="L399" s="796"/>
      <c r="M399" s="797"/>
      <c r="N399" s="797"/>
      <c r="O399" s="797"/>
      <c r="P399" s="797"/>
      <c r="Q399" s="797"/>
      <c r="R399" s="797"/>
      <c r="S399" s="797"/>
      <c r="T399" s="796"/>
    </row>
    <row r="400">
      <c r="A400" s="796"/>
      <c r="B400" s="796"/>
      <c r="C400" s="796"/>
      <c r="D400" s="796"/>
      <c r="E400" s="797"/>
      <c r="F400" s="796"/>
      <c r="G400" s="796"/>
      <c r="H400" s="796"/>
      <c r="I400" s="796"/>
      <c r="J400" s="797"/>
      <c r="K400" s="797"/>
      <c r="L400" s="796"/>
      <c r="M400" s="797"/>
      <c r="N400" s="797"/>
      <c r="O400" s="797"/>
      <c r="P400" s="797"/>
      <c r="Q400" s="797"/>
      <c r="R400" s="797"/>
      <c r="S400" s="797"/>
      <c r="T400" s="796"/>
    </row>
    <row r="401">
      <c r="A401" s="796"/>
      <c r="B401" s="796"/>
      <c r="C401" s="796"/>
      <c r="D401" s="796"/>
      <c r="E401" s="797"/>
      <c r="F401" s="796"/>
      <c r="G401" s="796"/>
      <c r="H401" s="796"/>
      <c r="I401" s="796"/>
      <c r="J401" s="797"/>
      <c r="K401" s="797"/>
      <c r="L401" s="796"/>
      <c r="M401" s="797"/>
      <c r="N401" s="797"/>
      <c r="O401" s="797"/>
      <c r="P401" s="797"/>
      <c r="Q401" s="797"/>
      <c r="R401" s="797"/>
      <c r="S401" s="797"/>
      <c r="T401" s="796"/>
    </row>
    <row r="402">
      <c r="A402" s="796"/>
      <c r="B402" s="796"/>
      <c r="C402" s="796"/>
      <c r="D402" s="796"/>
      <c r="E402" s="797"/>
      <c r="F402" s="796"/>
      <c r="G402" s="796"/>
      <c r="H402" s="796"/>
      <c r="I402" s="796"/>
      <c r="J402" s="797"/>
      <c r="K402" s="797"/>
      <c r="L402" s="796"/>
      <c r="M402" s="797"/>
      <c r="N402" s="797"/>
      <c r="O402" s="797"/>
      <c r="P402" s="797"/>
      <c r="Q402" s="797"/>
      <c r="R402" s="797"/>
      <c r="S402" s="797"/>
      <c r="T402" s="796"/>
    </row>
    <row r="403">
      <c r="A403" s="796"/>
      <c r="B403" s="796"/>
      <c r="C403" s="796"/>
      <c r="D403" s="796"/>
      <c r="E403" s="797"/>
      <c r="F403" s="796"/>
      <c r="G403" s="796"/>
      <c r="H403" s="796"/>
      <c r="I403" s="796"/>
      <c r="J403" s="797"/>
      <c r="K403" s="797"/>
      <c r="L403" s="796"/>
      <c r="M403" s="797"/>
      <c r="N403" s="797"/>
      <c r="O403" s="797"/>
      <c r="P403" s="797"/>
      <c r="Q403" s="797"/>
      <c r="R403" s="797"/>
      <c r="S403" s="797"/>
      <c r="T403" s="796"/>
    </row>
    <row r="404">
      <c r="A404" s="796"/>
      <c r="B404" s="796"/>
      <c r="C404" s="796"/>
      <c r="D404" s="796"/>
      <c r="E404" s="797"/>
      <c r="F404" s="796"/>
      <c r="G404" s="796"/>
      <c r="H404" s="796"/>
      <c r="I404" s="796"/>
      <c r="J404" s="797"/>
      <c r="K404" s="797"/>
      <c r="L404" s="796"/>
      <c r="M404" s="797"/>
      <c r="N404" s="797"/>
      <c r="O404" s="797"/>
      <c r="P404" s="797"/>
      <c r="Q404" s="797"/>
      <c r="R404" s="797"/>
      <c r="S404" s="797"/>
      <c r="T404" s="796"/>
    </row>
    <row r="405">
      <c r="A405" s="796"/>
      <c r="B405" s="796"/>
      <c r="C405" s="796"/>
      <c r="D405" s="796"/>
      <c r="E405" s="797"/>
      <c r="F405" s="796"/>
      <c r="G405" s="796"/>
      <c r="H405" s="796"/>
      <c r="I405" s="796"/>
      <c r="J405" s="797"/>
      <c r="K405" s="797"/>
      <c r="L405" s="796"/>
      <c r="M405" s="797"/>
      <c r="N405" s="797"/>
      <c r="O405" s="797"/>
      <c r="P405" s="797"/>
      <c r="Q405" s="797"/>
      <c r="R405" s="797"/>
      <c r="S405" s="797"/>
      <c r="T405" s="796"/>
    </row>
    <row r="406">
      <c r="A406" s="796"/>
      <c r="B406" s="796"/>
      <c r="C406" s="796"/>
      <c r="D406" s="796"/>
      <c r="E406" s="797"/>
      <c r="F406" s="796"/>
      <c r="G406" s="796"/>
      <c r="H406" s="796"/>
      <c r="I406" s="796"/>
      <c r="J406" s="797"/>
      <c r="K406" s="797"/>
      <c r="L406" s="796"/>
      <c r="M406" s="797"/>
      <c r="N406" s="797"/>
      <c r="O406" s="797"/>
      <c r="P406" s="797"/>
      <c r="Q406" s="797"/>
      <c r="R406" s="797"/>
      <c r="S406" s="797"/>
      <c r="T406" s="796"/>
    </row>
    <row r="407">
      <c r="A407" s="796"/>
      <c r="B407" s="796"/>
      <c r="C407" s="796"/>
      <c r="D407" s="796"/>
      <c r="E407" s="797"/>
      <c r="F407" s="796"/>
      <c r="G407" s="796"/>
      <c r="H407" s="796"/>
      <c r="I407" s="796"/>
      <c r="J407" s="797"/>
      <c r="K407" s="797"/>
      <c r="L407" s="796"/>
      <c r="M407" s="797"/>
      <c r="N407" s="797"/>
      <c r="O407" s="797"/>
      <c r="P407" s="797"/>
      <c r="Q407" s="797"/>
      <c r="R407" s="797"/>
      <c r="S407" s="797"/>
      <c r="T407" s="796"/>
    </row>
    <row r="408">
      <c r="A408" s="796"/>
      <c r="B408" s="796"/>
      <c r="C408" s="796"/>
      <c r="D408" s="796"/>
      <c r="E408" s="797"/>
      <c r="F408" s="796"/>
      <c r="G408" s="796"/>
      <c r="H408" s="796"/>
      <c r="I408" s="796"/>
      <c r="J408" s="797"/>
      <c r="K408" s="797"/>
      <c r="L408" s="796"/>
      <c r="M408" s="797"/>
      <c r="N408" s="797"/>
      <c r="O408" s="797"/>
      <c r="P408" s="797"/>
      <c r="Q408" s="797"/>
      <c r="R408" s="797"/>
      <c r="S408" s="797"/>
      <c r="T408" s="796"/>
    </row>
    <row r="409">
      <c r="A409" s="796"/>
      <c r="B409" s="796"/>
      <c r="C409" s="796"/>
      <c r="D409" s="796"/>
      <c r="E409" s="797"/>
      <c r="F409" s="796"/>
      <c r="G409" s="796"/>
      <c r="H409" s="796"/>
      <c r="I409" s="796"/>
      <c r="J409" s="797"/>
      <c r="K409" s="797"/>
      <c r="L409" s="796"/>
      <c r="M409" s="797"/>
      <c r="N409" s="797"/>
      <c r="O409" s="797"/>
      <c r="P409" s="797"/>
      <c r="Q409" s="797"/>
      <c r="R409" s="797"/>
      <c r="S409" s="797"/>
      <c r="T409" s="796"/>
    </row>
    <row r="410">
      <c r="A410" s="796"/>
      <c r="B410" s="796"/>
      <c r="C410" s="796"/>
      <c r="D410" s="796"/>
      <c r="E410" s="797"/>
      <c r="F410" s="796"/>
      <c r="G410" s="796"/>
      <c r="H410" s="796"/>
      <c r="I410" s="796"/>
      <c r="J410" s="797"/>
      <c r="K410" s="797"/>
      <c r="L410" s="796"/>
      <c r="M410" s="797"/>
      <c r="N410" s="797"/>
      <c r="O410" s="797"/>
      <c r="P410" s="797"/>
      <c r="Q410" s="797"/>
      <c r="R410" s="797"/>
      <c r="S410" s="797"/>
      <c r="T410" s="796"/>
    </row>
    <row r="411">
      <c r="A411" s="796"/>
      <c r="B411" s="796"/>
      <c r="C411" s="796"/>
      <c r="D411" s="796"/>
      <c r="E411" s="797"/>
      <c r="F411" s="796"/>
      <c r="G411" s="796"/>
      <c r="H411" s="796"/>
      <c r="I411" s="796"/>
      <c r="J411" s="797"/>
      <c r="K411" s="797"/>
      <c r="L411" s="796"/>
      <c r="M411" s="797"/>
      <c r="N411" s="797"/>
      <c r="O411" s="797"/>
      <c r="P411" s="797"/>
      <c r="Q411" s="797"/>
      <c r="R411" s="797"/>
      <c r="S411" s="797"/>
      <c r="T411" s="796"/>
    </row>
    <row r="412">
      <c r="A412" s="796"/>
      <c r="B412" s="796"/>
      <c r="C412" s="796"/>
      <c r="D412" s="796"/>
      <c r="E412" s="797"/>
      <c r="F412" s="796"/>
      <c r="G412" s="796"/>
      <c r="H412" s="796"/>
      <c r="I412" s="796"/>
      <c r="J412" s="797"/>
      <c r="K412" s="797"/>
      <c r="L412" s="796"/>
      <c r="M412" s="797"/>
      <c r="N412" s="797"/>
      <c r="O412" s="797"/>
      <c r="P412" s="797"/>
      <c r="Q412" s="797"/>
      <c r="R412" s="797"/>
      <c r="S412" s="797"/>
      <c r="T412" s="796"/>
    </row>
    <row r="413">
      <c r="A413" s="796"/>
      <c r="B413" s="796"/>
      <c r="C413" s="796"/>
      <c r="D413" s="796"/>
      <c r="E413" s="797"/>
      <c r="F413" s="796"/>
      <c r="G413" s="796"/>
      <c r="H413" s="796"/>
      <c r="I413" s="796"/>
      <c r="J413" s="797"/>
      <c r="K413" s="797"/>
      <c r="L413" s="796"/>
      <c r="M413" s="797"/>
      <c r="N413" s="797"/>
      <c r="O413" s="797"/>
      <c r="P413" s="797"/>
      <c r="Q413" s="797"/>
      <c r="R413" s="797"/>
      <c r="S413" s="797"/>
      <c r="T413" s="796"/>
    </row>
    <row r="414">
      <c r="A414" s="796"/>
      <c r="B414" s="796"/>
      <c r="C414" s="796"/>
      <c r="D414" s="796"/>
      <c r="E414" s="797"/>
      <c r="F414" s="796"/>
      <c r="G414" s="796"/>
      <c r="H414" s="796"/>
      <c r="I414" s="796"/>
      <c r="J414" s="797"/>
      <c r="K414" s="797"/>
      <c r="L414" s="796"/>
      <c r="M414" s="797"/>
      <c r="N414" s="797"/>
      <c r="O414" s="797"/>
      <c r="P414" s="797"/>
      <c r="Q414" s="797"/>
      <c r="R414" s="797"/>
      <c r="S414" s="797"/>
      <c r="T414" s="796"/>
    </row>
    <row r="415">
      <c r="A415" s="796"/>
      <c r="B415" s="796"/>
      <c r="C415" s="796"/>
      <c r="D415" s="796"/>
      <c r="E415" s="797"/>
      <c r="F415" s="796"/>
      <c r="G415" s="796"/>
      <c r="H415" s="796"/>
      <c r="I415" s="796"/>
      <c r="J415" s="797"/>
      <c r="K415" s="797"/>
      <c r="L415" s="796"/>
      <c r="M415" s="797"/>
      <c r="N415" s="797"/>
      <c r="O415" s="797"/>
      <c r="P415" s="797"/>
      <c r="Q415" s="797"/>
      <c r="R415" s="797"/>
      <c r="S415" s="797"/>
      <c r="T415" s="796"/>
    </row>
    <row r="416">
      <c r="A416" s="796"/>
      <c r="B416" s="796"/>
      <c r="C416" s="796"/>
      <c r="D416" s="796"/>
      <c r="E416" s="797"/>
      <c r="F416" s="796"/>
      <c r="G416" s="796"/>
      <c r="H416" s="796"/>
      <c r="I416" s="796"/>
      <c r="J416" s="797"/>
      <c r="K416" s="797"/>
      <c r="L416" s="796"/>
      <c r="M416" s="797"/>
      <c r="N416" s="797"/>
      <c r="O416" s="797"/>
      <c r="P416" s="797"/>
      <c r="Q416" s="797"/>
      <c r="R416" s="797"/>
      <c r="S416" s="797"/>
      <c r="T416" s="796"/>
    </row>
    <row r="417">
      <c r="A417" s="796"/>
      <c r="B417" s="796"/>
      <c r="C417" s="796"/>
      <c r="D417" s="796"/>
      <c r="E417" s="797"/>
      <c r="F417" s="796"/>
      <c r="G417" s="796"/>
      <c r="H417" s="796"/>
      <c r="I417" s="796"/>
      <c r="J417" s="797"/>
      <c r="K417" s="797"/>
      <c r="L417" s="796"/>
      <c r="M417" s="797"/>
      <c r="N417" s="797"/>
      <c r="O417" s="797"/>
      <c r="P417" s="797"/>
      <c r="Q417" s="797"/>
      <c r="R417" s="797"/>
      <c r="S417" s="797"/>
      <c r="T417" s="796"/>
    </row>
    <row r="418">
      <c r="A418" s="796"/>
      <c r="B418" s="796"/>
      <c r="C418" s="796"/>
      <c r="D418" s="796"/>
      <c r="E418" s="797"/>
      <c r="F418" s="796"/>
      <c r="G418" s="796"/>
      <c r="H418" s="796"/>
      <c r="I418" s="796"/>
      <c r="J418" s="797"/>
      <c r="K418" s="797"/>
      <c r="L418" s="796"/>
      <c r="M418" s="797"/>
      <c r="N418" s="797"/>
      <c r="O418" s="797"/>
      <c r="P418" s="797"/>
      <c r="Q418" s="797"/>
      <c r="R418" s="797"/>
      <c r="S418" s="797"/>
      <c r="T418" s="796"/>
    </row>
    <row r="419">
      <c r="A419" s="796"/>
      <c r="B419" s="796"/>
      <c r="C419" s="796"/>
      <c r="D419" s="796"/>
      <c r="E419" s="797"/>
      <c r="F419" s="796"/>
      <c r="G419" s="796"/>
      <c r="H419" s="796"/>
      <c r="I419" s="796"/>
      <c r="J419" s="797"/>
      <c r="K419" s="797"/>
      <c r="L419" s="796"/>
      <c r="M419" s="797"/>
      <c r="N419" s="797"/>
      <c r="O419" s="797"/>
      <c r="P419" s="797"/>
      <c r="Q419" s="797"/>
      <c r="R419" s="797"/>
      <c r="S419" s="797"/>
      <c r="T419" s="796"/>
    </row>
    <row r="420">
      <c r="A420" s="796"/>
      <c r="B420" s="796"/>
      <c r="C420" s="796"/>
      <c r="D420" s="796"/>
      <c r="E420" s="797"/>
      <c r="F420" s="796"/>
      <c r="G420" s="796"/>
      <c r="H420" s="796"/>
      <c r="I420" s="796"/>
      <c r="J420" s="797"/>
      <c r="K420" s="797"/>
      <c r="L420" s="796"/>
      <c r="M420" s="797"/>
      <c r="N420" s="797"/>
      <c r="O420" s="797"/>
      <c r="P420" s="797"/>
      <c r="Q420" s="797"/>
      <c r="R420" s="797"/>
      <c r="S420" s="797"/>
      <c r="T420" s="796"/>
    </row>
    <row r="421">
      <c r="A421" s="796"/>
      <c r="B421" s="796"/>
      <c r="C421" s="796"/>
      <c r="D421" s="796"/>
      <c r="E421" s="797"/>
      <c r="F421" s="796"/>
      <c r="G421" s="796"/>
      <c r="H421" s="796"/>
      <c r="I421" s="796"/>
      <c r="J421" s="797"/>
      <c r="K421" s="797"/>
      <c r="L421" s="796"/>
      <c r="M421" s="797"/>
      <c r="N421" s="797"/>
      <c r="O421" s="797"/>
      <c r="P421" s="797"/>
      <c r="Q421" s="797"/>
      <c r="R421" s="797"/>
      <c r="S421" s="797"/>
      <c r="T421" s="796"/>
    </row>
    <row r="422">
      <c r="A422" s="796"/>
      <c r="B422" s="796"/>
      <c r="C422" s="796"/>
      <c r="D422" s="796"/>
      <c r="E422" s="797"/>
      <c r="F422" s="796"/>
      <c r="G422" s="796"/>
      <c r="H422" s="796"/>
      <c r="I422" s="796"/>
      <c r="J422" s="797"/>
      <c r="K422" s="797"/>
      <c r="L422" s="796"/>
      <c r="M422" s="797"/>
      <c r="N422" s="797"/>
      <c r="O422" s="797"/>
      <c r="P422" s="797"/>
      <c r="Q422" s="797"/>
      <c r="R422" s="797"/>
      <c r="S422" s="797"/>
      <c r="T422" s="796"/>
    </row>
    <row r="423">
      <c r="A423" s="796"/>
      <c r="B423" s="796"/>
      <c r="C423" s="796"/>
      <c r="D423" s="796"/>
      <c r="E423" s="797"/>
      <c r="F423" s="796"/>
      <c r="G423" s="796"/>
      <c r="H423" s="796"/>
      <c r="I423" s="796"/>
      <c r="J423" s="797"/>
      <c r="K423" s="797"/>
      <c r="L423" s="796"/>
      <c r="M423" s="797"/>
      <c r="N423" s="797"/>
      <c r="O423" s="797"/>
      <c r="P423" s="797"/>
      <c r="Q423" s="797"/>
      <c r="R423" s="797"/>
      <c r="S423" s="797"/>
      <c r="T423" s="796"/>
    </row>
    <row r="424">
      <c r="A424" s="796"/>
      <c r="B424" s="796"/>
      <c r="C424" s="796"/>
      <c r="D424" s="796"/>
      <c r="E424" s="797"/>
      <c r="F424" s="796"/>
      <c r="G424" s="796"/>
      <c r="H424" s="796"/>
      <c r="I424" s="796"/>
      <c r="J424" s="797"/>
      <c r="K424" s="797"/>
      <c r="L424" s="796"/>
      <c r="M424" s="797"/>
      <c r="N424" s="797"/>
      <c r="O424" s="797"/>
      <c r="P424" s="797"/>
      <c r="Q424" s="797"/>
      <c r="R424" s="797"/>
      <c r="S424" s="797"/>
      <c r="T424" s="796"/>
    </row>
    <row r="425">
      <c r="A425" s="796"/>
      <c r="B425" s="796"/>
      <c r="C425" s="796"/>
      <c r="D425" s="796"/>
      <c r="E425" s="797"/>
      <c r="F425" s="796"/>
      <c r="G425" s="796"/>
      <c r="H425" s="796"/>
      <c r="I425" s="796"/>
      <c r="J425" s="797"/>
      <c r="K425" s="797"/>
      <c r="L425" s="796"/>
      <c r="M425" s="797"/>
      <c r="N425" s="797"/>
      <c r="O425" s="797"/>
      <c r="P425" s="797"/>
      <c r="Q425" s="797"/>
      <c r="R425" s="797"/>
      <c r="S425" s="797"/>
      <c r="T425" s="796"/>
    </row>
    <row r="426">
      <c r="A426" s="796"/>
      <c r="B426" s="796"/>
      <c r="C426" s="796"/>
      <c r="D426" s="796"/>
      <c r="E426" s="797"/>
      <c r="F426" s="796"/>
      <c r="G426" s="796"/>
      <c r="H426" s="796"/>
      <c r="I426" s="796"/>
      <c r="J426" s="797"/>
      <c r="K426" s="797"/>
      <c r="L426" s="796"/>
      <c r="M426" s="797"/>
      <c r="N426" s="797"/>
      <c r="O426" s="797"/>
      <c r="P426" s="797"/>
      <c r="Q426" s="797"/>
      <c r="R426" s="797"/>
      <c r="S426" s="797"/>
      <c r="T426" s="796"/>
    </row>
    <row r="427">
      <c r="A427" s="796"/>
      <c r="B427" s="796"/>
      <c r="C427" s="796"/>
      <c r="D427" s="796"/>
      <c r="E427" s="797"/>
      <c r="F427" s="796"/>
      <c r="G427" s="796"/>
      <c r="H427" s="796"/>
      <c r="I427" s="796"/>
      <c r="J427" s="797"/>
      <c r="K427" s="797"/>
      <c r="L427" s="796"/>
      <c r="M427" s="797"/>
      <c r="N427" s="797"/>
      <c r="O427" s="797"/>
      <c r="P427" s="797"/>
      <c r="Q427" s="797"/>
      <c r="R427" s="797"/>
      <c r="S427" s="797"/>
      <c r="T427" s="796"/>
    </row>
    <row r="428">
      <c r="A428" s="796"/>
      <c r="B428" s="796"/>
      <c r="C428" s="796"/>
      <c r="D428" s="796"/>
      <c r="E428" s="797"/>
      <c r="F428" s="796"/>
      <c r="G428" s="796"/>
      <c r="H428" s="796"/>
      <c r="I428" s="796"/>
      <c r="J428" s="797"/>
      <c r="K428" s="797"/>
      <c r="L428" s="796"/>
      <c r="M428" s="797"/>
      <c r="N428" s="797"/>
      <c r="O428" s="797"/>
      <c r="P428" s="797"/>
      <c r="Q428" s="797"/>
      <c r="R428" s="797"/>
      <c r="S428" s="797"/>
      <c r="T428" s="796"/>
    </row>
    <row r="429">
      <c r="A429" s="796"/>
      <c r="B429" s="796"/>
      <c r="C429" s="796"/>
      <c r="D429" s="796"/>
      <c r="E429" s="797"/>
      <c r="F429" s="796"/>
      <c r="G429" s="796"/>
      <c r="H429" s="796"/>
      <c r="I429" s="796"/>
      <c r="J429" s="797"/>
      <c r="K429" s="797"/>
      <c r="L429" s="796"/>
      <c r="M429" s="797"/>
      <c r="N429" s="797"/>
      <c r="O429" s="797"/>
      <c r="P429" s="797"/>
      <c r="Q429" s="797"/>
      <c r="R429" s="797"/>
      <c r="S429" s="797"/>
      <c r="T429" s="796"/>
    </row>
    <row r="430">
      <c r="A430" s="796"/>
      <c r="B430" s="796"/>
      <c r="C430" s="796"/>
      <c r="D430" s="796"/>
      <c r="E430" s="797"/>
      <c r="F430" s="796"/>
      <c r="G430" s="796"/>
      <c r="H430" s="796"/>
      <c r="I430" s="796"/>
      <c r="J430" s="797"/>
      <c r="K430" s="797"/>
      <c r="L430" s="796"/>
      <c r="M430" s="797"/>
      <c r="N430" s="797"/>
      <c r="O430" s="797"/>
      <c r="P430" s="797"/>
      <c r="Q430" s="797"/>
      <c r="R430" s="797"/>
      <c r="S430" s="797"/>
      <c r="T430" s="796"/>
    </row>
    <row r="431">
      <c r="A431" s="796"/>
      <c r="B431" s="796"/>
      <c r="C431" s="796"/>
      <c r="D431" s="796"/>
      <c r="E431" s="797"/>
      <c r="F431" s="796"/>
      <c r="G431" s="796"/>
      <c r="H431" s="796"/>
      <c r="I431" s="796"/>
      <c r="J431" s="797"/>
      <c r="K431" s="797"/>
      <c r="L431" s="796"/>
      <c r="M431" s="797"/>
      <c r="N431" s="797"/>
      <c r="O431" s="797"/>
      <c r="P431" s="797"/>
      <c r="Q431" s="797"/>
      <c r="R431" s="797"/>
      <c r="S431" s="797"/>
      <c r="T431" s="796"/>
    </row>
    <row r="432">
      <c r="A432" s="796"/>
      <c r="B432" s="796"/>
      <c r="C432" s="796"/>
      <c r="D432" s="796"/>
      <c r="E432" s="797"/>
      <c r="F432" s="796"/>
      <c r="G432" s="796"/>
      <c r="H432" s="796"/>
      <c r="I432" s="796"/>
      <c r="J432" s="797"/>
      <c r="K432" s="797"/>
      <c r="L432" s="796"/>
      <c r="M432" s="797"/>
      <c r="N432" s="797"/>
      <c r="O432" s="797"/>
      <c r="P432" s="797"/>
      <c r="Q432" s="797"/>
      <c r="R432" s="797"/>
      <c r="S432" s="797"/>
      <c r="T432" s="796"/>
    </row>
    <row r="433">
      <c r="A433" s="796"/>
      <c r="B433" s="796"/>
      <c r="C433" s="796"/>
      <c r="D433" s="796"/>
      <c r="E433" s="797"/>
      <c r="F433" s="796"/>
      <c r="G433" s="796"/>
      <c r="H433" s="796"/>
      <c r="I433" s="796"/>
      <c r="J433" s="797"/>
      <c r="K433" s="797"/>
      <c r="L433" s="796"/>
      <c r="M433" s="797"/>
      <c r="N433" s="797"/>
      <c r="O433" s="797"/>
      <c r="P433" s="797"/>
      <c r="Q433" s="797"/>
      <c r="R433" s="797"/>
      <c r="S433" s="797"/>
      <c r="T433" s="796"/>
    </row>
    <row r="434">
      <c r="A434" s="796"/>
      <c r="B434" s="796"/>
      <c r="C434" s="796"/>
      <c r="D434" s="796"/>
      <c r="E434" s="797"/>
      <c r="F434" s="796"/>
      <c r="G434" s="796"/>
      <c r="H434" s="796"/>
      <c r="I434" s="796"/>
      <c r="J434" s="797"/>
      <c r="K434" s="797"/>
      <c r="L434" s="796"/>
      <c r="M434" s="797"/>
      <c r="N434" s="797"/>
      <c r="O434" s="797"/>
      <c r="P434" s="797"/>
      <c r="Q434" s="797"/>
      <c r="R434" s="797"/>
      <c r="S434" s="797"/>
      <c r="T434" s="796"/>
    </row>
    <row r="435">
      <c r="A435" s="796"/>
      <c r="B435" s="796"/>
      <c r="C435" s="796"/>
      <c r="D435" s="796"/>
      <c r="E435" s="797"/>
      <c r="F435" s="796"/>
      <c r="G435" s="796"/>
      <c r="H435" s="796"/>
      <c r="I435" s="796"/>
      <c r="J435" s="797"/>
      <c r="K435" s="797"/>
      <c r="L435" s="796"/>
      <c r="M435" s="797"/>
      <c r="N435" s="797"/>
      <c r="O435" s="797"/>
      <c r="P435" s="797"/>
      <c r="Q435" s="797"/>
      <c r="R435" s="797"/>
      <c r="S435" s="797"/>
      <c r="T435" s="796"/>
    </row>
    <row r="436">
      <c r="A436" s="796"/>
      <c r="B436" s="796"/>
      <c r="C436" s="796"/>
      <c r="D436" s="796"/>
      <c r="E436" s="797"/>
      <c r="F436" s="796"/>
      <c r="G436" s="796"/>
      <c r="H436" s="796"/>
      <c r="I436" s="796"/>
      <c r="J436" s="797"/>
      <c r="K436" s="797"/>
      <c r="L436" s="796"/>
      <c r="M436" s="797"/>
      <c r="N436" s="797"/>
      <c r="O436" s="797"/>
      <c r="P436" s="797"/>
      <c r="Q436" s="797"/>
      <c r="R436" s="797"/>
      <c r="S436" s="797"/>
      <c r="T436" s="796"/>
    </row>
    <row r="437">
      <c r="A437" s="796"/>
      <c r="B437" s="796"/>
      <c r="C437" s="796"/>
      <c r="D437" s="796"/>
      <c r="E437" s="797"/>
      <c r="F437" s="796"/>
      <c r="G437" s="796"/>
      <c r="H437" s="796"/>
      <c r="I437" s="796"/>
      <c r="J437" s="797"/>
      <c r="K437" s="797"/>
      <c r="L437" s="796"/>
      <c r="M437" s="797"/>
      <c r="N437" s="797"/>
      <c r="O437" s="797"/>
      <c r="P437" s="797"/>
      <c r="Q437" s="797"/>
      <c r="R437" s="797"/>
      <c r="S437" s="797"/>
      <c r="T437" s="796"/>
    </row>
    <row r="438">
      <c r="A438" s="796"/>
      <c r="B438" s="796"/>
      <c r="C438" s="796"/>
      <c r="D438" s="796"/>
      <c r="E438" s="797"/>
      <c r="F438" s="796"/>
      <c r="G438" s="796"/>
      <c r="H438" s="796"/>
      <c r="I438" s="796"/>
      <c r="J438" s="797"/>
      <c r="K438" s="797"/>
      <c r="L438" s="796"/>
      <c r="M438" s="797"/>
      <c r="N438" s="797"/>
      <c r="O438" s="797"/>
      <c r="P438" s="797"/>
      <c r="Q438" s="797"/>
      <c r="R438" s="797"/>
      <c r="S438" s="797"/>
      <c r="T438" s="796"/>
    </row>
    <row r="439">
      <c r="A439" s="796"/>
      <c r="B439" s="796"/>
      <c r="C439" s="796"/>
      <c r="D439" s="796"/>
      <c r="E439" s="797"/>
      <c r="F439" s="796"/>
      <c r="G439" s="796"/>
      <c r="H439" s="796"/>
      <c r="I439" s="796"/>
      <c r="J439" s="797"/>
      <c r="K439" s="797"/>
      <c r="L439" s="796"/>
      <c r="M439" s="797"/>
      <c r="N439" s="797"/>
      <c r="O439" s="797"/>
      <c r="P439" s="797"/>
      <c r="Q439" s="797"/>
      <c r="R439" s="797"/>
      <c r="S439" s="797"/>
      <c r="T439" s="796"/>
    </row>
    <row r="440">
      <c r="A440" s="796"/>
      <c r="B440" s="796"/>
      <c r="C440" s="796"/>
      <c r="D440" s="796"/>
      <c r="E440" s="797"/>
      <c r="F440" s="796"/>
      <c r="G440" s="796"/>
      <c r="H440" s="796"/>
      <c r="I440" s="796"/>
      <c r="J440" s="797"/>
      <c r="K440" s="797"/>
      <c r="L440" s="796"/>
      <c r="M440" s="797"/>
      <c r="N440" s="797"/>
      <c r="O440" s="797"/>
      <c r="P440" s="797"/>
      <c r="Q440" s="797"/>
      <c r="R440" s="797"/>
      <c r="S440" s="797"/>
      <c r="T440" s="796"/>
    </row>
    <row r="441">
      <c r="A441" s="796"/>
      <c r="B441" s="796"/>
      <c r="C441" s="796"/>
      <c r="D441" s="796"/>
      <c r="E441" s="797"/>
      <c r="F441" s="796"/>
      <c r="G441" s="796"/>
      <c r="H441" s="796"/>
      <c r="I441" s="796"/>
      <c r="J441" s="797"/>
      <c r="K441" s="797"/>
      <c r="L441" s="796"/>
      <c r="M441" s="797"/>
      <c r="N441" s="797"/>
      <c r="O441" s="797"/>
      <c r="P441" s="797"/>
      <c r="Q441" s="797"/>
      <c r="R441" s="797"/>
      <c r="S441" s="797"/>
      <c r="T441" s="796"/>
    </row>
    <row r="442">
      <c r="A442" s="796"/>
      <c r="B442" s="796"/>
      <c r="C442" s="796"/>
      <c r="D442" s="796"/>
      <c r="E442" s="797"/>
      <c r="F442" s="796"/>
      <c r="G442" s="796"/>
      <c r="H442" s="796"/>
      <c r="I442" s="796"/>
      <c r="J442" s="797"/>
      <c r="K442" s="797"/>
      <c r="L442" s="796"/>
      <c r="M442" s="797"/>
      <c r="N442" s="797"/>
      <c r="O442" s="797"/>
      <c r="P442" s="797"/>
      <c r="Q442" s="797"/>
      <c r="R442" s="797"/>
      <c r="S442" s="797"/>
      <c r="T442" s="796"/>
    </row>
    <row r="443">
      <c r="A443" s="796"/>
      <c r="B443" s="796"/>
      <c r="C443" s="796"/>
      <c r="D443" s="796"/>
      <c r="E443" s="797"/>
      <c r="F443" s="796"/>
      <c r="G443" s="796"/>
      <c r="H443" s="796"/>
      <c r="I443" s="796"/>
      <c r="J443" s="797"/>
      <c r="K443" s="797"/>
      <c r="L443" s="796"/>
      <c r="M443" s="797"/>
      <c r="N443" s="797"/>
      <c r="O443" s="797"/>
      <c r="P443" s="797"/>
      <c r="Q443" s="797"/>
      <c r="R443" s="797"/>
      <c r="S443" s="797"/>
      <c r="T443" s="796"/>
    </row>
    <row r="444">
      <c r="A444" s="796"/>
      <c r="B444" s="796"/>
      <c r="C444" s="796"/>
      <c r="D444" s="796"/>
      <c r="E444" s="797"/>
      <c r="F444" s="796"/>
      <c r="G444" s="796"/>
      <c r="H444" s="796"/>
      <c r="I444" s="796"/>
      <c r="J444" s="797"/>
      <c r="K444" s="797"/>
      <c r="L444" s="796"/>
      <c r="M444" s="797"/>
      <c r="N444" s="797"/>
      <c r="O444" s="797"/>
      <c r="P444" s="797"/>
      <c r="Q444" s="797"/>
      <c r="R444" s="797"/>
      <c r="S444" s="797"/>
      <c r="T444" s="796"/>
    </row>
    <row r="445">
      <c r="A445" s="796"/>
      <c r="B445" s="796"/>
      <c r="C445" s="796"/>
      <c r="D445" s="796"/>
      <c r="E445" s="797"/>
      <c r="F445" s="796"/>
      <c r="G445" s="796"/>
      <c r="H445" s="796"/>
      <c r="I445" s="796"/>
      <c r="J445" s="797"/>
      <c r="K445" s="797"/>
      <c r="L445" s="796"/>
      <c r="M445" s="797"/>
      <c r="N445" s="797"/>
      <c r="O445" s="797"/>
      <c r="P445" s="797"/>
      <c r="Q445" s="797"/>
      <c r="R445" s="797"/>
      <c r="S445" s="797"/>
      <c r="T445" s="796"/>
    </row>
    <row r="446">
      <c r="A446" s="796"/>
      <c r="B446" s="796"/>
      <c r="C446" s="796"/>
      <c r="D446" s="796"/>
      <c r="E446" s="797"/>
      <c r="F446" s="796"/>
      <c r="G446" s="796"/>
      <c r="H446" s="796"/>
      <c r="I446" s="796"/>
      <c r="J446" s="797"/>
      <c r="K446" s="797"/>
      <c r="L446" s="796"/>
      <c r="M446" s="797"/>
      <c r="N446" s="797"/>
      <c r="O446" s="797"/>
      <c r="P446" s="797"/>
      <c r="Q446" s="797"/>
      <c r="R446" s="797"/>
      <c r="S446" s="797"/>
      <c r="T446" s="796"/>
    </row>
    <row r="447">
      <c r="A447" s="796"/>
      <c r="B447" s="796"/>
      <c r="C447" s="796"/>
      <c r="D447" s="796"/>
      <c r="E447" s="797"/>
      <c r="F447" s="796"/>
      <c r="G447" s="796"/>
      <c r="H447" s="796"/>
      <c r="I447" s="796"/>
      <c r="J447" s="797"/>
      <c r="K447" s="797"/>
      <c r="L447" s="796"/>
      <c r="M447" s="797"/>
      <c r="N447" s="797"/>
      <c r="O447" s="797"/>
      <c r="P447" s="797"/>
      <c r="Q447" s="797"/>
      <c r="R447" s="797"/>
      <c r="S447" s="797"/>
      <c r="T447" s="796"/>
    </row>
    <row r="448">
      <c r="A448" s="796"/>
      <c r="B448" s="796"/>
      <c r="C448" s="796"/>
      <c r="D448" s="796"/>
      <c r="E448" s="797"/>
      <c r="F448" s="796"/>
      <c r="G448" s="796"/>
      <c r="H448" s="796"/>
      <c r="I448" s="796"/>
      <c r="J448" s="797"/>
      <c r="K448" s="797"/>
      <c r="L448" s="796"/>
      <c r="M448" s="797"/>
      <c r="N448" s="797"/>
      <c r="O448" s="797"/>
      <c r="P448" s="797"/>
      <c r="Q448" s="797"/>
      <c r="R448" s="797"/>
      <c r="S448" s="797"/>
      <c r="T448" s="796"/>
    </row>
    <row r="449">
      <c r="A449" s="796"/>
      <c r="B449" s="796"/>
      <c r="C449" s="796"/>
      <c r="D449" s="796"/>
      <c r="E449" s="797"/>
      <c r="F449" s="796"/>
      <c r="G449" s="796"/>
      <c r="H449" s="796"/>
      <c r="I449" s="796"/>
      <c r="J449" s="797"/>
      <c r="K449" s="797"/>
      <c r="L449" s="796"/>
      <c r="M449" s="797"/>
      <c r="N449" s="797"/>
      <c r="O449" s="797"/>
      <c r="P449" s="797"/>
      <c r="Q449" s="797"/>
      <c r="R449" s="797"/>
      <c r="S449" s="797"/>
      <c r="T449" s="796"/>
    </row>
    <row r="450">
      <c r="A450" s="796"/>
      <c r="B450" s="796"/>
      <c r="C450" s="796"/>
      <c r="D450" s="796"/>
      <c r="E450" s="797"/>
      <c r="F450" s="796"/>
      <c r="G450" s="796"/>
      <c r="H450" s="796"/>
      <c r="I450" s="796"/>
      <c r="J450" s="797"/>
      <c r="K450" s="797"/>
      <c r="L450" s="796"/>
      <c r="M450" s="797"/>
      <c r="N450" s="797"/>
      <c r="O450" s="797"/>
      <c r="P450" s="797"/>
      <c r="Q450" s="797"/>
      <c r="R450" s="797"/>
      <c r="S450" s="797"/>
      <c r="T450" s="796"/>
    </row>
    <row r="451">
      <c r="A451" s="796"/>
      <c r="B451" s="796"/>
      <c r="C451" s="796"/>
      <c r="D451" s="796"/>
      <c r="E451" s="797"/>
      <c r="F451" s="796"/>
      <c r="G451" s="796"/>
      <c r="H451" s="796"/>
      <c r="I451" s="796"/>
      <c r="J451" s="797"/>
      <c r="K451" s="797"/>
      <c r="L451" s="796"/>
      <c r="M451" s="797"/>
      <c r="N451" s="797"/>
      <c r="O451" s="797"/>
      <c r="P451" s="797"/>
      <c r="Q451" s="797"/>
      <c r="R451" s="797"/>
      <c r="S451" s="797"/>
      <c r="T451" s="796"/>
    </row>
    <row r="452">
      <c r="A452" s="796"/>
      <c r="B452" s="796"/>
      <c r="C452" s="796"/>
      <c r="D452" s="796"/>
      <c r="E452" s="797"/>
      <c r="F452" s="796"/>
      <c r="G452" s="796"/>
      <c r="H452" s="796"/>
      <c r="I452" s="796"/>
      <c r="J452" s="797"/>
      <c r="K452" s="797"/>
      <c r="L452" s="796"/>
      <c r="M452" s="797"/>
      <c r="N452" s="797"/>
      <c r="O452" s="797"/>
      <c r="P452" s="797"/>
      <c r="Q452" s="797"/>
      <c r="R452" s="797"/>
      <c r="S452" s="797"/>
      <c r="T452" s="796"/>
    </row>
    <row r="453">
      <c r="A453" s="796"/>
      <c r="B453" s="796"/>
      <c r="C453" s="796"/>
      <c r="D453" s="796"/>
      <c r="E453" s="797"/>
      <c r="F453" s="796"/>
      <c r="G453" s="796"/>
      <c r="H453" s="796"/>
      <c r="I453" s="796"/>
      <c r="J453" s="797"/>
      <c r="K453" s="797"/>
      <c r="L453" s="796"/>
      <c r="M453" s="797"/>
      <c r="N453" s="797"/>
      <c r="O453" s="797"/>
      <c r="P453" s="797"/>
      <c r="Q453" s="797"/>
      <c r="R453" s="797"/>
      <c r="S453" s="797"/>
      <c r="T453" s="796"/>
    </row>
    <row r="454">
      <c r="A454" s="796"/>
      <c r="B454" s="796"/>
      <c r="C454" s="796"/>
      <c r="D454" s="796"/>
      <c r="E454" s="797"/>
      <c r="F454" s="796"/>
      <c r="G454" s="796"/>
      <c r="H454" s="796"/>
      <c r="I454" s="796"/>
      <c r="J454" s="797"/>
      <c r="K454" s="797"/>
      <c r="L454" s="796"/>
      <c r="M454" s="797"/>
      <c r="N454" s="797"/>
      <c r="O454" s="797"/>
      <c r="P454" s="797"/>
      <c r="Q454" s="797"/>
      <c r="R454" s="797"/>
      <c r="S454" s="797"/>
      <c r="T454" s="796"/>
    </row>
    <row r="455">
      <c r="A455" s="796"/>
      <c r="B455" s="796"/>
      <c r="C455" s="796"/>
      <c r="D455" s="796"/>
      <c r="E455" s="797"/>
      <c r="F455" s="796"/>
      <c r="G455" s="796"/>
      <c r="H455" s="796"/>
      <c r="I455" s="796"/>
      <c r="J455" s="797"/>
      <c r="K455" s="797"/>
      <c r="L455" s="796"/>
      <c r="M455" s="797"/>
      <c r="N455" s="797"/>
      <c r="O455" s="797"/>
      <c r="P455" s="797"/>
      <c r="Q455" s="797"/>
      <c r="R455" s="797"/>
      <c r="S455" s="797"/>
      <c r="T455" s="796"/>
    </row>
    <row r="456">
      <c r="A456" s="796"/>
      <c r="B456" s="796"/>
      <c r="C456" s="796"/>
      <c r="D456" s="796"/>
      <c r="E456" s="797"/>
      <c r="F456" s="796"/>
      <c r="G456" s="796"/>
      <c r="H456" s="796"/>
      <c r="I456" s="796"/>
      <c r="J456" s="797"/>
      <c r="K456" s="797"/>
      <c r="L456" s="796"/>
      <c r="M456" s="797"/>
      <c r="N456" s="797"/>
      <c r="O456" s="797"/>
      <c r="P456" s="797"/>
      <c r="Q456" s="797"/>
      <c r="R456" s="797"/>
      <c r="S456" s="797"/>
      <c r="T456" s="796"/>
    </row>
    <row r="457">
      <c r="A457" s="796"/>
      <c r="B457" s="796"/>
      <c r="C457" s="796"/>
      <c r="D457" s="796"/>
      <c r="E457" s="797"/>
      <c r="F457" s="796"/>
      <c r="G457" s="796"/>
      <c r="H457" s="796"/>
      <c r="I457" s="796"/>
      <c r="J457" s="797"/>
      <c r="K457" s="797"/>
      <c r="L457" s="796"/>
      <c r="M457" s="797"/>
      <c r="N457" s="797"/>
      <c r="O457" s="797"/>
      <c r="P457" s="797"/>
      <c r="Q457" s="797"/>
      <c r="R457" s="797"/>
      <c r="S457" s="797"/>
      <c r="T457" s="796"/>
    </row>
    <row r="458">
      <c r="A458" s="796"/>
      <c r="B458" s="796"/>
      <c r="C458" s="796"/>
      <c r="D458" s="796"/>
      <c r="E458" s="797"/>
      <c r="F458" s="796"/>
      <c r="G458" s="796"/>
      <c r="H458" s="796"/>
      <c r="I458" s="796"/>
      <c r="J458" s="797"/>
      <c r="K458" s="797"/>
      <c r="L458" s="796"/>
      <c r="M458" s="797"/>
      <c r="N458" s="797"/>
      <c r="O458" s="797"/>
      <c r="P458" s="797"/>
      <c r="Q458" s="797"/>
      <c r="R458" s="797"/>
      <c r="S458" s="797"/>
      <c r="T458" s="796"/>
    </row>
    <row r="459">
      <c r="A459" s="796"/>
      <c r="B459" s="796"/>
      <c r="C459" s="796"/>
      <c r="D459" s="796"/>
      <c r="E459" s="797"/>
      <c r="F459" s="796"/>
      <c r="G459" s="796"/>
      <c r="H459" s="796"/>
      <c r="I459" s="796"/>
      <c r="J459" s="797"/>
      <c r="K459" s="797"/>
      <c r="L459" s="796"/>
      <c r="M459" s="797"/>
      <c r="N459" s="797"/>
      <c r="O459" s="797"/>
      <c r="P459" s="797"/>
      <c r="Q459" s="797"/>
      <c r="R459" s="797"/>
      <c r="S459" s="797"/>
      <c r="T459" s="796"/>
    </row>
    <row r="460">
      <c r="A460" s="796"/>
      <c r="B460" s="796"/>
      <c r="C460" s="796"/>
      <c r="D460" s="796"/>
      <c r="E460" s="797"/>
      <c r="F460" s="796"/>
      <c r="G460" s="796"/>
      <c r="H460" s="796"/>
      <c r="I460" s="796"/>
      <c r="J460" s="797"/>
      <c r="K460" s="797"/>
      <c r="L460" s="796"/>
      <c r="M460" s="797"/>
      <c r="N460" s="797"/>
      <c r="O460" s="797"/>
      <c r="P460" s="797"/>
      <c r="Q460" s="797"/>
      <c r="R460" s="797"/>
      <c r="S460" s="797"/>
      <c r="T460" s="796"/>
    </row>
    <row r="461">
      <c r="A461" s="796"/>
      <c r="B461" s="796"/>
      <c r="C461" s="796"/>
      <c r="D461" s="796"/>
      <c r="E461" s="797"/>
      <c r="F461" s="796"/>
      <c r="G461" s="796"/>
      <c r="H461" s="796"/>
      <c r="I461" s="796"/>
      <c r="J461" s="797"/>
      <c r="K461" s="797"/>
      <c r="L461" s="796"/>
      <c r="M461" s="797"/>
      <c r="N461" s="797"/>
      <c r="O461" s="797"/>
      <c r="P461" s="797"/>
      <c r="Q461" s="797"/>
      <c r="R461" s="797"/>
      <c r="S461" s="797"/>
      <c r="T461" s="796"/>
    </row>
    <row r="462">
      <c r="A462" s="796"/>
      <c r="B462" s="796"/>
      <c r="C462" s="796"/>
      <c r="D462" s="796"/>
      <c r="E462" s="797"/>
      <c r="F462" s="796"/>
      <c r="G462" s="796"/>
      <c r="H462" s="796"/>
      <c r="I462" s="796"/>
      <c r="J462" s="797"/>
      <c r="K462" s="797"/>
      <c r="L462" s="796"/>
      <c r="M462" s="797"/>
      <c r="N462" s="797"/>
      <c r="O462" s="797"/>
      <c r="P462" s="797"/>
      <c r="Q462" s="797"/>
      <c r="R462" s="797"/>
      <c r="S462" s="797"/>
      <c r="T462" s="796"/>
    </row>
    <row r="463">
      <c r="A463" s="796"/>
      <c r="B463" s="796"/>
      <c r="C463" s="796"/>
      <c r="D463" s="796"/>
      <c r="E463" s="797"/>
      <c r="F463" s="796"/>
      <c r="G463" s="796"/>
      <c r="H463" s="796"/>
      <c r="I463" s="796"/>
      <c r="J463" s="797"/>
      <c r="K463" s="797"/>
      <c r="L463" s="796"/>
      <c r="M463" s="797"/>
      <c r="N463" s="797"/>
      <c r="O463" s="797"/>
      <c r="P463" s="797"/>
      <c r="Q463" s="797"/>
      <c r="R463" s="797"/>
      <c r="S463" s="797"/>
      <c r="T463" s="796"/>
    </row>
    <row r="464">
      <c r="A464" s="796"/>
      <c r="B464" s="796"/>
      <c r="C464" s="796"/>
      <c r="D464" s="796"/>
      <c r="E464" s="797"/>
      <c r="F464" s="796"/>
      <c r="G464" s="796"/>
      <c r="H464" s="796"/>
      <c r="I464" s="796"/>
      <c r="J464" s="797"/>
      <c r="K464" s="797"/>
      <c r="L464" s="796"/>
      <c r="M464" s="797"/>
      <c r="N464" s="797"/>
      <c r="O464" s="797"/>
      <c r="P464" s="797"/>
      <c r="Q464" s="797"/>
      <c r="R464" s="797"/>
      <c r="S464" s="797"/>
      <c r="T464" s="796"/>
    </row>
    <row r="465">
      <c r="A465" s="796"/>
      <c r="B465" s="796"/>
      <c r="C465" s="796"/>
      <c r="D465" s="796"/>
      <c r="E465" s="797"/>
      <c r="F465" s="796"/>
      <c r="G465" s="796"/>
      <c r="H465" s="796"/>
      <c r="I465" s="796"/>
      <c r="J465" s="797"/>
      <c r="K465" s="797"/>
      <c r="L465" s="796"/>
      <c r="M465" s="797"/>
      <c r="N465" s="797"/>
      <c r="O465" s="797"/>
      <c r="P465" s="797"/>
      <c r="Q465" s="797"/>
      <c r="R465" s="797"/>
      <c r="S465" s="797"/>
      <c r="T465" s="796"/>
    </row>
    <row r="466">
      <c r="A466" s="796"/>
      <c r="B466" s="796"/>
      <c r="C466" s="796"/>
      <c r="D466" s="796"/>
      <c r="E466" s="797"/>
      <c r="F466" s="796"/>
      <c r="G466" s="796"/>
      <c r="H466" s="796"/>
      <c r="I466" s="796"/>
      <c r="J466" s="797"/>
      <c r="K466" s="797"/>
      <c r="L466" s="796"/>
      <c r="M466" s="797"/>
      <c r="N466" s="797"/>
      <c r="O466" s="797"/>
      <c r="P466" s="797"/>
      <c r="Q466" s="797"/>
      <c r="R466" s="797"/>
      <c r="S466" s="797"/>
      <c r="T466" s="796"/>
    </row>
    <row r="467">
      <c r="A467" s="796"/>
      <c r="B467" s="796"/>
      <c r="C467" s="796"/>
      <c r="D467" s="796"/>
      <c r="E467" s="797"/>
      <c r="F467" s="796"/>
      <c r="G467" s="796"/>
      <c r="H467" s="796"/>
      <c r="I467" s="796"/>
      <c r="J467" s="797"/>
      <c r="K467" s="797"/>
      <c r="L467" s="796"/>
      <c r="M467" s="797"/>
      <c r="N467" s="797"/>
      <c r="O467" s="797"/>
      <c r="P467" s="797"/>
      <c r="Q467" s="797"/>
      <c r="R467" s="797"/>
      <c r="S467" s="797"/>
      <c r="T467" s="796"/>
    </row>
    <row r="468">
      <c r="A468" s="796"/>
      <c r="B468" s="796"/>
      <c r="C468" s="796"/>
      <c r="D468" s="796"/>
      <c r="E468" s="797"/>
      <c r="F468" s="796"/>
      <c r="G468" s="796"/>
      <c r="H468" s="796"/>
      <c r="I468" s="796"/>
      <c r="J468" s="797"/>
      <c r="K468" s="797"/>
      <c r="L468" s="796"/>
      <c r="M468" s="797"/>
      <c r="N468" s="797"/>
      <c r="O468" s="797"/>
      <c r="P468" s="797"/>
      <c r="Q468" s="797"/>
      <c r="R468" s="797"/>
      <c r="S468" s="797"/>
      <c r="T468" s="796"/>
    </row>
    <row r="469">
      <c r="A469" s="796"/>
      <c r="B469" s="796"/>
      <c r="C469" s="796"/>
      <c r="D469" s="796"/>
      <c r="E469" s="797"/>
      <c r="F469" s="796"/>
      <c r="G469" s="796"/>
      <c r="H469" s="796"/>
      <c r="I469" s="796"/>
      <c r="J469" s="797"/>
      <c r="K469" s="797"/>
      <c r="L469" s="796"/>
      <c r="M469" s="797"/>
      <c r="N469" s="797"/>
      <c r="O469" s="797"/>
      <c r="P469" s="797"/>
      <c r="Q469" s="797"/>
      <c r="R469" s="797"/>
      <c r="S469" s="797"/>
      <c r="T469" s="796"/>
    </row>
    <row r="470">
      <c r="A470" s="796"/>
      <c r="B470" s="796"/>
      <c r="C470" s="796"/>
      <c r="D470" s="796"/>
      <c r="E470" s="797"/>
      <c r="F470" s="796"/>
      <c r="G470" s="796"/>
      <c r="H470" s="796"/>
      <c r="I470" s="796"/>
      <c r="J470" s="797"/>
      <c r="K470" s="797"/>
      <c r="L470" s="796"/>
      <c r="M470" s="797"/>
      <c r="N470" s="797"/>
      <c r="O470" s="797"/>
      <c r="P470" s="797"/>
      <c r="Q470" s="797"/>
      <c r="R470" s="797"/>
      <c r="S470" s="797"/>
      <c r="T470" s="796"/>
    </row>
    <row r="471">
      <c r="A471" s="796"/>
      <c r="B471" s="796"/>
      <c r="C471" s="796"/>
      <c r="D471" s="796"/>
      <c r="E471" s="797"/>
      <c r="F471" s="796"/>
      <c r="G471" s="796"/>
      <c r="H471" s="796"/>
      <c r="I471" s="796"/>
      <c r="J471" s="797"/>
      <c r="K471" s="797"/>
      <c r="L471" s="796"/>
      <c r="M471" s="797"/>
      <c r="N471" s="797"/>
      <c r="O471" s="797"/>
      <c r="P471" s="797"/>
      <c r="Q471" s="797"/>
      <c r="R471" s="797"/>
      <c r="S471" s="797"/>
      <c r="T471" s="796"/>
    </row>
    <row r="472">
      <c r="A472" s="796"/>
      <c r="B472" s="796"/>
      <c r="C472" s="796"/>
      <c r="D472" s="796"/>
      <c r="E472" s="797"/>
      <c r="F472" s="796"/>
      <c r="G472" s="796"/>
      <c r="H472" s="796"/>
      <c r="I472" s="796"/>
      <c r="J472" s="797"/>
      <c r="K472" s="797"/>
      <c r="L472" s="796"/>
      <c r="M472" s="797"/>
      <c r="N472" s="797"/>
      <c r="O472" s="797"/>
      <c r="P472" s="797"/>
      <c r="Q472" s="797"/>
      <c r="R472" s="797"/>
      <c r="S472" s="797"/>
      <c r="T472" s="796"/>
    </row>
    <row r="473">
      <c r="A473" s="796"/>
      <c r="B473" s="796"/>
      <c r="C473" s="796"/>
      <c r="D473" s="796"/>
      <c r="E473" s="797"/>
      <c r="F473" s="796"/>
      <c r="G473" s="796"/>
      <c r="H473" s="796"/>
      <c r="I473" s="796"/>
      <c r="J473" s="797"/>
      <c r="K473" s="797"/>
      <c r="L473" s="796"/>
      <c r="M473" s="797"/>
      <c r="N473" s="797"/>
      <c r="O473" s="797"/>
      <c r="P473" s="797"/>
      <c r="Q473" s="797"/>
      <c r="R473" s="797"/>
      <c r="S473" s="797"/>
      <c r="T473" s="796"/>
    </row>
    <row r="474">
      <c r="A474" s="796"/>
      <c r="B474" s="796"/>
      <c r="C474" s="796"/>
      <c r="D474" s="796"/>
      <c r="E474" s="797"/>
      <c r="F474" s="796"/>
      <c r="G474" s="796"/>
      <c r="H474" s="796"/>
      <c r="I474" s="796"/>
      <c r="J474" s="797"/>
      <c r="K474" s="797"/>
      <c r="L474" s="796"/>
      <c r="M474" s="797"/>
      <c r="N474" s="797"/>
      <c r="O474" s="797"/>
      <c r="P474" s="797"/>
      <c r="Q474" s="797"/>
      <c r="R474" s="797"/>
      <c r="S474" s="797"/>
      <c r="T474" s="796"/>
    </row>
    <row r="475">
      <c r="A475" s="796"/>
      <c r="B475" s="796"/>
      <c r="C475" s="796"/>
      <c r="D475" s="796"/>
      <c r="E475" s="797"/>
      <c r="F475" s="796"/>
      <c r="G475" s="796"/>
      <c r="H475" s="796"/>
      <c r="I475" s="796"/>
      <c r="J475" s="797"/>
      <c r="K475" s="797"/>
      <c r="L475" s="796"/>
      <c r="M475" s="797"/>
      <c r="N475" s="797"/>
      <c r="O475" s="797"/>
      <c r="P475" s="797"/>
      <c r="Q475" s="797"/>
      <c r="R475" s="797"/>
      <c r="S475" s="797"/>
      <c r="T475" s="796"/>
    </row>
    <row r="476">
      <c r="A476" s="796"/>
      <c r="B476" s="796"/>
      <c r="C476" s="796"/>
      <c r="D476" s="796"/>
      <c r="E476" s="797"/>
      <c r="F476" s="796"/>
      <c r="G476" s="796"/>
      <c r="H476" s="796"/>
      <c r="I476" s="796"/>
      <c r="J476" s="797"/>
      <c r="K476" s="797"/>
      <c r="L476" s="796"/>
      <c r="M476" s="797"/>
      <c r="N476" s="797"/>
      <c r="O476" s="797"/>
      <c r="P476" s="797"/>
      <c r="Q476" s="797"/>
      <c r="R476" s="797"/>
      <c r="S476" s="797"/>
      <c r="T476" s="796"/>
    </row>
    <row r="477">
      <c r="A477" s="796"/>
      <c r="B477" s="796"/>
      <c r="C477" s="796"/>
      <c r="D477" s="796"/>
      <c r="E477" s="797"/>
      <c r="F477" s="796"/>
      <c r="G477" s="796"/>
      <c r="H477" s="796"/>
      <c r="I477" s="796"/>
      <c r="J477" s="797"/>
      <c r="K477" s="797"/>
      <c r="L477" s="796"/>
      <c r="M477" s="797"/>
      <c r="N477" s="797"/>
      <c r="O477" s="797"/>
      <c r="P477" s="797"/>
      <c r="Q477" s="797"/>
      <c r="R477" s="797"/>
      <c r="S477" s="797"/>
      <c r="T477" s="796"/>
    </row>
    <row r="478">
      <c r="A478" s="796"/>
      <c r="B478" s="796"/>
      <c r="C478" s="796"/>
      <c r="D478" s="796"/>
      <c r="E478" s="797"/>
      <c r="F478" s="796"/>
      <c r="G478" s="796"/>
      <c r="H478" s="796"/>
      <c r="I478" s="796"/>
      <c r="J478" s="797"/>
      <c r="K478" s="797"/>
      <c r="L478" s="796"/>
      <c r="M478" s="797"/>
      <c r="N478" s="797"/>
      <c r="O478" s="797"/>
      <c r="P478" s="797"/>
      <c r="Q478" s="797"/>
      <c r="R478" s="797"/>
      <c r="S478" s="797"/>
      <c r="T478" s="796"/>
    </row>
    <row r="479">
      <c r="A479" s="796"/>
      <c r="B479" s="796"/>
      <c r="C479" s="796"/>
      <c r="D479" s="796"/>
      <c r="E479" s="797"/>
      <c r="F479" s="796"/>
      <c r="G479" s="796"/>
      <c r="H479" s="796"/>
      <c r="I479" s="796"/>
      <c r="J479" s="797"/>
      <c r="K479" s="797"/>
      <c r="L479" s="796"/>
      <c r="M479" s="797"/>
      <c r="N479" s="797"/>
      <c r="O479" s="797"/>
      <c r="P479" s="797"/>
      <c r="Q479" s="797"/>
      <c r="R479" s="797"/>
      <c r="S479" s="797"/>
      <c r="T479" s="796"/>
    </row>
    <row r="480">
      <c r="A480" s="796"/>
      <c r="B480" s="796"/>
      <c r="C480" s="796"/>
      <c r="D480" s="796"/>
      <c r="E480" s="797"/>
      <c r="F480" s="796"/>
      <c r="G480" s="796"/>
      <c r="H480" s="796"/>
      <c r="I480" s="796"/>
      <c r="J480" s="797"/>
      <c r="K480" s="797"/>
      <c r="L480" s="796"/>
      <c r="M480" s="797"/>
      <c r="N480" s="797"/>
      <c r="O480" s="797"/>
      <c r="P480" s="797"/>
      <c r="Q480" s="797"/>
      <c r="R480" s="797"/>
      <c r="S480" s="797"/>
      <c r="T480" s="796"/>
    </row>
    <row r="481">
      <c r="A481" s="796"/>
      <c r="B481" s="796"/>
      <c r="C481" s="796"/>
      <c r="D481" s="796"/>
      <c r="E481" s="797"/>
      <c r="F481" s="796"/>
      <c r="G481" s="796"/>
      <c r="H481" s="796"/>
      <c r="I481" s="796"/>
      <c r="J481" s="797"/>
      <c r="K481" s="797"/>
      <c r="L481" s="796"/>
      <c r="M481" s="797"/>
      <c r="N481" s="797"/>
      <c r="O481" s="797"/>
      <c r="P481" s="797"/>
      <c r="Q481" s="797"/>
      <c r="R481" s="797"/>
      <c r="S481" s="797"/>
      <c r="T481" s="796"/>
    </row>
    <row r="482">
      <c r="A482" s="796"/>
      <c r="B482" s="796"/>
      <c r="C482" s="796"/>
      <c r="D482" s="796"/>
      <c r="E482" s="797"/>
      <c r="F482" s="796"/>
      <c r="G482" s="796"/>
      <c r="H482" s="796"/>
      <c r="I482" s="796"/>
      <c r="J482" s="797"/>
      <c r="K482" s="797"/>
      <c r="L482" s="796"/>
      <c r="M482" s="797"/>
      <c r="N482" s="797"/>
      <c r="O482" s="797"/>
      <c r="P482" s="797"/>
      <c r="Q482" s="797"/>
      <c r="R482" s="797"/>
      <c r="S482" s="797"/>
      <c r="T482" s="796"/>
    </row>
    <row r="483">
      <c r="A483" s="796"/>
      <c r="B483" s="796"/>
      <c r="C483" s="796"/>
      <c r="D483" s="796"/>
      <c r="E483" s="797"/>
      <c r="F483" s="796"/>
      <c r="G483" s="796"/>
      <c r="H483" s="796"/>
      <c r="I483" s="796"/>
      <c r="J483" s="797"/>
      <c r="K483" s="797"/>
      <c r="L483" s="796"/>
      <c r="M483" s="797"/>
      <c r="N483" s="797"/>
      <c r="O483" s="797"/>
      <c r="P483" s="797"/>
      <c r="Q483" s="797"/>
      <c r="R483" s="797"/>
      <c r="S483" s="797"/>
      <c r="T483" s="796"/>
    </row>
    <row r="484">
      <c r="A484" s="796"/>
      <c r="B484" s="796"/>
      <c r="C484" s="796"/>
      <c r="D484" s="796"/>
      <c r="E484" s="797"/>
      <c r="F484" s="796"/>
      <c r="G484" s="796"/>
      <c r="H484" s="796"/>
      <c r="I484" s="796"/>
      <c r="J484" s="797"/>
      <c r="K484" s="797"/>
      <c r="L484" s="796"/>
      <c r="M484" s="797"/>
      <c r="N484" s="797"/>
      <c r="O484" s="797"/>
      <c r="P484" s="797"/>
      <c r="Q484" s="797"/>
      <c r="R484" s="797"/>
      <c r="S484" s="797"/>
      <c r="T484" s="796"/>
    </row>
    <row r="485">
      <c r="A485" s="796"/>
      <c r="B485" s="796"/>
      <c r="C485" s="796"/>
      <c r="D485" s="796"/>
      <c r="E485" s="797"/>
      <c r="F485" s="796"/>
      <c r="G485" s="796"/>
      <c r="H485" s="796"/>
      <c r="I485" s="796"/>
      <c r="J485" s="797"/>
      <c r="K485" s="797"/>
      <c r="L485" s="796"/>
      <c r="M485" s="797"/>
      <c r="N485" s="797"/>
      <c r="O485" s="797"/>
      <c r="P485" s="797"/>
      <c r="Q485" s="797"/>
      <c r="R485" s="797"/>
      <c r="S485" s="797"/>
      <c r="T485" s="796"/>
    </row>
    <row r="486">
      <c r="A486" s="796"/>
      <c r="B486" s="796"/>
      <c r="C486" s="796"/>
      <c r="D486" s="796"/>
      <c r="E486" s="797"/>
      <c r="F486" s="796"/>
      <c r="G486" s="796"/>
      <c r="H486" s="796"/>
      <c r="I486" s="796"/>
      <c r="J486" s="797"/>
      <c r="K486" s="797"/>
      <c r="L486" s="796"/>
      <c r="M486" s="797"/>
      <c r="N486" s="797"/>
      <c r="O486" s="797"/>
      <c r="P486" s="797"/>
      <c r="Q486" s="797"/>
      <c r="R486" s="797"/>
      <c r="S486" s="797"/>
      <c r="T486" s="796"/>
    </row>
    <row r="487">
      <c r="A487" s="796"/>
      <c r="B487" s="796"/>
      <c r="C487" s="796"/>
      <c r="D487" s="796"/>
      <c r="E487" s="797"/>
      <c r="F487" s="796"/>
      <c r="G487" s="796"/>
      <c r="H487" s="796"/>
      <c r="I487" s="796"/>
      <c r="J487" s="797"/>
      <c r="K487" s="797"/>
      <c r="L487" s="796"/>
      <c r="M487" s="797"/>
      <c r="N487" s="797"/>
      <c r="O487" s="797"/>
      <c r="P487" s="797"/>
      <c r="Q487" s="797"/>
      <c r="R487" s="797"/>
      <c r="S487" s="797"/>
      <c r="T487" s="796"/>
    </row>
    <row r="488">
      <c r="A488" s="796"/>
      <c r="B488" s="796"/>
      <c r="C488" s="796"/>
      <c r="D488" s="796"/>
      <c r="E488" s="797"/>
      <c r="F488" s="796"/>
      <c r="G488" s="796"/>
      <c r="H488" s="796"/>
      <c r="I488" s="796"/>
      <c r="J488" s="797"/>
      <c r="K488" s="797"/>
      <c r="L488" s="796"/>
      <c r="M488" s="797"/>
      <c r="N488" s="797"/>
      <c r="O488" s="797"/>
      <c r="P488" s="797"/>
      <c r="Q488" s="797"/>
      <c r="R488" s="797"/>
      <c r="S488" s="797"/>
      <c r="T488" s="796"/>
    </row>
    <row r="489">
      <c r="A489" s="796"/>
      <c r="B489" s="796"/>
      <c r="C489" s="796"/>
      <c r="D489" s="796"/>
      <c r="E489" s="797"/>
      <c r="F489" s="796"/>
      <c r="G489" s="796"/>
      <c r="H489" s="796"/>
      <c r="I489" s="796"/>
      <c r="J489" s="797"/>
      <c r="K489" s="797"/>
      <c r="L489" s="796"/>
      <c r="M489" s="797"/>
      <c r="N489" s="797"/>
      <c r="O489" s="797"/>
      <c r="P489" s="797"/>
      <c r="Q489" s="797"/>
      <c r="R489" s="797"/>
      <c r="S489" s="797"/>
      <c r="T489" s="796"/>
    </row>
    <row r="490">
      <c r="A490" s="796"/>
      <c r="B490" s="796"/>
      <c r="C490" s="796"/>
      <c r="D490" s="796"/>
      <c r="E490" s="797"/>
      <c r="F490" s="796"/>
      <c r="G490" s="796"/>
      <c r="H490" s="796"/>
      <c r="I490" s="796"/>
      <c r="J490" s="797"/>
      <c r="K490" s="797"/>
      <c r="L490" s="796"/>
      <c r="M490" s="797"/>
      <c r="N490" s="797"/>
      <c r="O490" s="797"/>
      <c r="P490" s="797"/>
      <c r="Q490" s="797"/>
      <c r="R490" s="797"/>
      <c r="S490" s="797"/>
      <c r="T490" s="796"/>
    </row>
    <row r="491">
      <c r="A491" s="796"/>
      <c r="B491" s="796"/>
      <c r="C491" s="796"/>
      <c r="D491" s="796"/>
      <c r="E491" s="797"/>
      <c r="F491" s="796"/>
      <c r="G491" s="796"/>
      <c r="H491" s="796"/>
      <c r="I491" s="796"/>
      <c r="J491" s="797"/>
      <c r="K491" s="797"/>
      <c r="L491" s="796"/>
      <c r="M491" s="797"/>
      <c r="N491" s="797"/>
      <c r="O491" s="797"/>
      <c r="P491" s="797"/>
      <c r="Q491" s="797"/>
      <c r="R491" s="797"/>
      <c r="S491" s="797"/>
      <c r="T491" s="796"/>
    </row>
    <row r="492">
      <c r="A492" s="796"/>
      <c r="B492" s="796"/>
      <c r="C492" s="796"/>
      <c r="D492" s="796"/>
      <c r="E492" s="797"/>
      <c r="F492" s="796"/>
      <c r="G492" s="796"/>
      <c r="H492" s="796"/>
      <c r="I492" s="796"/>
      <c r="J492" s="797"/>
      <c r="K492" s="797"/>
      <c r="L492" s="796"/>
      <c r="M492" s="797"/>
      <c r="N492" s="797"/>
      <c r="O492" s="797"/>
      <c r="P492" s="797"/>
      <c r="Q492" s="797"/>
      <c r="R492" s="797"/>
      <c r="S492" s="797"/>
      <c r="T492" s="796"/>
    </row>
    <row r="493">
      <c r="A493" s="796"/>
      <c r="B493" s="796"/>
      <c r="C493" s="796"/>
      <c r="D493" s="796"/>
      <c r="E493" s="797"/>
      <c r="F493" s="796"/>
      <c r="G493" s="796"/>
      <c r="H493" s="796"/>
      <c r="I493" s="796"/>
      <c r="J493" s="797"/>
      <c r="K493" s="797"/>
      <c r="L493" s="796"/>
      <c r="M493" s="797"/>
      <c r="N493" s="797"/>
      <c r="O493" s="797"/>
      <c r="P493" s="797"/>
      <c r="Q493" s="797"/>
      <c r="R493" s="797"/>
      <c r="S493" s="797"/>
      <c r="T493" s="796"/>
    </row>
    <row r="494">
      <c r="A494" s="796"/>
      <c r="B494" s="796"/>
      <c r="C494" s="796"/>
      <c r="D494" s="796"/>
      <c r="E494" s="797"/>
      <c r="F494" s="796"/>
      <c r="G494" s="796"/>
      <c r="H494" s="796"/>
      <c r="I494" s="796"/>
      <c r="J494" s="797"/>
      <c r="K494" s="797"/>
      <c r="L494" s="796"/>
      <c r="M494" s="797"/>
      <c r="N494" s="797"/>
      <c r="O494" s="797"/>
      <c r="P494" s="797"/>
      <c r="Q494" s="797"/>
      <c r="R494" s="797"/>
      <c r="S494" s="797"/>
      <c r="T494" s="796"/>
    </row>
    <row r="495">
      <c r="A495" s="796"/>
      <c r="B495" s="796"/>
      <c r="C495" s="796"/>
      <c r="D495" s="796"/>
      <c r="E495" s="797"/>
      <c r="F495" s="796"/>
      <c r="G495" s="796"/>
      <c r="H495" s="796"/>
      <c r="I495" s="796"/>
      <c r="J495" s="797"/>
      <c r="K495" s="797"/>
      <c r="L495" s="796"/>
      <c r="M495" s="797"/>
      <c r="N495" s="797"/>
      <c r="O495" s="797"/>
      <c r="P495" s="797"/>
      <c r="Q495" s="797"/>
      <c r="R495" s="797"/>
      <c r="S495" s="797"/>
      <c r="T495" s="796"/>
    </row>
    <row r="496">
      <c r="A496" s="796"/>
      <c r="B496" s="796"/>
      <c r="C496" s="796"/>
      <c r="D496" s="796"/>
      <c r="E496" s="797"/>
      <c r="F496" s="796"/>
      <c r="G496" s="796"/>
      <c r="H496" s="796"/>
      <c r="I496" s="796"/>
      <c r="J496" s="797"/>
      <c r="K496" s="797"/>
      <c r="L496" s="796"/>
      <c r="M496" s="797"/>
      <c r="N496" s="797"/>
      <c r="O496" s="797"/>
      <c r="P496" s="797"/>
      <c r="Q496" s="797"/>
      <c r="R496" s="797"/>
      <c r="S496" s="797"/>
      <c r="T496" s="796"/>
    </row>
    <row r="497">
      <c r="A497" s="796"/>
      <c r="B497" s="796"/>
      <c r="C497" s="796"/>
      <c r="D497" s="796"/>
      <c r="E497" s="797"/>
      <c r="F497" s="796"/>
      <c r="G497" s="796"/>
      <c r="H497" s="796"/>
      <c r="I497" s="796"/>
      <c r="J497" s="797"/>
      <c r="K497" s="797"/>
      <c r="L497" s="796"/>
      <c r="M497" s="797"/>
      <c r="N497" s="797"/>
      <c r="O497" s="797"/>
      <c r="P497" s="797"/>
      <c r="Q497" s="797"/>
      <c r="R497" s="797"/>
      <c r="S497" s="797"/>
      <c r="T497" s="796"/>
    </row>
    <row r="498">
      <c r="A498" s="796"/>
      <c r="B498" s="796"/>
      <c r="C498" s="796"/>
      <c r="D498" s="796"/>
      <c r="E498" s="797"/>
      <c r="F498" s="796"/>
      <c r="G498" s="796"/>
      <c r="H498" s="796"/>
      <c r="I498" s="796"/>
      <c r="J498" s="797"/>
      <c r="K498" s="797"/>
      <c r="L498" s="796"/>
      <c r="M498" s="797"/>
      <c r="N498" s="797"/>
      <c r="O498" s="797"/>
      <c r="P498" s="797"/>
      <c r="Q498" s="797"/>
      <c r="R498" s="797"/>
      <c r="S498" s="797"/>
      <c r="T498" s="796"/>
    </row>
    <row r="499">
      <c r="A499" s="796"/>
      <c r="B499" s="796"/>
      <c r="C499" s="796"/>
      <c r="D499" s="796"/>
      <c r="E499" s="797"/>
      <c r="F499" s="796"/>
      <c r="G499" s="796"/>
      <c r="H499" s="796"/>
      <c r="I499" s="796"/>
      <c r="J499" s="797"/>
      <c r="K499" s="797"/>
      <c r="L499" s="796"/>
      <c r="M499" s="797"/>
      <c r="N499" s="797"/>
      <c r="O499" s="797"/>
      <c r="P499" s="797"/>
      <c r="Q499" s="797"/>
      <c r="R499" s="797"/>
      <c r="S499" s="797"/>
      <c r="T499" s="796"/>
    </row>
    <row r="500">
      <c r="A500" s="796"/>
      <c r="B500" s="796"/>
      <c r="C500" s="796"/>
      <c r="D500" s="796"/>
      <c r="E500" s="797"/>
      <c r="F500" s="796"/>
      <c r="G500" s="796"/>
      <c r="H500" s="796"/>
      <c r="I500" s="796"/>
      <c r="J500" s="797"/>
      <c r="K500" s="797"/>
      <c r="L500" s="796"/>
      <c r="M500" s="797"/>
      <c r="N500" s="797"/>
      <c r="O500" s="797"/>
      <c r="P500" s="797"/>
      <c r="Q500" s="797"/>
      <c r="R500" s="797"/>
      <c r="S500" s="797"/>
      <c r="T500" s="796"/>
    </row>
    <row r="501">
      <c r="A501" s="796"/>
      <c r="B501" s="796"/>
      <c r="C501" s="796"/>
      <c r="D501" s="796"/>
      <c r="E501" s="797"/>
      <c r="F501" s="796"/>
      <c r="G501" s="796"/>
      <c r="H501" s="796"/>
      <c r="I501" s="796"/>
      <c r="J501" s="797"/>
      <c r="K501" s="797"/>
      <c r="L501" s="796"/>
      <c r="M501" s="797"/>
      <c r="N501" s="797"/>
      <c r="O501" s="797"/>
      <c r="P501" s="797"/>
      <c r="Q501" s="797"/>
      <c r="R501" s="797"/>
      <c r="S501" s="797"/>
      <c r="T501" s="796"/>
    </row>
    <row r="502">
      <c r="A502" s="796"/>
      <c r="B502" s="796"/>
      <c r="C502" s="796"/>
      <c r="D502" s="796"/>
      <c r="E502" s="797"/>
      <c r="F502" s="796"/>
      <c r="G502" s="796"/>
      <c r="H502" s="796"/>
      <c r="I502" s="796"/>
      <c r="J502" s="797"/>
      <c r="K502" s="797"/>
      <c r="L502" s="796"/>
      <c r="M502" s="797"/>
      <c r="N502" s="797"/>
      <c r="O502" s="797"/>
      <c r="P502" s="797"/>
      <c r="Q502" s="797"/>
      <c r="R502" s="797"/>
      <c r="S502" s="797"/>
      <c r="T502" s="796"/>
    </row>
    <row r="503">
      <c r="A503" s="796"/>
      <c r="B503" s="796"/>
      <c r="C503" s="796"/>
      <c r="D503" s="796"/>
      <c r="E503" s="797"/>
      <c r="F503" s="796"/>
      <c r="G503" s="796"/>
      <c r="H503" s="796"/>
      <c r="I503" s="796"/>
      <c r="J503" s="797"/>
      <c r="K503" s="797"/>
      <c r="L503" s="796"/>
      <c r="M503" s="797"/>
      <c r="N503" s="797"/>
      <c r="O503" s="797"/>
      <c r="P503" s="797"/>
      <c r="Q503" s="797"/>
      <c r="R503" s="797"/>
      <c r="S503" s="797"/>
      <c r="T503" s="796"/>
    </row>
    <row r="504">
      <c r="A504" s="796"/>
      <c r="B504" s="796"/>
      <c r="C504" s="796"/>
      <c r="D504" s="796"/>
      <c r="E504" s="797"/>
      <c r="F504" s="796"/>
      <c r="G504" s="796"/>
      <c r="H504" s="796"/>
      <c r="I504" s="796"/>
      <c r="J504" s="797"/>
      <c r="K504" s="797"/>
      <c r="L504" s="796"/>
      <c r="M504" s="797"/>
      <c r="N504" s="797"/>
      <c r="O504" s="797"/>
      <c r="P504" s="797"/>
      <c r="Q504" s="797"/>
      <c r="R504" s="797"/>
      <c r="S504" s="797"/>
      <c r="T504" s="796"/>
    </row>
    <row r="505">
      <c r="A505" s="796"/>
      <c r="B505" s="796"/>
      <c r="C505" s="796"/>
      <c r="D505" s="796"/>
      <c r="E505" s="797"/>
      <c r="F505" s="796"/>
      <c r="G505" s="796"/>
      <c r="H505" s="796"/>
      <c r="I505" s="796"/>
      <c r="J505" s="797"/>
      <c r="K505" s="797"/>
      <c r="L505" s="796"/>
      <c r="M505" s="797"/>
      <c r="N505" s="797"/>
      <c r="O505" s="797"/>
      <c r="P505" s="797"/>
      <c r="Q505" s="797"/>
      <c r="R505" s="797"/>
      <c r="S505" s="797"/>
      <c r="T505" s="796"/>
    </row>
    <row r="506">
      <c r="A506" s="796"/>
      <c r="B506" s="796"/>
      <c r="C506" s="796"/>
      <c r="D506" s="796"/>
      <c r="E506" s="797"/>
      <c r="F506" s="796"/>
      <c r="G506" s="796"/>
      <c r="H506" s="796"/>
      <c r="I506" s="796"/>
      <c r="J506" s="797"/>
      <c r="K506" s="797"/>
      <c r="L506" s="796"/>
      <c r="M506" s="797"/>
      <c r="N506" s="797"/>
      <c r="O506" s="797"/>
      <c r="P506" s="797"/>
      <c r="Q506" s="797"/>
      <c r="R506" s="797"/>
      <c r="S506" s="797"/>
      <c r="T506" s="796"/>
    </row>
    <row r="507">
      <c r="A507" s="796"/>
      <c r="B507" s="796"/>
      <c r="C507" s="796"/>
      <c r="D507" s="796"/>
      <c r="E507" s="797"/>
      <c r="F507" s="796"/>
      <c r="G507" s="796"/>
      <c r="H507" s="796"/>
      <c r="I507" s="796"/>
      <c r="J507" s="797"/>
      <c r="K507" s="797"/>
      <c r="L507" s="796"/>
      <c r="M507" s="797"/>
      <c r="N507" s="797"/>
      <c r="O507" s="797"/>
      <c r="P507" s="797"/>
      <c r="Q507" s="797"/>
      <c r="R507" s="797"/>
      <c r="S507" s="797"/>
      <c r="T507" s="796"/>
    </row>
    <row r="508">
      <c r="A508" s="796"/>
      <c r="B508" s="796"/>
      <c r="C508" s="796"/>
      <c r="D508" s="796"/>
      <c r="E508" s="797"/>
      <c r="F508" s="796"/>
      <c r="G508" s="796"/>
      <c r="H508" s="796"/>
      <c r="I508" s="796"/>
      <c r="J508" s="797"/>
      <c r="K508" s="797"/>
      <c r="L508" s="796"/>
      <c r="M508" s="797"/>
      <c r="N508" s="797"/>
      <c r="O508" s="797"/>
      <c r="P508" s="797"/>
      <c r="Q508" s="797"/>
      <c r="R508" s="797"/>
      <c r="S508" s="797"/>
      <c r="T508" s="796"/>
    </row>
    <row r="509">
      <c r="A509" s="796"/>
      <c r="B509" s="796"/>
      <c r="C509" s="796"/>
      <c r="D509" s="796"/>
      <c r="E509" s="797"/>
      <c r="F509" s="796"/>
      <c r="G509" s="796"/>
      <c r="H509" s="796"/>
      <c r="I509" s="796"/>
      <c r="J509" s="797"/>
      <c r="K509" s="797"/>
      <c r="L509" s="796"/>
      <c r="M509" s="797"/>
      <c r="N509" s="797"/>
      <c r="O509" s="797"/>
      <c r="P509" s="797"/>
      <c r="Q509" s="797"/>
      <c r="R509" s="797"/>
      <c r="S509" s="797"/>
      <c r="T509" s="796"/>
    </row>
    <row r="510">
      <c r="A510" s="796"/>
      <c r="B510" s="796"/>
      <c r="C510" s="796"/>
      <c r="D510" s="796"/>
      <c r="E510" s="797"/>
      <c r="F510" s="796"/>
      <c r="G510" s="796"/>
      <c r="H510" s="796"/>
      <c r="I510" s="796"/>
      <c r="J510" s="797"/>
      <c r="K510" s="797"/>
      <c r="L510" s="796"/>
      <c r="M510" s="797"/>
      <c r="N510" s="797"/>
      <c r="O510" s="797"/>
      <c r="P510" s="797"/>
      <c r="Q510" s="797"/>
      <c r="R510" s="797"/>
      <c r="S510" s="797"/>
      <c r="T510" s="796"/>
    </row>
    <row r="511">
      <c r="A511" s="796"/>
      <c r="B511" s="796"/>
      <c r="C511" s="796"/>
      <c r="D511" s="796"/>
      <c r="E511" s="797"/>
      <c r="F511" s="796"/>
      <c r="G511" s="796"/>
      <c r="H511" s="796"/>
      <c r="I511" s="796"/>
      <c r="J511" s="797"/>
      <c r="K511" s="797"/>
      <c r="L511" s="796"/>
      <c r="M511" s="797"/>
      <c r="N511" s="797"/>
      <c r="O511" s="797"/>
      <c r="P511" s="797"/>
      <c r="Q511" s="797"/>
      <c r="R511" s="797"/>
      <c r="S511" s="797"/>
      <c r="T511" s="796"/>
    </row>
    <row r="512">
      <c r="A512" s="796"/>
      <c r="B512" s="796"/>
      <c r="C512" s="796"/>
      <c r="D512" s="796"/>
      <c r="E512" s="797"/>
      <c r="F512" s="796"/>
      <c r="G512" s="796"/>
      <c r="H512" s="796"/>
      <c r="I512" s="796"/>
      <c r="J512" s="797"/>
      <c r="K512" s="797"/>
      <c r="L512" s="796"/>
      <c r="M512" s="797"/>
      <c r="N512" s="797"/>
      <c r="O512" s="797"/>
      <c r="P512" s="797"/>
      <c r="Q512" s="797"/>
      <c r="R512" s="797"/>
      <c r="S512" s="797"/>
      <c r="T512" s="796"/>
    </row>
    <row r="513">
      <c r="A513" s="796"/>
      <c r="B513" s="796"/>
      <c r="C513" s="796"/>
      <c r="D513" s="796"/>
      <c r="E513" s="797"/>
      <c r="F513" s="796"/>
      <c r="G513" s="796"/>
      <c r="H513" s="796"/>
      <c r="I513" s="796"/>
      <c r="J513" s="797"/>
      <c r="K513" s="797"/>
      <c r="L513" s="796"/>
      <c r="M513" s="797"/>
      <c r="N513" s="797"/>
      <c r="O513" s="797"/>
      <c r="P513" s="797"/>
      <c r="Q513" s="797"/>
      <c r="R513" s="797"/>
      <c r="S513" s="797"/>
      <c r="T513" s="796"/>
    </row>
    <row r="514">
      <c r="A514" s="796"/>
      <c r="B514" s="796"/>
      <c r="C514" s="796"/>
      <c r="D514" s="796"/>
      <c r="E514" s="797"/>
      <c r="F514" s="796"/>
      <c r="G514" s="796"/>
      <c r="H514" s="796"/>
      <c r="I514" s="796"/>
      <c r="J514" s="797"/>
      <c r="K514" s="797"/>
      <c r="L514" s="796"/>
      <c r="M514" s="797"/>
      <c r="N514" s="797"/>
      <c r="O514" s="797"/>
      <c r="P514" s="797"/>
      <c r="Q514" s="797"/>
      <c r="R514" s="797"/>
      <c r="S514" s="797"/>
      <c r="T514" s="796"/>
    </row>
    <row r="515">
      <c r="A515" s="796"/>
      <c r="B515" s="796"/>
      <c r="C515" s="796"/>
      <c r="D515" s="796"/>
      <c r="E515" s="797"/>
      <c r="F515" s="796"/>
      <c r="G515" s="796"/>
      <c r="H515" s="796"/>
      <c r="I515" s="796"/>
      <c r="J515" s="797"/>
      <c r="K515" s="797"/>
      <c r="L515" s="796"/>
      <c r="M515" s="797"/>
      <c r="N515" s="797"/>
      <c r="O515" s="797"/>
      <c r="P515" s="797"/>
      <c r="Q515" s="797"/>
      <c r="R515" s="797"/>
      <c r="S515" s="797"/>
      <c r="T515" s="796"/>
    </row>
    <row r="516">
      <c r="A516" s="796"/>
      <c r="B516" s="796"/>
      <c r="C516" s="796"/>
      <c r="D516" s="796"/>
      <c r="E516" s="797"/>
      <c r="F516" s="796"/>
      <c r="G516" s="796"/>
      <c r="H516" s="796"/>
      <c r="I516" s="796"/>
      <c r="J516" s="797"/>
      <c r="K516" s="797"/>
      <c r="L516" s="796"/>
      <c r="M516" s="797"/>
      <c r="N516" s="797"/>
      <c r="O516" s="797"/>
      <c r="P516" s="797"/>
      <c r="Q516" s="797"/>
      <c r="R516" s="797"/>
      <c r="S516" s="797"/>
      <c r="T516" s="796"/>
    </row>
    <row r="517">
      <c r="A517" s="796"/>
      <c r="B517" s="796"/>
      <c r="C517" s="796"/>
      <c r="D517" s="796"/>
      <c r="E517" s="797"/>
      <c r="F517" s="796"/>
      <c r="G517" s="796"/>
      <c r="H517" s="796"/>
      <c r="I517" s="796"/>
      <c r="J517" s="797"/>
      <c r="K517" s="797"/>
      <c r="L517" s="796"/>
      <c r="M517" s="797"/>
      <c r="N517" s="797"/>
      <c r="O517" s="797"/>
      <c r="P517" s="797"/>
      <c r="Q517" s="797"/>
      <c r="R517" s="797"/>
      <c r="S517" s="797"/>
      <c r="T517" s="796"/>
    </row>
    <row r="518">
      <c r="A518" s="796"/>
      <c r="B518" s="796"/>
      <c r="C518" s="796"/>
      <c r="D518" s="796"/>
      <c r="E518" s="797"/>
      <c r="F518" s="796"/>
      <c r="G518" s="796"/>
      <c r="H518" s="796"/>
      <c r="I518" s="796"/>
      <c r="J518" s="797"/>
      <c r="K518" s="797"/>
      <c r="L518" s="796"/>
      <c r="M518" s="797"/>
      <c r="N518" s="797"/>
      <c r="O518" s="797"/>
      <c r="P518" s="797"/>
      <c r="Q518" s="797"/>
      <c r="R518" s="797"/>
      <c r="S518" s="797"/>
      <c r="T518" s="796"/>
    </row>
    <row r="519">
      <c r="A519" s="796"/>
      <c r="B519" s="796"/>
      <c r="C519" s="796"/>
      <c r="D519" s="796"/>
      <c r="E519" s="797"/>
      <c r="F519" s="796"/>
      <c r="G519" s="796"/>
      <c r="H519" s="796"/>
      <c r="I519" s="796"/>
      <c r="J519" s="797"/>
      <c r="K519" s="797"/>
      <c r="L519" s="796"/>
      <c r="M519" s="797"/>
      <c r="N519" s="797"/>
      <c r="O519" s="797"/>
      <c r="P519" s="797"/>
      <c r="Q519" s="797"/>
      <c r="R519" s="797"/>
      <c r="S519" s="797"/>
      <c r="T519" s="796"/>
    </row>
    <row r="520">
      <c r="A520" s="796"/>
      <c r="B520" s="796"/>
      <c r="C520" s="796"/>
      <c r="D520" s="796"/>
      <c r="E520" s="797"/>
      <c r="F520" s="796"/>
      <c r="G520" s="796"/>
      <c r="H520" s="796"/>
      <c r="I520" s="796"/>
      <c r="J520" s="797"/>
      <c r="K520" s="797"/>
      <c r="L520" s="796"/>
      <c r="M520" s="797"/>
      <c r="N520" s="797"/>
      <c r="O520" s="797"/>
      <c r="P520" s="797"/>
      <c r="Q520" s="797"/>
      <c r="R520" s="797"/>
      <c r="S520" s="797"/>
      <c r="T520" s="796"/>
    </row>
    <row r="521">
      <c r="A521" s="796"/>
      <c r="B521" s="796"/>
      <c r="C521" s="796"/>
      <c r="D521" s="796"/>
      <c r="E521" s="797"/>
      <c r="F521" s="796"/>
      <c r="G521" s="796"/>
      <c r="H521" s="796"/>
      <c r="I521" s="796"/>
      <c r="J521" s="797"/>
      <c r="K521" s="797"/>
      <c r="L521" s="796"/>
      <c r="M521" s="797"/>
      <c r="N521" s="797"/>
      <c r="O521" s="797"/>
      <c r="P521" s="797"/>
      <c r="Q521" s="797"/>
      <c r="R521" s="797"/>
      <c r="S521" s="797"/>
      <c r="T521" s="796"/>
    </row>
    <row r="522">
      <c r="A522" s="796"/>
      <c r="B522" s="796"/>
      <c r="C522" s="796"/>
      <c r="D522" s="796"/>
      <c r="E522" s="797"/>
      <c r="F522" s="796"/>
      <c r="G522" s="796"/>
      <c r="H522" s="796"/>
      <c r="I522" s="796"/>
      <c r="J522" s="797"/>
      <c r="K522" s="797"/>
      <c r="L522" s="796"/>
      <c r="M522" s="797"/>
      <c r="N522" s="797"/>
      <c r="O522" s="797"/>
      <c r="P522" s="797"/>
      <c r="Q522" s="797"/>
      <c r="R522" s="797"/>
      <c r="S522" s="797"/>
      <c r="T522" s="796"/>
    </row>
    <row r="523">
      <c r="A523" s="796"/>
      <c r="B523" s="796"/>
      <c r="C523" s="796"/>
      <c r="D523" s="796"/>
      <c r="E523" s="797"/>
      <c r="F523" s="796"/>
      <c r="G523" s="796"/>
      <c r="H523" s="796"/>
      <c r="I523" s="796"/>
      <c r="J523" s="797"/>
      <c r="K523" s="797"/>
      <c r="L523" s="796"/>
      <c r="M523" s="797"/>
      <c r="N523" s="797"/>
      <c r="O523" s="797"/>
      <c r="P523" s="797"/>
      <c r="Q523" s="797"/>
      <c r="R523" s="797"/>
      <c r="S523" s="797"/>
      <c r="T523" s="796"/>
    </row>
    <row r="524">
      <c r="A524" s="796"/>
      <c r="B524" s="796"/>
      <c r="C524" s="796"/>
      <c r="D524" s="796"/>
      <c r="E524" s="797"/>
      <c r="F524" s="796"/>
      <c r="G524" s="796"/>
      <c r="H524" s="796"/>
      <c r="I524" s="796"/>
      <c r="J524" s="797"/>
      <c r="K524" s="797"/>
      <c r="L524" s="796"/>
      <c r="M524" s="797"/>
      <c r="N524" s="797"/>
      <c r="O524" s="797"/>
      <c r="P524" s="797"/>
      <c r="Q524" s="797"/>
      <c r="R524" s="797"/>
      <c r="S524" s="797"/>
      <c r="T524" s="796"/>
    </row>
    <row r="525">
      <c r="A525" s="796"/>
      <c r="B525" s="796"/>
      <c r="C525" s="796"/>
      <c r="D525" s="796"/>
      <c r="E525" s="797"/>
      <c r="F525" s="796"/>
      <c r="G525" s="796"/>
      <c r="H525" s="796"/>
      <c r="I525" s="796"/>
      <c r="J525" s="797"/>
      <c r="K525" s="797"/>
      <c r="L525" s="796"/>
      <c r="M525" s="797"/>
      <c r="N525" s="797"/>
      <c r="O525" s="797"/>
      <c r="P525" s="797"/>
      <c r="Q525" s="797"/>
      <c r="R525" s="797"/>
      <c r="S525" s="797"/>
      <c r="T525" s="796"/>
    </row>
    <row r="526">
      <c r="A526" s="796"/>
      <c r="B526" s="796"/>
      <c r="C526" s="796"/>
      <c r="D526" s="796"/>
      <c r="E526" s="797"/>
      <c r="F526" s="796"/>
      <c r="G526" s="796"/>
      <c r="H526" s="796"/>
      <c r="I526" s="796"/>
      <c r="J526" s="797"/>
      <c r="K526" s="797"/>
      <c r="L526" s="796"/>
      <c r="M526" s="797"/>
      <c r="N526" s="797"/>
      <c r="O526" s="797"/>
      <c r="P526" s="797"/>
      <c r="Q526" s="797"/>
      <c r="R526" s="797"/>
      <c r="S526" s="797"/>
      <c r="T526" s="796"/>
    </row>
    <row r="527">
      <c r="A527" s="796"/>
      <c r="B527" s="796"/>
      <c r="C527" s="796"/>
      <c r="D527" s="796"/>
      <c r="E527" s="797"/>
      <c r="F527" s="796"/>
      <c r="G527" s="796"/>
      <c r="H527" s="796"/>
      <c r="I527" s="796"/>
      <c r="J527" s="797"/>
      <c r="K527" s="797"/>
      <c r="L527" s="796"/>
      <c r="M527" s="797"/>
      <c r="N527" s="797"/>
      <c r="O527" s="797"/>
      <c r="P527" s="797"/>
      <c r="Q527" s="797"/>
      <c r="R527" s="797"/>
      <c r="S527" s="797"/>
      <c r="T527" s="796"/>
    </row>
    <row r="528">
      <c r="A528" s="796"/>
      <c r="B528" s="796"/>
      <c r="C528" s="796"/>
      <c r="D528" s="796"/>
      <c r="E528" s="797"/>
      <c r="F528" s="796"/>
      <c r="G528" s="796"/>
      <c r="H528" s="796"/>
      <c r="I528" s="796"/>
      <c r="J528" s="797"/>
      <c r="K528" s="797"/>
      <c r="L528" s="796"/>
      <c r="M528" s="797"/>
      <c r="N528" s="797"/>
      <c r="O528" s="797"/>
      <c r="P528" s="797"/>
      <c r="Q528" s="797"/>
      <c r="R528" s="797"/>
      <c r="S528" s="797"/>
      <c r="T528" s="796"/>
    </row>
    <row r="529">
      <c r="A529" s="796"/>
      <c r="B529" s="796"/>
      <c r="C529" s="796"/>
      <c r="D529" s="796"/>
      <c r="E529" s="797"/>
      <c r="F529" s="796"/>
      <c r="G529" s="796"/>
      <c r="H529" s="796"/>
      <c r="I529" s="796"/>
      <c r="J529" s="797"/>
      <c r="K529" s="797"/>
      <c r="L529" s="796"/>
      <c r="M529" s="797"/>
      <c r="N529" s="797"/>
      <c r="O529" s="797"/>
      <c r="P529" s="797"/>
      <c r="Q529" s="797"/>
      <c r="R529" s="797"/>
      <c r="S529" s="797"/>
      <c r="T529" s="796"/>
    </row>
    <row r="530">
      <c r="A530" s="796"/>
      <c r="B530" s="796"/>
      <c r="C530" s="796"/>
      <c r="D530" s="796"/>
      <c r="E530" s="797"/>
      <c r="F530" s="796"/>
      <c r="G530" s="796"/>
      <c r="H530" s="796"/>
      <c r="I530" s="796"/>
      <c r="J530" s="797"/>
      <c r="K530" s="797"/>
      <c r="L530" s="796"/>
      <c r="M530" s="797"/>
      <c r="N530" s="797"/>
      <c r="O530" s="797"/>
      <c r="P530" s="797"/>
      <c r="Q530" s="797"/>
      <c r="R530" s="797"/>
      <c r="S530" s="797"/>
      <c r="T530" s="796"/>
    </row>
    <row r="531">
      <c r="A531" s="796"/>
      <c r="B531" s="796"/>
      <c r="C531" s="796"/>
      <c r="D531" s="796"/>
      <c r="E531" s="797"/>
      <c r="F531" s="796"/>
      <c r="G531" s="796"/>
      <c r="H531" s="796"/>
      <c r="I531" s="796"/>
      <c r="J531" s="797"/>
      <c r="K531" s="797"/>
      <c r="L531" s="796"/>
      <c r="M531" s="797"/>
      <c r="N531" s="797"/>
      <c r="O531" s="797"/>
      <c r="P531" s="797"/>
      <c r="Q531" s="797"/>
      <c r="R531" s="797"/>
      <c r="S531" s="797"/>
      <c r="T531" s="796"/>
    </row>
    <row r="532">
      <c r="A532" s="796"/>
      <c r="B532" s="796"/>
      <c r="C532" s="796"/>
      <c r="D532" s="796"/>
      <c r="E532" s="797"/>
      <c r="F532" s="796"/>
      <c r="G532" s="796"/>
      <c r="H532" s="796"/>
      <c r="I532" s="796"/>
      <c r="J532" s="797"/>
      <c r="K532" s="797"/>
      <c r="L532" s="796"/>
      <c r="M532" s="797"/>
      <c r="N532" s="797"/>
      <c r="O532" s="797"/>
      <c r="P532" s="797"/>
      <c r="Q532" s="797"/>
      <c r="R532" s="797"/>
      <c r="S532" s="797"/>
      <c r="T532" s="796"/>
    </row>
    <row r="533">
      <c r="A533" s="796"/>
      <c r="B533" s="796"/>
      <c r="C533" s="796"/>
      <c r="D533" s="796"/>
      <c r="E533" s="797"/>
      <c r="F533" s="796"/>
      <c r="G533" s="796"/>
      <c r="H533" s="796"/>
      <c r="I533" s="796"/>
      <c r="J533" s="797"/>
      <c r="K533" s="797"/>
      <c r="L533" s="796"/>
      <c r="M533" s="797"/>
      <c r="N533" s="797"/>
      <c r="O533" s="797"/>
      <c r="P533" s="797"/>
      <c r="Q533" s="797"/>
      <c r="R533" s="797"/>
      <c r="S533" s="797"/>
      <c r="T533" s="796"/>
    </row>
    <row r="534">
      <c r="A534" s="796"/>
      <c r="B534" s="796"/>
      <c r="C534" s="796"/>
      <c r="D534" s="796"/>
      <c r="E534" s="797"/>
      <c r="F534" s="796"/>
      <c r="G534" s="796"/>
      <c r="H534" s="796"/>
      <c r="I534" s="796"/>
      <c r="J534" s="797"/>
      <c r="K534" s="797"/>
      <c r="L534" s="796"/>
      <c r="M534" s="797"/>
      <c r="N534" s="797"/>
      <c r="O534" s="797"/>
      <c r="P534" s="797"/>
      <c r="Q534" s="797"/>
      <c r="R534" s="797"/>
      <c r="S534" s="797"/>
      <c r="T534" s="796"/>
    </row>
    <row r="535">
      <c r="A535" s="796"/>
      <c r="B535" s="796"/>
      <c r="C535" s="796"/>
      <c r="D535" s="796"/>
      <c r="E535" s="797"/>
      <c r="F535" s="796"/>
      <c r="G535" s="796"/>
      <c r="H535" s="796"/>
      <c r="I535" s="796"/>
      <c r="J535" s="797"/>
      <c r="K535" s="797"/>
      <c r="L535" s="796"/>
      <c r="M535" s="797"/>
      <c r="N535" s="797"/>
      <c r="O535" s="797"/>
      <c r="P535" s="797"/>
      <c r="Q535" s="797"/>
      <c r="R535" s="797"/>
      <c r="S535" s="797"/>
      <c r="T535" s="796"/>
    </row>
    <row r="536">
      <c r="A536" s="796"/>
      <c r="B536" s="796"/>
      <c r="C536" s="796"/>
      <c r="D536" s="796"/>
      <c r="E536" s="797"/>
      <c r="F536" s="796"/>
      <c r="G536" s="796"/>
      <c r="H536" s="796"/>
      <c r="I536" s="796"/>
      <c r="J536" s="797"/>
      <c r="K536" s="797"/>
      <c r="L536" s="796"/>
      <c r="M536" s="797"/>
      <c r="N536" s="797"/>
      <c r="O536" s="797"/>
      <c r="P536" s="797"/>
      <c r="Q536" s="797"/>
      <c r="R536" s="797"/>
      <c r="S536" s="797"/>
      <c r="T536" s="796"/>
    </row>
    <row r="537">
      <c r="A537" s="796"/>
      <c r="B537" s="796"/>
      <c r="C537" s="796"/>
      <c r="D537" s="796"/>
      <c r="E537" s="797"/>
      <c r="F537" s="796"/>
      <c r="G537" s="796"/>
      <c r="H537" s="796"/>
      <c r="I537" s="796"/>
      <c r="J537" s="797"/>
      <c r="K537" s="797"/>
      <c r="L537" s="796"/>
      <c r="M537" s="797"/>
      <c r="N537" s="797"/>
      <c r="O537" s="797"/>
      <c r="P537" s="797"/>
      <c r="Q537" s="797"/>
      <c r="R537" s="797"/>
      <c r="S537" s="797"/>
      <c r="T537" s="796"/>
    </row>
    <row r="538">
      <c r="A538" s="796"/>
      <c r="B538" s="796"/>
      <c r="C538" s="796"/>
      <c r="D538" s="796"/>
      <c r="E538" s="797"/>
      <c r="F538" s="796"/>
      <c r="G538" s="796"/>
      <c r="H538" s="796"/>
      <c r="I538" s="796"/>
      <c r="J538" s="797"/>
      <c r="K538" s="797"/>
      <c r="L538" s="796"/>
      <c r="M538" s="797"/>
      <c r="N538" s="797"/>
      <c r="O538" s="797"/>
      <c r="P538" s="797"/>
      <c r="Q538" s="797"/>
      <c r="R538" s="797"/>
      <c r="S538" s="797"/>
      <c r="T538" s="796"/>
    </row>
    <row r="539">
      <c r="A539" s="796"/>
      <c r="B539" s="796"/>
      <c r="C539" s="796"/>
      <c r="D539" s="796"/>
      <c r="E539" s="797"/>
      <c r="F539" s="796"/>
      <c r="G539" s="796"/>
      <c r="H539" s="796"/>
      <c r="I539" s="796"/>
      <c r="J539" s="797"/>
      <c r="K539" s="797"/>
      <c r="L539" s="796"/>
      <c r="M539" s="797"/>
      <c r="N539" s="797"/>
      <c r="O539" s="797"/>
      <c r="P539" s="797"/>
      <c r="Q539" s="797"/>
      <c r="R539" s="797"/>
      <c r="S539" s="797"/>
      <c r="T539" s="796"/>
    </row>
    <row r="540">
      <c r="A540" s="796"/>
      <c r="B540" s="796"/>
      <c r="C540" s="796"/>
      <c r="D540" s="796"/>
      <c r="E540" s="797"/>
      <c r="F540" s="796"/>
      <c r="G540" s="796"/>
      <c r="H540" s="796"/>
      <c r="I540" s="796"/>
      <c r="J540" s="797"/>
      <c r="K540" s="797"/>
      <c r="L540" s="796"/>
      <c r="M540" s="797"/>
      <c r="N540" s="797"/>
      <c r="O540" s="797"/>
      <c r="P540" s="797"/>
      <c r="Q540" s="797"/>
      <c r="R540" s="797"/>
      <c r="S540" s="797"/>
      <c r="T540" s="796"/>
    </row>
    <row r="541">
      <c r="A541" s="796"/>
      <c r="B541" s="796"/>
      <c r="C541" s="796"/>
      <c r="D541" s="796"/>
      <c r="E541" s="797"/>
      <c r="F541" s="796"/>
      <c r="G541" s="796"/>
      <c r="H541" s="796"/>
      <c r="I541" s="796"/>
      <c r="J541" s="797"/>
      <c r="K541" s="797"/>
      <c r="L541" s="796"/>
      <c r="M541" s="797"/>
      <c r="N541" s="797"/>
      <c r="O541" s="797"/>
      <c r="P541" s="797"/>
      <c r="Q541" s="797"/>
      <c r="R541" s="797"/>
      <c r="S541" s="797"/>
      <c r="T541" s="796"/>
    </row>
    <row r="542">
      <c r="A542" s="796"/>
      <c r="B542" s="796"/>
      <c r="C542" s="796"/>
      <c r="D542" s="796"/>
      <c r="E542" s="797"/>
      <c r="F542" s="796"/>
      <c r="G542" s="796"/>
      <c r="H542" s="796"/>
      <c r="I542" s="796"/>
      <c r="J542" s="797"/>
      <c r="K542" s="797"/>
      <c r="L542" s="796"/>
      <c r="M542" s="797"/>
      <c r="N542" s="797"/>
      <c r="O542" s="797"/>
      <c r="P542" s="797"/>
      <c r="Q542" s="797"/>
      <c r="R542" s="797"/>
      <c r="S542" s="797"/>
      <c r="T542" s="796"/>
    </row>
    <row r="543">
      <c r="A543" s="796"/>
      <c r="B543" s="796"/>
      <c r="C543" s="796"/>
      <c r="D543" s="796"/>
      <c r="E543" s="797"/>
      <c r="F543" s="796"/>
      <c r="G543" s="796"/>
      <c r="H543" s="796"/>
      <c r="I543" s="796"/>
      <c r="J543" s="797"/>
      <c r="K543" s="797"/>
      <c r="L543" s="796"/>
      <c r="M543" s="797"/>
      <c r="N543" s="797"/>
      <c r="O543" s="797"/>
      <c r="P543" s="797"/>
      <c r="Q543" s="797"/>
      <c r="R543" s="797"/>
      <c r="S543" s="797"/>
      <c r="T543" s="796"/>
    </row>
    <row r="544">
      <c r="A544" s="796"/>
      <c r="B544" s="796"/>
      <c r="C544" s="796"/>
      <c r="D544" s="796"/>
      <c r="E544" s="797"/>
      <c r="F544" s="796"/>
      <c r="G544" s="796"/>
      <c r="H544" s="796"/>
      <c r="I544" s="796"/>
      <c r="J544" s="797"/>
      <c r="K544" s="797"/>
      <c r="L544" s="796"/>
      <c r="M544" s="797"/>
      <c r="N544" s="797"/>
      <c r="O544" s="797"/>
      <c r="P544" s="797"/>
      <c r="Q544" s="797"/>
      <c r="R544" s="797"/>
      <c r="S544" s="797"/>
      <c r="T544" s="796"/>
    </row>
    <row r="545">
      <c r="A545" s="796"/>
      <c r="B545" s="796"/>
      <c r="C545" s="796"/>
      <c r="D545" s="796"/>
      <c r="E545" s="797"/>
      <c r="F545" s="796"/>
      <c r="G545" s="796"/>
      <c r="H545" s="796"/>
      <c r="I545" s="796"/>
      <c r="J545" s="797"/>
      <c r="K545" s="797"/>
      <c r="L545" s="796"/>
      <c r="M545" s="797"/>
      <c r="N545" s="797"/>
      <c r="O545" s="797"/>
      <c r="P545" s="797"/>
      <c r="Q545" s="797"/>
      <c r="R545" s="797"/>
      <c r="S545" s="797"/>
      <c r="T545" s="796"/>
    </row>
    <row r="546">
      <c r="A546" s="796"/>
      <c r="B546" s="796"/>
      <c r="C546" s="796"/>
      <c r="D546" s="796"/>
      <c r="E546" s="797"/>
      <c r="F546" s="796"/>
      <c r="G546" s="796"/>
      <c r="H546" s="796"/>
      <c r="I546" s="796"/>
      <c r="J546" s="797"/>
      <c r="K546" s="797"/>
      <c r="L546" s="796"/>
      <c r="M546" s="797"/>
      <c r="N546" s="797"/>
      <c r="O546" s="797"/>
      <c r="P546" s="797"/>
      <c r="Q546" s="797"/>
      <c r="R546" s="797"/>
      <c r="S546" s="797"/>
      <c r="T546" s="796"/>
    </row>
    <row r="547">
      <c r="A547" s="796"/>
      <c r="B547" s="796"/>
      <c r="C547" s="796"/>
      <c r="D547" s="796"/>
      <c r="E547" s="797"/>
      <c r="F547" s="796"/>
      <c r="G547" s="796"/>
      <c r="H547" s="796"/>
      <c r="I547" s="796"/>
      <c r="J547" s="797"/>
      <c r="K547" s="797"/>
      <c r="L547" s="796"/>
      <c r="M547" s="797"/>
      <c r="N547" s="797"/>
      <c r="O547" s="797"/>
      <c r="P547" s="797"/>
      <c r="Q547" s="797"/>
      <c r="R547" s="797"/>
      <c r="S547" s="797"/>
      <c r="T547" s="796"/>
    </row>
    <row r="548">
      <c r="A548" s="796"/>
      <c r="B548" s="796"/>
      <c r="C548" s="796"/>
      <c r="D548" s="796"/>
      <c r="E548" s="797"/>
      <c r="F548" s="796"/>
      <c r="G548" s="796"/>
      <c r="H548" s="796"/>
      <c r="I548" s="796"/>
      <c r="J548" s="797"/>
      <c r="K548" s="797"/>
      <c r="L548" s="796"/>
      <c r="M548" s="797"/>
      <c r="N548" s="797"/>
      <c r="O548" s="797"/>
      <c r="P548" s="797"/>
      <c r="Q548" s="797"/>
      <c r="R548" s="797"/>
      <c r="S548" s="797"/>
      <c r="T548" s="796"/>
    </row>
    <row r="549">
      <c r="A549" s="796"/>
      <c r="B549" s="796"/>
      <c r="C549" s="796"/>
      <c r="D549" s="796"/>
      <c r="E549" s="797"/>
      <c r="F549" s="796"/>
      <c r="G549" s="796"/>
      <c r="H549" s="796"/>
      <c r="I549" s="796"/>
      <c r="J549" s="797"/>
      <c r="K549" s="797"/>
      <c r="L549" s="796"/>
      <c r="M549" s="797"/>
      <c r="N549" s="797"/>
      <c r="O549" s="797"/>
      <c r="P549" s="797"/>
      <c r="Q549" s="797"/>
      <c r="R549" s="797"/>
      <c r="S549" s="797"/>
      <c r="T549" s="796"/>
    </row>
    <row r="550">
      <c r="A550" s="796"/>
      <c r="B550" s="796"/>
      <c r="C550" s="796"/>
      <c r="D550" s="796"/>
      <c r="E550" s="797"/>
      <c r="F550" s="796"/>
      <c r="G550" s="796"/>
      <c r="H550" s="796"/>
      <c r="I550" s="796"/>
      <c r="J550" s="797"/>
      <c r="K550" s="797"/>
      <c r="L550" s="796"/>
      <c r="M550" s="797"/>
      <c r="N550" s="797"/>
      <c r="O550" s="797"/>
      <c r="P550" s="797"/>
      <c r="Q550" s="797"/>
      <c r="R550" s="797"/>
      <c r="S550" s="797"/>
      <c r="T550" s="796"/>
    </row>
    <row r="551">
      <c r="A551" s="796"/>
      <c r="B551" s="796"/>
      <c r="C551" s="796"/>
      <c r="D551" s="796"/>
      <c r="E551" s="797"/>
      <c r="F551" s="796"/>
      <c r="G551" s="796"/>
      <c r="H551" s="796"/>
      <c r="I551" s="796"/>
      <c r="J551" s="797"/>
      <c r="K551" s="797"/>
      <c r="L551" s="796"/>
      <c r="M551" s="797"/>
      <c r="N551" s="797"/>
      <c r="O551" s="797"/>
      <c r="P551" s="797"/>
      <c r="Q551" s="797"/>
      <c r="R551" s="797"/>
      <c r="S551" s="797"/>
      <c r="T551" s="796"/>
    </row>
    <row r="552">
      <c r="A552" s="796"/>
      <c r="B552" s="796"/>
      <c r="C552" s="796"/>
      <c r="D552" s="796"/>
      <c r="E552" s="797"/>
      <c r="F552" s="796"/>
      <c r="G552" s="796"/>
      <c r="H552" s="796"/>
      <c r="I552" s="796"/>
      <c r="J552" s="797"/>
      <c r="K552" s="797"/>
      <c r="L552" s="796"/>
      <c r="M552" s="797"/>
      <c r="N552" s="797"/>
      <c r="O552" s="797"/>
      <c r="P552" s="797"/>
      <c r="Q552" s="797"/>
      <c r="R552" s="797"/>
      <c r="S552" s="797"/>
      <c r="T552" s="796"/>
    </row>
    <row r="553">
      <c r="A553" s="796"/>
      <c r="B553" s="796"/>
      <c r="C553" s="796"/>
      <c r="D553" s="796"/>
      <c r="E553" s="797"/>
      <c r="F553" s="796"/>
      <c r="G553" s="796"/>
      <c r="H553" s="796"/>
      <c r="I553" s="796"/>
      <c r="J553" s="797"/>
      <c r="K553" s="797"/>
      <c r="L553" s="796"/>
      <c r="M553" s="797"/>
      <c r="N553" s="797"/>
      <c r="O553" s="797"/>
      <c r="P553" s="797"/>
      <c r="Q553" s="797"/>
      <c r="R553" s="797"/>
      <c r="S553" s="797"/>
      <c r="T553" s="796"/>
    </row>
    <row r="554">
      <c r="A554" s="796"/>
      <c r="B554" s="796"/>
      <c r="C554" s="796"/>
      <c r="D554" s="796"/>
      <c r="E554" s="797"/>
      <c r="F554" s="796"/>
      <c r="G554" s="796"/>
      <c r="H554" s="796"/>
      <c r="I554" s="796"/>
      <c r="J554" s="797"/>
      <c r="K554" s="797"/>
      <c r="L554" s="796"/>
      <c r="M554" s="797"/>
      <c r="N554" s="797"/>
      <c r="O554" s="797"/>
      <c r="P554" s="797"/>
      <c r="Q554" s="797"/>
      <c r="R554" s="797"/>
      <c r="S554" s="797"/>
      <c r="T554" s="796"/>
    </row>
    <row r="555">
      <c r="A555" s="796"/>
      <c r="B555" s="796"/>
      <c r="C555" s="796"/>
      <c r="D555" s="796"/>
      <c r="E555" s="797"/>
      <c r="F555" s="796"/>
      <c r="G555" s="796"/>
      <c r="H555" s="796"/>
      <c r="I555" s="796"/>
      <c r="J555" s="797"/>
      <c r="K555" s="797"/>
      <c r="L555" s="796"/>
      <c r="M555" s="797"/>
      <c r="N555" s="797"/>
      <c r="O555" s="797"/>
      <c r="P555" s="797"/>
      <c r="Q555" s="797"/>
      <c r="R555" s="797"/>
      <c r="S555" s="797"/>
      <c r="T555" s="796"/>
    </row>
    <row r="556">
      <c r="A556" s="796"/>
      <c r="B556" s="796"/>
      <c r="C556" s="796"/>
      <c r="D556" s="796"/>
      <c r="E556" s="797"/>
      <c r="F556" s="796"/>
      <c r="G556" s="796"/>
      <c r="H556" s="796"/>
      <c r="I556" s="796"/>
      <c r="J556" s="797"/>
      <c r="K556" s="797"/>
      <c r="L556" s="796"/>
      <c r="M556" s="797"/>
      <c r="N556" s="797"/>
      <c r="O556" s="797"/>
      <c r="P556" s="797"/>
      <c r="Q556" s="797"/>
      <c r="R556" s="797"/>
      <c r="S556" s="797"/>
      <c r="T556" s="796"/>
    </row>
    <row r="557">
      <c r="A557" s="796"/>
      <c r="B557" s="796"/>
      <c r="C557" s="796"/>
      <c r="D557" s="796"/>
      <c r="E557" s="797"/>
      <c r="F557" s="796"/>
      <c r="G557" s="796"/>
      <c r="H557" s="796"/>
      <c r="I557" s="796"/>
      <c r="J557" s="797"/>
      <c r="K557" s="797"/>
      <c r="L557" s="796"/>
      <c r="M557" s="797"/>
      <c r="N557" s="797"/>
      <c r="O557" s="797"/>
      <c r="P557" s="797"/>
      <c r="Q557" s="797"/>
      <c r="R557" s="797"/>
      <c r="S557" s="797"/>
      <c r="T557" s="796"/>
    </row>
    <row r="558">
      <c r="A558" s="796"/>
      <c r="B558" s="796"/>
      <c r="C558" s="796"/>
      <c r="D558" s="796"/>
      <c r="E558" s="797"/>
      <c r="F558" s="796"/>
      <c r="G558" s="796"/>
      <c r="H558" s="796"/>
      <c r="I558" s="796"/>
      <c r="J558" s="797"/>
      <c r="K558" s="797"/>
      <c r="L558" s="796"/>
      <c r="M558" s="797"/>
      <c r="N558" s="797"/>
      <c r="O558" s="797"/>
      <c r="P558" s="797"/>
      <c r="Q558" s="797"/>
      <c r="R558" s="797"/>
      <c r="S558" s="797"/>
      <c r="T558" s="796"/>
    </row>
    <row r="559">
      <c r="A559" s="796"/>
      <c r="B559" s="796"/>
      <c r="C559" s="796"/>
      <c r="D559" s="796"/>
      <c r="E559" s="797"/>
      <c r="F559" s="796"/>
      <c r="G559" s="796"/>
      <c r="H559" s="796"/>
      <c r="I559" s="796"/>
      <c r="J559" s="797"/>
      <c r="K559" s="797"/>
      <c r="L559" s="796"/>
      <c r="M559" s="797"/>
      <c r="N559" s="797"/>
      <c r="O559" s="797"/>
      <c r="P559" s="797"/>
      <c r="Q559" s="797"/>
      <c r="R559" s="797"/>
      <c r="S559" s="797"/>
      <c r="T559" s="796"/>
    </row>
    <row r="560">
      <c r="A560" s="796"/>
      <c r="B560" s="796"/>
      <c r="C560" s="796"/>
      <c r="D560" s="796"/>
      <c r="E560" s="797"/>
      <c r="F560" s="796"/>
      <c r="G560" s="796"/>
      <c r="H560" s="796"/>
      <c r="I560" s="796"/>
      <c r="J560" s="797"/>
      <c r="K560" s="797"/>
      <c r="L560" s="796"/>
      <c r="M560" s="797"/>
      <c r="N560" s="797"/>
      <c r="O560" s="797"/>
      <c r="P560" s="797"/>
      <c r="Q560" s="797"/>
      <c r="R560" s="797"/>
      <c r="S560" s="797"/>
      <c r="T560" s="796"/>
    </row>
    <row r="561">
      <c r="A561" s="796"/>
      <c r="B561" s="796"/>
      <c r="C561" s="796"/>
      <c r="D561" s="796"/>
      <c r="E561" s="797"/>
      <c r="F561" s="796"/>
      <c r="G561" s="796"/>
      <c r="H561" s="796"/>
      <c r="I561" s="796"/>
      <c r="J561" s="797"/>
      <c r="K561" s="797"/>
      <c r="L561" s="796"/>
      <c r="M561" s="797"/>
      <c r="N561" s="797"/>
      <c r="O561" s="797"/>
      <c r="P561" s="797"/>
      <c r="Q561" s="797"/>
      <c r="R561" s="797"/>
      <c r="S561" s="797"/>
      <c r="T561" s="796"/>
    </row>
    <row r="562">
      <c r="A562" s="796"/>
      <c r="B562" s="796"/>
      <c r="C562" s="796"/>
      <c r="D562" s="796"/>
      <c r="E562" s="797"/>
      <c r="F562" s="796"/>
      <c r="G562" s="796"/>
      <c r="H562" s="796"/>
      <c r="I562" s="796"/>
      <c r="J562" s="797"/>
      <c r="K562" s="797"/>
      <c r="L562" s="796"/>
      <c r="M562" s="797"/>
      <c r="N562" s="797"/>
      <c r="O562" s="797"/>
      <c r="P562" s="797"/>
      <c r="Q562" s="797"/>
      <c r="R562" s="797"/>
      <c r="S562" s="797"/>
      <c r="T562" s="796"/>
    </row>
    <row r="563">
      <c r="A563" s="796"/>
      <c r="B563" s="796"/>
      <c r="C563" s="796"/>
      <c r="D563" s="796"/>
      <c r="E563" s="797"/>
      <c r="F563" s="796"/>
      <c r="G563" s="796"/>
      <c r="H563" s="796"/>
      <c r="I563" s="796"/>
      <c r="J563" s="797"/>
      <c r="K563" s="797"/>
      <c r="L563" s="796"/>
      <c r="M563" s="797"/>
      <c r="N563" s="797"/>
      <c r="O563" s="797"/>
      <c r="P563" s="797"/>
      <c r="Q563" s="797"/>
      <c r="R563" s="797"/>
      <c r="S563" s="797"/>
      <c r="T563" s="796"/>
    </row>
    <row r="564">
      <c r="A564" s="796"/>
      <c r="B564" s="796"/>
      <c r="C564" s="796"/>
      <c r="D564" s="796"/>
      <c r="E564" s="797"/>
      <c r="F564" s="796"/>
      <c r="G564" s="796"/>
      <c r="H564" s="796"/>
      <c r="I564" s="796"/>
      <c r="J564" s="797"/>
      <c r="K564" s="797"/>
      <c r="L564" s="796"/>
      <c r="M564" s="797"/>
      <c r="N564" s="797"/>
      <c r="O564" s="797"/>
      <c r="P564" s="797"/>
      <c r="Q564" s="797"/>
      <c r="R564" s="797"/>
      <c r="S564" s="797"/>
      <c r="T564" s="796"/>
    </row>
    <row r="565">
      <c r="A565" s="796"/>
      <c r="B565" s="796"/>
      <c r="C565" s="796"/>
      <c r="D565" s="796"/>
      <c r="E565" s="797"/>
      <c r="F565" s="796"/>
      <c r="G565" s="796"/>
      <c r="H565" s="796"/>
      <c r="I565" s="796"/>
      <c r="J565" s="797"/>
      <c r="K565" s="797"/>
      <c r="L565" s="796"/>
      <c r="M565" s="797"/>
      <c r="N565" s="797"/>
      <c r="O565" s="797"/>
      <c r="P565" s="797"/>
      <c r="Q565" s="797"/>
      <c r="R565" s="797"/>
      <c r="S565" s="797"/>
      <c r="T565" s="796"/>
    </row>
    <row r="566">
      <c r="A566" s="796"/>
      <c r="B566" s="796"/>
      <c r="C566" s="796"/>
      <c r="D566" s="796"/>
      <c r="E566" s="797"/>
      <c r="F566" s="796"/>
      <c r="G566" s="796"/>
      <c r="H566" s="796"/>
      <c r="I566" s="796"/>
      <c r="J566" s="797"/>
      <c r="K566" s="797"/>
      <c r="L566" s="796"/>
      <c r="M566" s="797"/>
      <c r="N566" s="797"/>
      <c r="O566" s="797"/>
      <c r="P566" s="797"/>
      <c r="Q566" s="797"/>
      <c r="R566" s="797"/>
      <c r="S566" s="797"/>
      <c r="T566" s="796"/>
    </row>
    <row r="567">
      <c r="A567" s="796"/>
      <c r="B567" s="796"/>
      <c r="C567" s="796"/>
      <c r="D567" s="796"/>
      <c r="E567" s="797"/>
      <c r="F567" s="796"/>
      <c r="G567" s="796"/>
      <c r="H567" s="796"/>
      <c r="I567" s="796"/>
      <c r="J567" s="797"/>
      <c r="K567" s="797"/>
      <c r="L567" s="796"/>
      <c r="M567" s="797"/>
      <c r="N567" s="797"/>
      <c r="O567" s="797"/>
      <c r="P567" s="797"/>
      <c r="Q567" s="797"/>
      <c r="R567" s="797"/>
      <c r="S567" s="797"/>
      <c r="T567" s="796"/>
    </row>
    <row r="568">
      <c r="A568" s="796"/>
      <c r="B568" s="796"/>
      <c r="C568" s="796"/>
      <c r="D568" s="796"/>
      <c r="E568" s="797"/>
      <c r="F568" s="796"/>
      <c r="G568" s="796"/>
      <c r="H568" s="796"/>
      <c r="I568" s="796"/>
      <c r="J568" s="797"/>
      <c r="K568" s="797"/>
      <c r="L568" s="796"/>
      <c r="M568" s="797"/>
      <c r="N568" s="797"/>
      <c r="O568" s="797"/>
      <c r="P568" s="797"/>
      <c r="Q568" s="797"/>
      <c r="R568" s="797"/>
      <c r="S568" s="797"/>
      <c r="T568" s="796"/>
    </row>
    <row r="569">
      <c r="A569" s="796"/>
      <c r="B569" s="796"/>
      <c r="C569" s="796"/>
      <c r="D569" s="796"/>
      <c r="E569" s="797"/>
      <c r="F569" s="796"/>
      <c r="G569" s="796"/>
      <c r="H569" s="796"/>
      <c r="I569" s="796"/>
      <c r="J569" s="797"/>
      <c r="K569" s="797"/>
      <c r="L569" s="796"/>
      <c r="M569" s="797"/>
      <c r="N569" s="797"/>
      <c r="O569" s="797"/>
      <c r="P569" s="797"/>
      <c r="Q569" s="797"/>
      <c r="R569" s="797"/>
      <c r="S569" s="797"/>
      <c r="T569" s="796"/>
    </row>
    <row r="570">
      <c r="A570" s="796"/>
      <c r="B570" s="796"/>
      <c r="C570" s="796"/>
      <c r="D570" s="796"/>
      <c r="E570" s="797"/>
      <c r="F570" s="796"/>
      <c r="G570" s="796"/>
      <c r="H570" s="796"/>
      <c r="I570" s="796"/>
      <c r="J570" s="797"/>
      <c r="K570" s="797"/>
      <c r="L570" s="796"/>
      <c r="M570" s="797"/>
      <c r="N570" s="797"/>
      <c r="O570" s="797"/>
      <c r="P570" s="797"/>
      <c r="Q570" s="797"/>
      <c r="R570" s="797"/>
      <c r="S570" s="797"/>
      <c r="T570" s="796"/>
    </row>
    <row r="571">
      <c r="A571" s="796"/>
      <c r="B571" s="796"/>
      <c r="C571" s="796"/>
      <c r="D571" s="796"/>
      <c r="E571" s="797"/>
      <c r="F571" s="796"/>
      <c r="G571" s="796"/>
      <c r="H571" s="796"/>
      <c r="I571" s="796"/>
      <c r="J571" s="797"/>
      <c r="K571" s="797"/>
      <c r="L571" s="796"/>
      <c r="M571" s="797"/>
      <c r="N571" s="797"/>
      <c r="O571" s="797"/>
      <c r="P571" s="797"/>
      <c r="Q571" s="797"/>
      <c r="R571" s="797"/>
      <c r="S571" s="797"/>
      <c r="T571" s="796"/>
    </row>
    <row r="572">
      <c r="A572" s="796"/>
      <c r="B572" s="796"/>
      <c r="C572" s="796"/>
      <c r="D572" s="796"/>
      <c r="E572" s="797"/>
      <c r="F572" s="796"/>
      <c r="G572" s="796"/>
      <c r="H572" s="796"/>
      <c r="I572" s="796"/>
      <c r="J572" s="797"/>
      <c r="K572" s="797"/>
      <c r="L572" s="796"/>
      <c r="M572" s="797"/>
      <c r="N572" s="797"/>
      <c r="O572" s="797"/>
      <c r="P572" s="797"/>
      <c r="Q572" s="797"/>
      <c r="R572" s="797"/>
      <c r="S572" s="797"/>
      <c r="T572" s="796"/>
    </row>
    <row r="573">
      <c r="A573" s="796"/>
      <c r="B573" s="796"/>
      <c r="C573" s="796"/>
      <c r="D573" s="796"/>
      <c r="E573" s="797"/>
      <c r="F573" s="796"/>
      <c r="G573" s="796"/>
      <c r="H573" s="796"/>
      <c r="I573" s="796"/>
      <c r="J573" s="797"/>
      <c r="K573" s="797"/>
      <c r="L573" s="796"/>
      <c r="M573" s="797"/>
      <c r="N573" s="797"/>
      <c r="O573" s="797"/>
      <c r="P573" s="797"/>
      <c r="Q573" s="797"/>
      <c r="R573" s="797"/>
      <c r="S573" s="797"/>
      <c r="T573" s="796"/>
    </row>
    <row r="574">
      <c r="A574" s="796"/>
      <c r="B574" s="796"/>
      <c r="C574" s="796"/>
      <c r="D574" s="796"/>
      <c r="E574" s="797"/>
      <c r="F574" s="796"/>
      <c r="G574" s="796"/>
      <c r="H574" s="796"/>
      <c r="I574" s="796"/>
      <c r="J574" s="797"/>
      <c r="K574" s="797"/>
      <c r="L574" s="796"/>
      <c r="M574" s="797"/>
      <c r="N574" s="797"/>
      <c r="O574" s="797"/>
      <c r="P574" s="797"/>
      <c r="Q574" s="797"/>
      <c r="R574" s="797"/>
      <c r="S574" s="797"/>
      <c r="T574" s="796"/>
    </row>
    <row r="575">
      <c r="A575" s="796"/>
      <c r="B575" s="796"/>
      <c r="C575" s="796"/>
      <c r="D575" s="796"/>
      <c r="E575" s="797"/>
      <c r="F575" s="796"/>
      <c r="G575" s="796"/>
      <c r="H575" s="796"/>
      <c r="I575" s="796"/>
      <c r="J575" s="797"/>
      <c r="K575" s="797"/>
      <c r="L575" s="796"/>
      <c r="M575" s="797"/>
      <c r="N575" s="797"/>
      <c r="O575" s="797"/>
      <c r="P575" s="797"/>
      <c r="Q575" s="797"/>
      <c r="R575" s="797"/>
      <c r="S575" s="797"/>
      <c r="T575" s="796"/>
    </row>
    <row r="576">
      <c r="A576" s="796"/>
      <c r="B576" s="796"/>
      <c r="C576" s="796"/>
      <c r="D576" s="796"/>
      <c r="E576" s="797"/>
      <c r="F576" s="796"/>
      <c r="G576" s="796"/>
      <c r="H576" s="796"/>
      <c r="I576" s="796"/>
      <c r="J576" s="797"/>
      <c r="K576" s="797"/>
      <c r="L576" s="796"/>
      <c r="M576" s="797"/>
      <c r="N576" s="797"/>
      <c r="O576" s="797"/>
      <c r="P576" s="797"/>
      <c r="Q576" s="797"/>
      <c r="R576" s="797"/>
      <c r="S576" s="797"/>
      <c r="T576" s="796"/>
    </row>
    <row r="577">
      <c r="A577" s="796"/>
      <c r="B577" s="796"/>
      <c r="C577" s="796"/>
      <c r="D577" s="796"/>
      <c r="E577" s="797"/>
      <c r="F577" s="796"/>
      <c r="G577" s="796"/>
      <c r="H577" s="796"/>
      <c r="I577" s="796"/>
      <c r="J577" s="797"/>
      <c r="K577" s="797"/>
      <c r="L577" s="796"/>
      <c r="M577" s="797"/>
      <c r="N577" s="797"/>
      <c r="O577" s="797"/>
      <c r="P577" s="797"/>
      <c r="Q577" s="797"/>
      <c r="R577" s="797"/>
      <c r="S577" s="797"/>
      <c r="T577" s="796"/>
    </row>
    <row r="578">
      <c r="A578" s="796"/>
      <c r="B578" s="796"/>
      <c r="C578" s="796"/>
      <c r="D578" s="796"/>
      <c r="E578" s="797"/>
      <c r="F578" s="796"/>
      <c r="G578" s="796"/>
      <c r="H578" s="796"/>
      <c r="I578" s="796"/>
      <c r="J578" s="797"/>
      <c r="K578" s="797"/>
      <c r="L578" s="796"/>
      <c r="M578" s="797"/>
      <c r="N578" s="797"/>
      <c r="O578" s="797"/>
      <c r="P578" s="797"/>
      <c r="Q578" s="797"/>
      <c r="R578" s="797"/>
      <c r="S578" s="797"/>
      <c r="T578" s="796"/>
    </row>
    <row r="579">
      <c r="A579" s="796"/>
      <c r="B579" s="796"/>
      <c r="C579" s="796"/>
      <c r="D579" s="796"/>
      <c r="E579" s="797"/>
      <c r="F579" s="796"/>
      <c r="G579" s="796"/>
      <c r="H579" s="796"/>
      <c r="I579" s="796"/>
      <c r="J579" s="797"/>
      <c r="K579" s="797"/>
      <c r="L579" s="796"/>
      <c r="M579" s="797"/>
      <c r="N579" s="797"/>
      <c r="O579" s="797"/>
      <c r="P579" s="797"/>
      <c r="Q579" s="797"/>
      <c r="R579" s="797"/>
      <c r="S579" s="797"/>
      <c r="T579" s="796"/>
    </row>
    <row r="580">
      <c r="A580" s="796"/>
      <c r="B580" s="796"/>
      <c r="C580" s="796"/>
      <c r="D580" s="796"/>
      <c r="E580" s="797"/>
      <c r="F580" s="796"/>
      <c r="G580" s="796"/>
      <c r="H580" s="796"/>
      <c r="I580" s="796"/>
      <c r="J580" s="797"/>
      <c r="K580" s="797"/>
      <c r="L580" s="796"/>
      <c r="M580" s="797"/>
      <c r="N580" s="797"/>
      <c r="O580" s="797"/>
      <c r="P580" s="797"/>
      <c r="Q580" s="797"/>
      <c r="R580" s="797"/>
      <c r="S580" s="797"/>
      <c r="T580" s="796"/>
    </row>
    <row r="581">
      <c r="A581" s="796"/>
      <c r="B581" s="796"/>
      <c r="C581" s="796"/>
      <c r="D581" s="796"/>
      <c r="E581" s="797"/>
      <c r="F581" s="796"/>
      <c r="G581" s="796"/>
      <c r="H581" s="796"/>
      <c r="I581" s="796"/>
      <c r="J581" s="797"/>
      <c r="K581" s="797"/>
      <c r="L581" s="796"/>
      <c r="M581" s="797"/>
      <c r="N581" s="797"/>
      <c r="O581" s="797"/>
      <c r="P581" s="797"/>
      <c r="Q581" s="797"/>
      <c r="R581" s="797"/>
      <c r="S581" s="797"/>
      <c r="T581" s="796"/>
    </row>
    <row r="582">
      <c r="A582" s="796"/>
      <c r="B582" s="796"/>
      <c r="C582" s="796"/>
      <c r="D582" s="796"/>
      <c r="E582" s="797"/>
      <c r="F582" s="796"/>
      <c r="G582" s="796"/>
      <c r="H582" s="796"/>
      <c r="I582" s="796"/>
      <c r="J582" s="797"/>
      <c r="K582" s="797"/>
      <c r="L582" s="796"/>
      <c r="M582" s="797"/>
      <c r="N582" s="797"/>
      <c r="O582" s="797"/>
      <c r="P582" s="797"/>
      <c r="Q582" s="797"/>
      <c r="R582" s="797"/>
      <c r="S582" s="797"/>
      <c r="T582" s="796"/>
    </row>
    <row r="583">
      <c r="A583" s="796"/>
      <c r="B583" s="796"/>
      <c r="C583" s="796"/>
      <c r="D583" s="796"/>
      <c r="E583" s="797"/>
      <c r="F583" s="796"/>
      <c r="G583" s="796"/>
      <c r="H583" s="796"/>
      <c r="I583" s="796"/>
      <c r="J583" s="797"/>
      <c r="K583" s="797"/>
      <c r="L583" s="796"/>
      <c r="M583" s="797"/>
      <c r="N583" s="797"/>
      <c r="O583" s="797"/>
      <c r="P583" s="797"/>
      <c r="Q583" s="797"/>
      <c r="R583" s="797"/>
      <c r="S583" s="797"/>
      <c r="T583" s="796"/>
    </row>
    <row r="584">
      <c r="A584" s="796"/>
      <c r="B584" s="796"/>
      <c r="C584" s="796"/>
      <c r="D584" s="796"/>
      <c r="E584" s="797"/>
      <c r="F584" s="796"/>
      <c r="G584" s="796"/>
      <c r="H584" s="796"/>
      <c r="I584" s="796"/>
      <c r="J584" s="797"/>
      <c r="K584" s="797"/>
      <c r="L584" s="796"/>
      <c r="M584" s="797"/>
      <c r="N584" s="797"/>
      <c r="O584" s="797"/>
      <c r="P584" s="797"/>
      <c r="Q584" s="797"/>
      <c r="R584" s="797"/>
      <c r="S584" s="797"/>
      <c r="T584" s="796"/>
    </row>
    <row r="585">
      <c r="A585" s="796"/>
      <c r="B585" s="796"/>
      <c r="C585" s="796"/>
      <c r="D585" s="796"/>
      <c r="E585" s="797"/>
      <c r="F585" s="796"/>
      <c r="G585" s="796"/>
      <c r="H585" s="796"/>
      <c r="I585" s="796"/>
      <c r="J585" s="797"/>
      <c r="K585" s="797"/>
      <c r="L585" s="796"/>
      <c r="M585" s="797"/>
      <c r="N585" s="797"/>
      <c r="O585" s="797"/>
      <c r="P585" s="797"/>
      <c r="Q585" s="797"/>
      <c r="R585" s="797"/>
      <c r="S585" s="797"/>
      <c r="T585" s="796"/>
    </row>
    <row r="586">
      <c r="A586" s="796"/>
      <c r="B586" s="796"/>
      <c r="C586" s="796"/>
      <c r="D586" s="796"/>
      <c r="E586" s="797"/>
      <c r="F586" s="796"/>
      <c r="G586" s="796"/>
      <c r="H586" s="796"/>
      <c r="I586" s="796"/>
      <c r="J586" s="797"/>
      <c r="K586" s="797"/>
      <c r="L586" s="796"/>
      <c r="M586" s="797"/>
      <c r="N586" s="797"/>
      <c r="O586" s="797"/>
      <c r="P586" s="797"/>
      <c r="Q586" s="797"/>
      <c r="R586" s="797"/>
      <c r="S586" s="797"/>
      <c r="T586" s="796"/>
    </row>
    <row r="587">
      <c r="A587" s="796"/>
      <c r="B587" s="796"/>
      <c r="C587" s="796"/>
      <c r="D587" s="796"/>
      <c r="E587" s="797"/>
      <c r="F587" s="796"/>
      <c r="G587" s="796"/>
      <c r="H587" s="796"/>
      <c r="I587" s="796"/>
      <c r="J587" s="797"/>
      <c r="K587" s="797"/>
      <c r="L587" s="796"/>
      <c r="M587" s="797"/>
      <c r="N587" s="797"/>
      <c r="O587" s="797"/>
      <c r="P587" s="797"/>
      <c r="Q587" s="797"/>
      <c r="R587" s="797"/>
      <c r="S587" s="797"/>
      <c r="T587" s="796"/>
    </row>
    <row r="588">
      <c r="A588" s="796"/>
      <c r="B588" s="796"/>
      <c r="C588" s="796"/>
      <c r="D588" s="796"/>
      <c r="E588" s="797"/>
      <c r="F588" s="796"/>
      <c r="G588" s="796"/>
      <c r="H588" s="796"/>
      <c r="I588" s="796"/>
      <c r="J588" s="797"/>
      <c r="K588" s="797"/>
      <c r="L588" s="796"/>
      <c r="M588" s="797"/>
      <c r="N588" s="797"/>
      <c r="O588" s="797"/>
      <c r="P588" s="797"/>
      <c r="Q588" s="797"/>
      <c r="R588" s="797"/>
      <c r="S588" s="797"/>
      <c r="T588" s="796"/>
    </row>
    <row r="589">
      <c r="A589" s="796"/>
      <c r="B589" s="796"/>
      <c r="C589" s="796"/>
      <c r="D589" s="796"/>
      <c r="E589" s="797"/>
      <c r="F589" s="796"/>
      <c r="G589" s="796"/>
      <c r="H589" s="796"/>
      <c r="I589" s="796"/>
      <c r="J589" s="797"/>
      <c r="K589" s="797"/>
      <c r="L589" s="796"/>
      <c r="M589" s="797"/>
      <c r="N589" s="797"/>
      <c r="O589" s="797"/>
      <c r="P589" s="797"/>
      <c r="Q589" s="797"/>
      <c r="R589" s="797"/>
      <c r="S589" s="797"/>
      <c r="T589" s="796"/>
    </row>
    <row r="590">
      <c r="A590" s="796"/>
      <c r="B590" s="796"/>
      <c r="C590" s="796"/>
      <c r="D590" s="796"/>
      <c r="E590" s="797"/>
      <c r="F590" s="796"/>
      <c r="G590" s="796"/>
      <c r="H590" s="796"/>
      <c r="I590" s="796"/>
      <c r="J590" s="797"/>
      <c r="K590" s="797"/>
      <c r="L590" s="796"/>
      <c r="M590" s="797"/>
      <c r="N590" s="797"/>
      <c r="O590" s="797"/>
      <c r="P590" s="797"/>
      <c r="Q590" s="797"/>
      <c r="R590" s="797"/>
      <c r="S590" s="797"/>
      <c r="T590" s="796"/>
    </row>
    <row r="591">
      <c r="A591" s="796"/>
      <c r="B591" s="796"/>
      <c r="C591" s="796"/>
      <c r="D591" s="796"/>
      <c r="E591" s="797"/>
      <c r="F591" s="796"/>
      <c r="G591" s="796"/>
      <c r="H591" s="796"/>
      <c r="I591" s="796"/>
      <c r="J591" s="797"/>
      <c r="K591" s="797"/>
      <c r="L591" s="796"/>
      <c r="M591" s="797"/>
      <c r="N591" s="797"/>
      <c r="O591" s="797"/>
      <c r="P591" s="797"/>
      <c r="Q591" s="797"/>
      <c r="R591" s="797"/>
      <c r="S591" s="797"/>
      <c r="T591" s="796"/>
    </row>
    <row r="592">
      <c r="A592" s="796"/>
      <c r="B592" s="796"/>
      <c r="C592" s="796"/>
      <c r="D592" s="796"/>
      <c r="E592" s="797"/>
      <c r="F592" s="796"/>
      <c r="G592" s="796"/>
      <c r="H592" s="796"/>
      <c r="I592" s="796"/>
      <c r="J592" s="797"/>
      <c r="K592" s="797"/>
      <c r="L592" s="796"/>
      <c r="M592" s="797"/>
      <c r="N592" s="797"/>
      <c r="O592" s="797"/>
      <c r="P592" s="797"/>
      <c r="Q592" s="797"/>
      <c r="R592" s="797"/>
      <c r="S592" s="797"/>
      <c r="T592" s="796"/>
    </row>
    <row r="593">
      <c r="A593" s="796"/>
      <c r="B593" s="796"/>
      <c r="C593" s="796"/>
      <c r="D593" s="796"/>
      <c r="E593" s="797"/>
      <c r="F593" s="796"/>
      <c r="G593" s="796"/>
      <c r="H593" s="796"/>
      <c r="I593" s="796"/>
      <c r="J593" s="797"/>
      <c r="K593" s="797"/>
      <c r="L593" s="796"/>
      <c r="M593" s="797"/>
      <c r="N593" s="797"/>
      <c r="O593" s="797"/>
      <c r="P593" s="797"/>
      <c r="Q593" s="797"/>
      <c r="R593" s="797"/>
      <c r="S593" s="797"/>
      <c r="T593" s="796"/>
    </row>
    <row r="594">
      <c r="A594" s="796"/>
      <c r="B594" s="796"/>
      <c r="C594" s="796"/>
      <c r="D594" s="796"/>
      <c r="E594" s="797"/>
      <c r="F594" s="796"/>
      <c r="G594" s="796"/>
      <c r="H594" s="796"/>
      <c r="I594" s="796"/>
      <c r="J594" s="797"/>
      <c r="K594" s="797"/>
      <c r="L594" s="796"/>
      <c r="M594" s="797"/>
      <c r="N594" s="797"/>
      <c r="O594" s="797"/>
      <c r="P594" s="797"/>
      <c r="Q594" s="797"/>
      <c r="R594" s="797"/>
      <c r="S594" s="797"/>
      <c r="T594" s="796"/>
    </row>
    <row r="595">
      <c r="A595" s="796"/>
      <c r="B595" s="796"/>
      <c r="C595" s="796"/>
      <c r="D595" s="796"/>
      <c r="E595" s="797"/>
      <c r="F595" s="796"/>
      <c r="G595" s="796"/>
      <c r="H595" s="796"/>
      <c r="I595" s="796"/>
      <c r="J595" s="797"/>
      <c r="K595" s="797"/>
      <c r="L595" s="796"/>
      <c r="M595" s="797"/>
      <c r="N595" s="797"/>
      <c r="O595" s="797"/>
      <c r="P595" s="797"/>
      <c r="Q595" s="797"/>
      <c r="R595" s="797"/>
      <c r="S595" s="797"/>
      <c r="T595" s="796"/>
    </row>
    <row r="596">
      <c r="A596" s="796"/>
      <c r="B596" s="796"/>
      <c r="C596" s="796"/>
      <c r="D596" s="796"/>
      <c r="E596" s="797"/>
      <c r="F596" s="796"/>
      <c r="G596" s="796"/>
      <c r="H596" s="796"/>
      <c r="I596" s="796"/>
      <c r="J596" s="797"/>
      <c r="K596" s="797"/>
      <c r="L596" s="796"/>
      <c r="M596" s="797"/>
      <c r="N596" s="797"/>
      <c r="O596" s="797"/>
      <c r="P596" s="797"/>
      <c r="Q596" s="797"/>
      <c r="R596" s="797"/>
      <c r="S596" s="797"/>
      <c r="T596" s="796"/>
    </row>
    <row r="597">
      <c r="A597" s="796"/>
      <c r="B597" s="796"/>
      <c r="C597" s="796"/>
      <c r="D597" s="796"/>
      <c r="E597" s="797"/>
      <c r="F597" s="796"/>
      <c r="G597" s="796"/>
      <c r="H597" s="796"/>
      <c r="I597" s="796"/>
      <c r="J597" s="797"/>
      <c r="K597" s="797"/>
      <c r="L597" s="796"/>
      <c r="M597" s="797"/>
      <c r="N597" s="797"/>
      <c r="O597" s="797"/>
      <c r="P597" s="797"/>
      <c r="Q597" s="797"/>
      <c r="R597" s="797"/>
      <c r="S597" s="797"/>
      <c r="T597" s="796"/>
    </row>
    <row r="598">
      <c r="A598" s="796"/>
      <c r="B598" s="796"/>
      <c r="C598" s="796"/>
      <c r="D598" s="796"/>
      <c r="E598" s="797"/>
      <c r="F598" s="796"/>
      <c r="G598" s="796"/>
      <c r="H598" s="796"/>
      <c r="I598" s="796"/>
      <c r="J598" s="797"/>
      <c r="K598" s="797"/>
      <c r="L598" s="796"/>
      <c r="M598" s="797"/>
      <c r="N598" s="797"/>
      <c r="O598" s="797"/>
      <c r="P598" s="797"/>
      <c r="Q598" s="797"/>
      <c r="R598" s="797"/>
      <c r="S598" s="797"/>
      <c r="T598" s="796"/>
    </row>
    <row r="599">
      <c r="A599" s="796"/>
      <c r="B599" s="796"/>
      <c r="C599" s="796"/>
      <c r="D599" s="796"/>
      <c r="E599" s="797"/>
      <c r="F599" s="796"/>
      <c r="G599" s="796"/>
      <c r="H599" s="796"/>
      <c r="I599" s="796"/>
      <c r="J599" s="797"/>
      <c r="K599" s="797"/>
      <c r="L599" s="796"/>
      <c r="M599" s="797"/>
      <c r="N599" s="797"/>
      <c r="O599" s="797"/>
      <c r="P599" s="797"/>
      <c r="Q599" s="797"/>
      <c r="R599" s="797"/>
      <c r="S599" s="797"/>
      <c r="T599" s="796"/>
    </row>
    <row r="600">
      <c r="A600" s="796"/>
      <c r="B600" s="796"/>
      <c r="C600" s="796"/>
      <c r="D600" s="796"/>
      <c r="E600" s="797"/>
      <c r="F600" s="796"/>
      <c r="G600" s="796"/>
      <c r="H600" s="796"/>
      <c r="I600" s="796"/>
      <c r="J600" s="797"/>
      <c r="K600" s="797"/>
      <c r="L600" s="796"/>
      <c r="M600" s="797"/>
      <c r="N600" s="797"/>
      <c r="O600" s="797"/>
      <c r="P600" s="797"/>
      <c r="Q600" s="797"/>
      <c r="R600" s="797"/>
      <c r="S600" s="797"/>
      <c r="T600" s="796"/>
    </row>
    <row r="601">
      <c r="A601" s="796"/>
      <c r="B601" s="796"/>
      <c r="C601" s="796"/>
      <c r="D601" s="796"/>
      <c r="E601" s="797"/>
      <c r="F601" s="796"/>
      <c r="G601" s="796"/>
      <c r="H601" s="796"/>
      <c r="I601" s="796"/>
      <c r="J601" s="797"/>
      <c r="K601" s="797"/>
      <c r="L601" s="796"/>
      <c r="M601" s="797"/>
      <c r="N601" s="797"/>
      <c r="O601" s="797"/>
      <c r="P601" s="797"/>
      <c r="Q601" s="797"/>
      <c r="R601" s="797"/>
      <c r="S601" s="797"/>
      <c r="T601" s="796"/>
    </row>
    <row r="602">
      <c r="A602" s="796"/>
      <c r="B602" s="796"/>
      <c r="C602" s="796"/>
      <c r="D602" s="796"/>
      <c r="E602" s="797"/>
      <c r="F602" s="796"/>
      <c r="G602" s="796"/>
      <c r="H602" s="796"/>
      <c r="I602" s="796"/>
      <c r="J602" s="797"/>
      <c r="K602" s="797"/>
      <c r="L602" s="796"/>
      <c r="M602" s="797"/>
      <c r="N602" s="797"/>
      <c r="O602" s="797"/>
      <c r="P602" s="797"/>
      <c r="Q602" s="797"/>
      <c r="R602" s="797"/>
      <c r="S602" s="797"/>
      <c r="T602" s="796"/>
    </row>
    <row r="603">
      <c r="A603" s="796"/>
      <c r="B603" s="796"/>
      <c r="C603" s="796"/>
      <c r="D603" s="796"/>
      <c r="E603" s="797"/>
      <c r="F603" s="796"/>
      <c r="G603" s="796"/>
      <c r="H603" s="796"/>
      <c r="I603" s="796"/>
      <c r="J603" s="797"/>
      <c r="K603" s="797"/>
      <c r="L603" s="796"/>
      <c r="M603" s="797"/>
      <c r="N603" s="797"/>
      <c r="O603" s="797"/>
      <c r="P603" s="797"/>
      <c r="Q603" s="797"/>
      <c r="R603" s="797"/>
      <c r="S603" s="797"/>
      <c r="T603" s="796"/>
    </row>
    <row r="604">
      <c r="A604" s="796"/>
      <c r="B604" s="796"/>
      <c r="C604" s="796"/>
      <c r="D604" s="796"/>
      <c r="E604" s="797"/>
      <c r="F604" s="796"/>
      <c r="G604" s="796"/>
      <c r="H604" s="796"/>
      <c r="I604" s="796"/>
      <c r="J604" s="797"/>
      <c r="K604" s="797"/>
      <c r="L604" s="796"/>
      <c r="M604" s="797"/>
      <c r="N604" s="797"/>
      <c r="O604" s="797"/>
      <c r="P604" s="797"/>
      <c r="Q604" s="797"/>
      <c r="R604" s="797"/>
      <c r="S604" s="797"/>
      <c r="T604" s="796"/>
    </row>
    <row r="605">
      <c r="A605" s="796"/>
      <c r="B605" s="796"/>
      <c r="C605" s="796"/>
      <c r="D605" s="796"/>
      <c r="E605" s="797"/>
      <c r="F605" s="796"/>
      <c r="G605" s="796"/>
      <c r="H605" s="796"/>
      <c r="I605" s="796"/>
      <c r="J605" s="797"/>
      <c r="K605" s="797"/>
      <c r="L605" s="796"/>
      <c r="M605" s="797"/>
      <c r="N605" s="797"/>
      <c r="O605" s="797"/>
      <c r="P605" s="797"/>
      <c r="Q605" s="797"/>
      <c r="R605" s="797"/>
      <c r="S605" s="797"/>
      <c r="T605" s="796"/>
    </row>
    <row r="606">
      <c r="A606" s="796"/>
      <c r="B606" s="796"/>
      <c r="C606" s="796"/>
      <c r="D606" s="796"/>
      <c r="E606" s="797"/>
      <c r="F606" s="796"/>
      <c r="G606" s="796"/>
      <c r="H606" s="796"/>
      <c r="I606" s="796"/>
      <c r="J606" s="797"/>
      <c r="K606" s="797"/>
      <c r="L606" s="796"/>
      <c r="M606" s="797"/>
      <c r="N606" s="797"/>
      <c r="O606" s="797"/>
      <c r="P606" s="797"/>
      <c r="Q606" s="797"/>
      <c r="R606" s="797"/>
      <c r="S606" s="797"/>
      <c r="T606" s="796"/>
    </row>
    <row r="607">
      <c r="A607" s="796"/>
      <c r="B607" s="796"/>
      <c r="C607" s="796"/>
      <c r="D607" s="796"/>
      <c r="E607" s="797"/>
      <c r="F607" s="796"/>
      <c r="G607" s="796"/>
      <c r="H607" s="796"/>
      <c r="I607" s="796"/>
      <c r="J607" s="797"/>
      <c r="K607" s="797"/>
      <c r="L607" s="796"/>
      <c r="M607" s="797"/>
      <c r="N607" s="797"/>
      <c r="O607" s="797"/>
      <c r="P607" s="797"/>
      <c r="Q607" s="797"/>
      <c r="R607" s="797"/>
      <c r="S607" s="797"/>
      <c r="T607" s="796"/>
    </row>
    <row r="608">
      <c r="A608" s="796"/>
      <c r="B608" s="796"/>
      <c r="C608" s="796"/>
      <c r="D608" s="796"/>
      <c r="E608" s="797"/>
      <c r="F608" s="796"/>
      <c r="G608" s="796"/>
      <c r="H608" s="796"/>
      <c r="I608" s="796"/>
      <c r="J608" s="797"/>
      <c r="K608" s="797"/>
      <c r="L608" s="796"/>
      <c r="M608" s="797"/>
      <c r="N608" s="797"/>
      <c r="O608" s="797"/>
      <c r="P608" s="797"/>
      <c r="Q608" s="797"/>
      <c r="R608" s="797"/>
      <c r="S608" s="797"/>
      <c r="T608" s="796"/>
    </row>
    <row r="609">
      <c r="A609" s="796"/>
      <c r="B609" s="796"/>
      <c r="C609" s="796"/>
      <c r="D609" s="796"/>
      <c r="E609" s="797"/>
      <c r="F609" s="796"/>
      <c r="G609" s="796"/>
      <c r="H609" s="796"/>
      <c r="I609" s="796"/>
      <c r="J609" s="797"/>
      <c r="K609" s="797"/>
      <c r="L609" s="796"/>
      <c r="M609" s="797"/>
      <c r="N609" s="797"/>
      <c r="O609" s="797"/>
      <c r="P609" s="797"/>
      <c r="Q609" s="797"/>
      <c r="R609" s="797"/>
      <c r="S609" s="797"/>
      <c r="T609" s="796"/>
    </row>
    <row r="610">
      <c r="A610" s="796"/>
      <c r="B610" s="796"/>
      <c r="C610" s="796"/>
      <c r="D610" s="796"/>
      <c r="E610" s="797"/>
      <c r="F610" s="796"/>
      <c r="G610" s="796"/>
      <c r="H610" s="796"/>
      <c r="I610" s="796"/>
      <c r="J610" s="797"/>
      <c r="K610" s="797"/>
      <c r="L610" s="796"/>
      <c r="M610" s="797"/>
      <c r="N610" s="797"/>
      <c r="O610" s="797"/>
      <c r="P610" s="797"/>
      <c r="Q610" s="797"/>
      <c r="R610" s="797"/>
      <c r="S610" s="797"/>
      <c r="T610" s="796"/>
    </row>
    <row r="611">
      <c r="A611" s="796"/>
      <c r="B611" s="796"/>
      <c r="C611" s="796"/>
      <c r="D611" s="796"/>
      <c r="E611" s="797"/>
      <c r="F611" s="796"/>
      <c r="G611" s="796"/>
      <c r="H611" s="796"/>
      <c r="I611" s="796"/>
      <c r="J611" s="797"/>
      <c r="K611" s="797"/>
      <c r="L611" s="796"/>
      <c r="M611" s="797"/>
      <c r="N611" s="797"/>
      <c r="O611" s="797"/>
      <c r="P611" s="797"/>
      <c r="Q611" s="797"/>
      <c r="R611" s="797"/>
      <c r="S611" s="797"/>
      <c r="T611" s="796"/>
    </row>
    <row r="612">
      <c r="A612" s="796"/>
      <c r="B612" s="796"/>
      <c r="C612" s="796"/>
      <c r="D612" s="796"/>
      <c r="E612" s="797"/>
      <c r="F612" s="796"/>
      <c r="G612" s="796"/>
      <c r="H612" s="796"/>
      <c r="I612" s="796"/>
      <c r="J612" s="797"/>
      <c r="K612" s="797"/>
      <c r="L612" s="796"/>
      <c r="M612" s="797"/>
      <c r="N612" s="797"/>
      <c r="O612" s="797"/>
      <c r="P612" s="797"/>
      <c r="Q612" s="797"/>
      <c r="R612" s="797"/>
      <c r="S612" s="797"/>
      <c r="T612" s="796"/>
    </row>
    <row r="613">
      <c r="A613" s="796"/>
      <c r="B613" s="796"/>
      <c r="C613" s="796"/>
      <c r="D613" s="796"/>
      <c r="E613" s="797"/>
      <c r="F613" s="796"/>
      <c r="G613" s="796"/>
      <c r="H613" s="796"/>
      <c r="I613" s="796"/>
      <c r="J613" s="797"/>
      <c r="K613" s="797"/>
      <c r="L613" s="796"/>
      <c r="M613" s="797"/>
      <c r="N613" s="797"/>
      <c r="O613" s="797"/>
      <c r="P613" s="797"/>
      <c r="Q613" s="797"/>
      <c r="R613" s="797"/>
      <c r="S613" s="797"/>
      <c r="T613" s="796"/>
    </row>
    <row r="614">
      <c r="A614" s="796"/>
      <c r="B614" s="796"/>
      <c r="C614" s="796"/>
      <c r="D614" s="796"/>
      <c r="E614" s="797"/>
      <c r="F614" s="796"/>
      <c r="G614" s="796"/>
      <c r="H614" s="796"/>
      <c r="I614" s="796"/>
      <c r="J614" s="797"/>
      <c r="K614" s="797"/>
      <c r="L614" s="796"/>
      <c r="M614" s="797"/>
      <c r="N614" s="797"/>
      <c r="O614" s="797"/>
      <c r="P614" s="797"/>
      <c r="Q614" s="797"/>
      <c r="R614" s="797"/>
      <c r="S614" s="797"/>
      <c r="T614" s="796"/>
    </row>
    <row r="615">
      <c r="A615" s="796"/>
      <c r="B615" s="796"/>
      <c r="C615" s="796"/>
      <c r="D615" s="796"/>
      <c r="E615" s="797"/>
      <c r="F615" s="796"/>
      <c r="G615" s="796"/>
      <c r="H615" s="796"/>
      <c r="I615" s="796"/>
      <c r="J615" s="797"/>
      <c r="K615" s="797"/>
      <c r="L615" s="796"/>
      <c r="M615" s="797"/>
      <c r="N615" s="797"/>
      <c r="O615" s="797"/>
      <c r="P615" s="797"/>
      <c r="Q615" s="797"/>
      <c r="R615" s="797"/>
      <c r="S615" s="797"/>
      <c r="T615" s="796"/>
    </row>
    <row r="616">
      <c r="A616" s="796"/>
      <c r="B616" s="796"/>
      <c r="C616" s="796"/>
      <c r="D616" s="796"/>
      <c r="E616" s="797"/>
      <c r="F616" s="796"/>
      <c r="G616" s="796"/>
      <c r="H616" s="796"/>
      <c r="I616" s="796"/>
      <c r="J616" s="797"/>
      <c r="K616" s="797"/>
      <c r="L616" s="796"/>
      <c r="M616" s="797"/>
      <c r="N616" s="797"/>
      <c r="O616" s="797"/>
      <c r="P616" s="797"/>
      <c r="Q616" s="797"/>
      <c r="R616" s="797"/>
      <c r="S616" s="797"/>
      <c r="T616" s="796"/>
    </row>
    <row r="617">
      <c r="A617" s="796"/>
      <c r="B617" s="796"/>
      <c r="C617" s="796"/>
      <c r="D617" s="796"/>
      <c r="E617" s="797"/>
      <c r="F617" s="796"/>
      <c r="G617" s="796"/>
      <c r="H617" s="796"/>
      <c r="I617" s="796"/>
      <c r="J617" s="797"/>
      <c r="K617" s="797"/>
      <c r="L617" s="796"/>
      <c r="M617" s="797"/>
      <c r="N617" s="797"/>
      <c r="O617" s="797"/>
      <c r="P617" s="797"/>
      <c r="Q617" s="797"/>
      <c r="R617" s="797"/>
      <c r="S617" s="797"/>
      <c r="T617" s="796"/>
    </row>
    <row r="618">
      <c r="A618" s="796"/>
      <c r="B618" s="796"/>
      <c r="C618" s="796"/>
      <c r="D618" s="796"/>
      <c r="E618" s="797"/>
      <c r="F618" s="796"/>
      <c r="G618" s="796"/>
      <c r="H618" s="796"/>
      <c r="I618" s="796"/>
      <c r="J618" s="797"/>
      <c r="K618" s="797"/>
      <c r="L618" s="796"/>
      <c r="M618" s="797"/>
      <c r="N618" s="797"/>
      <c r="O618" s="797"/>
      <c r="P618" s="797"/>
      <c r="Q618" s="797"/>
      <c r="R618" s="797"/>
      <c r="S618" s="797"/>
      <c r="T618" s="796"/>
    </row>
    <row r="619">
      <c r="A619" s="796"/>
      <c r="B619" s="796"/>
      <c r="C619" s="796"/>
      <c r="D619" s="796"/>
      <c r="E619" s="797"/>
      <c r="F619" s="796"/>
      <c r="G619" s="796"/>
      <c r="H619" s="796"/>
      <c r="I619" s="796"/>
      <c r="J619" s="797"/>
      <c r="K619" s="797"/>
      <c r="L619" s="796"/>
      <c r="M619" s="797"/>
      <c r="N619" s="797"/>
      <c r="O619" s="797"/>
      <c r="P619" s="797"/>
      <c r="Q619" s="797"/>
      <c r="R619" s="797"/>
      <c r="S619" s="797"/>
      <c r="T619" s="796"/>
    </row>
    <row r="620">
      <c r="A620" s="796"/>
      <c r="B620" s="796"/>
      <c r="C620" s="796"/>
      <c r="D620" s="796"/>
      <c r="E620" s="797"/>
      <c r="F620" s="796"/>
      <c r="G620" s="796"/>
      <c r="H620" s="796"/>
      <c r="I620" s="796"/>
      <c r="J620" s="797"/>
      <c r="K620" s="797"/>
      <c r="L620" s="796"/>
      <c r="M620" s="797"/>
      <c r="N620" s="797"/>
      <c r="O620" s="797"/>
      <c r="P620" s="797"/>
      <c r="Q620" s="797"/>
      <c r="R620" s="797"/>
      <c r="S620" s="797"/>
      <c r="T620" s="796"/>
    </row>
    <row r="621">
      <c r="A621" s="796"/>
      <c r="B621" s="796"/>
      <c r="C621" s="796"/>
      <c r="D621" s="796"/>
      <c r="E621" s="797"/>
      <c r="F621" s="796"/>
      <c r="G621" s="796"/>
      <c r="H621" s="796"/>
      <c r="I621" s="796"/>
      <c r="J621" s="797"/>
      <c r="K621" s="797"/>
      <c r="L621" s="796"/>
      <c r="M621" s="797"/>
      <c r="N621" s="797"/>
      <c r="O621" s="797"/>
      <c r="P621" s="797"/>
      <c r="Q621" s="797"/>
      <c r="R621" s="797"/>
      <c r="S621" s="797"/>
      <c r="T621" s="796"/>
    </row>
    <row r="622">
      <c r="A622" s="796"/>
      <c r="B622" s="796"/>
      <c r="C622" s="796"/>
      <c r="D622" s="796"/>
      <c r="E622" s="797"/>
      <c r="F622" s="796"/>
      <c r="G622" s="796"/>
      <c r="H622" s="796"/>
      <c r="I622" s="796"/>
      <c r="J622" s="797"/>
      <c r="K622" s="797"/>
      <c r="L622" s="796"/>
      <c r="M622" s="797"/>
      <c r="N622" s="797"/>
      <c r="O622" s="797"/>
      <c r="P622" s="797"/>
      <c r="Q622" s="797"/>
      <c r="R622" s="797"/>
      <c r="S622" s="797"/>
      <c r="T622" s="796"/>
    </row>
    <row r="623">
      <c r="A623" s="796"/>
      <c r="B623" s="796"/>
      <c r="C623" s="796"/>
      <c r="D623" s="796"/>
      <c r="E623" s="797"/>
      <c r="F623" s="796"/>
      <c r="G623" s="796"/>
      <c r="H623" s="796"/>
      <c r="I623" s="796"/>
      <c r="J623" s="797"/>
      <c r="K623" s="797"/>
      <c r="L623" s="796"/>
      <c r="M623" s="797"/>
      <c r="N623" s="797"/>
      <c r="O623" s="797"/>
      <c r="P623" s="797"/>
      <c r="Q623" s="797"/>
      <c r="R623" s="797"/>
      <c r="S623" s="797"/>
      <c r="T623" s="796"/>
    </row>
    <row r="624">
      <c r="A624" s="796"/>
      <c r="B624" s="796"/>
      <c r="C624" s="796"/>
      <c r="D624" s="796"/>
      <c r="E624" s="797"/>
      <c r="F624" s="796"/>
      <c r="G624" s="796"/>
      <c r="H624" s="796"/>
      <c r="I624" s="796"/>
      <c r="J624" s="797"/>
      <c r="K624" s="797"/>
      <c r="L624" s="796"/>
      <c r="M624" s="797"/>
      <c r="N624" s="797"/>
      <c r="O624" s="797"/>
      <c r="P624" s="797"/>
      <c r="Q624" s="797"/>
      <c r="R624" s="797"/>
      <c r="S624" s="797"/>
      <c r="T624" s="796"/>
    </row>
    <row r="625">
      <c r="A625" s="796"/>
      <c r="B625" s="796"/>
      <c r="C625" s="796"/>
      <c r="D625" s="796"/>
      <c r="E625" s="797"/>
      <c r="F625" s="796"/>
      <c r="G625" s="796"/>
      <c r="H625" s="796"/>
      <c r="I625" s="796"/>
      <c r="J625" s="797"/>
      <c r="K625" s="797"/>
      <c r="L625" s="796"/>
      <c r="M625" s="797"/>
      <c r="N625" s="797"/>
      <c r="O625" s="797"/>
      <c r="P625" s="797"/>
      <c r="Q625" s="797"/>
      <c r="R625" s="797"/>
      <c r="S625" s="797"/>
      <c r="T625" s="796"/>
    </row>
    <row r="626">
      <c r="A626" s="796"/>
      <c r="B626" s="796"/>
      <c r="C626" s="796"/>
      <c r="D626" s="796"/>
      <c r="E626" s="797"/>
      <c r="F626" s="796"/>
      <c r="G626" s="796"/>
      <c r="H626" s="796"/>
      <c r="I626" s="796"/>
      <c r="J626" s="797"/>
      <c r="K626" s="797"/>
      <c r="L626" s="796"/>
      <c r="M626" s="797"/>
      <c r="N626" s="797"/>
      <c r="O626" s="797"/>
      <c r="P626" s="797"/>
      <c r="Q626" s="797"/>
      <c r="R626" s="797"/>
      <c r="S626" s="797"/>
      <c r="T626" s="796"/>
    </row>
    <row r="627">
      <c r="A627" s="796"/>
      <c r="B627" s="796"/>
      <c r="C627" s="796"/>
      <c r="D627" s="796"/>
      <c r="E627" s="797"/>
      <c r="F627" s="796"/>
      <c r="G627" s="796"/>
      <c r="H627" s="796"/>
      <c r="I627" s="796"/>
      <c r="J627" s="797"/>
      <c r="K627" s="797"/>
      <c r="L627" s="796"/>
      <c r="M627" s="797"/>
      <c r="N627" s="797"/>
      <c r="O627" s="797"/>
      <c r="P627" s="797"/>
      <c r="Q627" s="797"/>
      <c r="R627" s="797"/>
      <c r="S627" s="797"/>
      <c r="T627" s="796"/>
    </row>
    <row r="628">
      <c r="A628" s="796"/>
      <c r="B628" s="796"/>
      <c r="C628" s="796"/>
      <c r="D628" s="796"/>
      <c r="E628" s="797"/>
      <c r="F628" s="796"/>
      <c r="G628" s="796"/>
      <c r="H628" s="796"/>
      <c r="I628" s="796"/>
      <c r="J628" s="797"/>
      <c r="K628" s="797"/>
      <c r="L628" s="796"/>
      <c r="M628" s="797"/>
      <c r="N628" s="797"/>
      <c r="O628" s="797"/>
      <c r="P628" s="797"/>
      <c r="Q628" s="797"/>
      <c r="R628" s="797"/>
      <c r="S628" s="797"/>
      <c r="T628" s="796"/>
    </row>
    <row r="629">
      <c r="A629" s="796"/>
      <c r="B629" s="796"/>
      <c r="C629" s="796"/>
      <c r="D629" s="796"/>
      <c r="E629" s="797"/>
      <c r="F629" s="796"/>
      <c r="G629" s="796"/>
      <c r="H629" s="796"/>
      <c r="I629" s="796"/>
      <c r="J629" s="797"/>
      <c r="K629" s="797"/>
      <c r="L629" s="796"/>
      <c r="M629" s="797"/>
      <c r="N629" s="797"/>
      <c r="O629" s="797"/>
      <c r="P629" s="797"/>
      <c r="Q629" s="797"/>
      <c r="R629" s="797"/>
      <c r="S629" s="797"/>
      <c r="T629" s="796"/>
    </row>
    <row r="630">
      <c r="A630" s="796"/>
      <c r="B630" s="796"/>
      <c r="C630" s="796"/>
      <c r="D630" s="796"/>
      <c r="E630" s="797"/>
      <c r="F630" s="796"/>
      <c r="G630" s="796"/>
      <c r="H630" s="796"/>
      <c r="I630" s="796"/>
      <c r="J630" s="797"/>
      <c r="K630" s="797"/>
      <c r="L630" s="796"/>
      <c r="M630" s="797"/>
      <c r="N630" s="797"/>
      <c r="O630" s="797"/>
      <c r="P630" s="797"/>
      <c r="Q630" s="797"/>
      <c r="R630" s="797"/>
      <c r="S630" s="797"/>
      <c r="T630" s="796"/>
    </row>
    <row r="631">
      <c r="A631" s="796"/>
      <c r="B631" s="796"/>
      <c r="C631" s="796"/>
      <c r="D631" s="796"/>
      <c r="E631" s="797"/>
      <c r="F631" s="796"/>
      <c r="G631" s="796"/>
      <c r="H631" s="796"/>
      <c r="I631" s="796"/>
      <c r="J631" s="797"/>
      <c r="K631" s="797"/>
      <c r="L631" s="796"/>
      <c r="M631" s="797"/>
      <c r="N631" s="797"/>
      <c r="O631" s="797"/>
      <c r="P631" s="797"/>
      <c r="Q631" s="797"/>
      <c r="R631" s="797"/>
      <c r="S631" s="797"/>
      <c r="T631" s="796"/>
    </row>
    <row r="632">
      <c r="A632" s="796"/>
      <c r="B632" s="796"/>
      <c r="C632" s="796"/>
      <c r="D632" s="796"/>
      <c r="E632" s="797"/>
      <c r="F632" s="796"/>
      <c r="G632" s="796"/>
      <c r="H632" s="796"/>
      <c r="I632" s="796"/>
      <c r="J632" s="797"/>
      <c r="K632" s="797"/>
      <c r="L632" s="796"/>
      <c r="M632" s="797"/>
      <c r="N632" s="797"/>
      <c r="O632" s="797"/>
      <c r="P632" s="797"/>
      <c r="Q632" s="797"/>
      <c r="R632" s="797"/>
      <c r="S632" s="797"/>
      <c r="T632" s="796"/>
    </row>
    <row r="633">
      <c r="A633" s="796"/>
      <c r="B633" s="796"/>
      <c r="C633" s="796"/>
      <c r="D633" s="796"/>
      <c r="E633" s="797"/>
      <c r="F633" s="796"/>
      <c r="G633" s="796"/>
      <c r="H633" s="796"/>
      <c r="I633" s="796"/>
      <c r="J633" s="797"/>
      <c r="K633" s="797"/>
      <c r="L633" s="796"/>
      <c r="M633" s="797"/>
      <c r="N633" s="797"/>
      <c r="O633" s="797"/>
      <c r="P633" s="797"/>
      <c r="Q633" s="797"/>
      <c r="R633" s="797"/>
      <c r="S633" s="797"/>
      <c r="T633" s="796"/>
    </row>
    <row r="634">
      <c r="A634" s="796"/>
      <c r="B634" s="796"/>
      <c r="C634" s="796"/>
      <c r="D634" s="796"/>
      <c r="E634" s="797"/>
      <c r="F634" s="796"/>
      <c r="G634" s="796"/>
      <c r="H634" s="796"/>
      <c r="I634" s="796"/>
      <c r="J634" s="797"/>
      <c r="K634" s="797"/>
      <c r="L634" s="796"/>
      <c r="M634" s="797"/>
      <c r="N634" s="797"/>
      <c r="O634" s="797"/>
      <c r="P634" s="797"/>
      <c r="Q634" s="797"/>
      <c r="R634" s="797"/>
      <c r="S634" s="797"/>
      <c r="T634" s="796"/>
    </row>
    <row r="635">
      <c r="A635" s="796"/>
      <c r="B635" s="796"/>
      <c r="C635" s="796"/>
      <c r="D635" s="796"/>
      <c r="E635" s="797"/>
      <c r="F635" s="796"/>
      <c r="G635" s="796"/>
      <c r="H635" s="796"/>
      <c r="I635" s="796"/>
      <c r="J635" s="797"/>
      <c r="K635" s="797"/>
      <c r="L635" s="796"/>
      <c r="M635" s="797"/>
      <c r="N635" s="797"/>
      <c r="O635" s="797"/>
      <c r="P635" s="797"/>
      <c r="Q635" s="797"/>
      <c r="R635" s="797"/>
      <c r="S635" s="797"/>
      <c r="T635" s="796"/>
    </row>
    <row r="636">
      <c r="A636" s="796"/>
      <c r="B636" s="796"/>
      <c r="C636" s="796"/>
      <c r="D636" s="796"/>
      <c r="E636" s="797"/>
      <c r="F636" s="796"/>
      <c r="G636" s="796"/>
      <c r="H636" s="796"/>
      <c r="I636" s="796"/>
      <c r="J636" s="797"/>
      <c r="K636" s="797"/>
      <c r="L636" s="796"/>
      <c r="M636" s="797"/>
      <c r="N636" s="797"/>
      <c r="O636" s="797"/>
      <c r="P636" s="797"/>
      <c r="Q636" s="797"/>
      <c r="R636" s="797"/>
      <c r="S636" s="797"/>
      <c r="T636" s="796"/>
    </row>
    <row r="637">
      <c r="A637" s="796"/>
      <c r="B637" s="796"/>
      <c r="C637" s="796"/>
      <c r="D637" s="796"/>
      <c r="E637" s="797"/>
      <c r="F637" s="796"/>
      <c r="G637" s="796"/>
      <c r="H637" s="796"/>
      <c r="I637" s="796"/>
      <c r="J637" s="797"/>
      <c r="K637" s="797"/>
      <c r="L637" s="796"/>
      <c r="M637" s="797"/>
      <c r="N637" s="797"/>
      <c r="O637" s="797"/>
      <c r="P637" s="797"/>
      <c r="Q637" s="797"/>
      <c r="R637" s="797"/>
      <c r="S637" s="797"/>
      <c r="T637" s="796"/>
    </row>
    <row r="638">
      <c r="A638" s="796"/>
      <c r="B638" s="796"/>
      <c r="C638" s="796"/>
      <c r="D638" s="796"/>
      <c r="E638" s="797"/>
      <c r="F638" s="796"/>
      <c r="G638" s="796"/>
      <c r="H638" s="796"/>
      <c r="I638" s="796"/>
      <c r="J638" s="797"/>
      <c r="K638" s="797"/>
      <c r="L638" s="796"/>
      <c r="M638" s="797"/>
      <c r="N638" s="797"/>
      <c r="O638" s="797"/>
      <c r="P638" s="797"/>
      <c r="Q638" s="797"/>
      <c r="R638" s="797"/>
      <c r="S638" s="797"/>
      <c r="T638" s="796"/>
    </row>
    <row r="639">
      <c r="A639" s="796"/>
      <c r="B639" s="796"/>
      <c r="C639" s="796"/>
      <c r="D639" s="796"/>
      <c r="E639" s="797"/>
      <c r="F639" s="796"/>
      <c r="G639" s="796"/>
      <c r="H639" s="796"/>
      <c r="I639" s="796"/>
      <c r="J639" s="797"/>
      <c r="K639" s="797"/>
      <c r="L639" s="796"/>
      <c r="M639" s="797"/>
      <c r="N639" s="797"/>
      <c r="O639" s="797"/>
      <c r="P639" s="797"/>
      <c r="Q639" s="797"/>
      <c r="R639" s="797"/>
      <c r="S639" s="797"/>
      <c r="T639" s="796"/>
    </row>
    <row r="640">
      <c r="A640" s="796"/>
      <c r="B640" s="796"/>
      <c r="C640" s="796"/>
      <c r="D640" s="796"/>
      <c r="E640" s="797"/>
      <c r="F640" s="796"/>
      <c r="G640" s="796"/>
      <c r="H640" s="796"/>
      <c r="I640" s="796"/>
      <c r="J640" s="797"/>
      <c r="K640" s="797"/>
      <c r="L640" s="796"/>
      <c r="M640" s="797"/>
      <c r="N640" s="797"/>
      <c r="O640" s="797"/>
      <c r="P640" s="797"/>
      <c r="Q640" s="797"/>
      <c r="R640" s="797"/>
      <c r="S640" s="797"/>
      <c r="T640" s="796"/>
    </row>
    <row r="641">
      <c r="A641" s="796"/>
      <c r="B641" s="796"/>
      <c r="C641" s="796"/>
      <c r="D641" s="796"/>
      <c r="E641" s="797"/>
      <c r="F641" s="796"/>
      <c r="G641" s="796"/>
      <c r="H641" s="796"/>
      <c r="I641" s="796"/>
      <c r="J641" s="797"/>
      <c r="K641" s="797"/>
      <c r="L641" s="796"/>
      <c r="M641" s="797"/>
      <c r="N641" s="797"/>
      <c r="O641" s="797"/>
      <c r="P641" s="797"/>
      <c r="Q641" s="797"/>
      <c r="R641" s="797"/>
      <c r="S641" s="797"/>
      <c r="T641" s="796"/>
    </row>
    <row r="642">
      <c r="A642" s="796"/>
      <c r="B642" s="796"/>
      <c r="C642" s="796"/>
      <c r="D642" s="796"/>
      <c r="E642" s="797"/>
      <c r="F642" s="796"/>
      <c r="G642" s="796"/>
      <c r="H642" s="796"/>
      <c r="I642" s="796"/>
      <c r="J642" s="797"/>
      <c r="K642" s="797"/>
      <c r="L642" s="796"/>
      <c r="M642" s="797"/>
      <c r="N642" s="797"/>
      <c r="O642" s="797"/>
      <c r="P642" s="797"/>
      <c r="Q642" s="797"/>
      <c r="R642" s="797"/>
      <c r="S642" s="797"/>
      <c r="T642" s="796"/>
    </row>
    <row r="643">
      <c r="A643" s="796"/>
      <c r="B643" s="796"/>
      <c r="C643" s="796"/>
      <c r="D643" s="796"/>
      <c r="E643" s="797"/>
      <c r="F643" s="796"/>
      <c r="G643" s="796"/>
      <c r="H643" s="796"/>
      <c r="I643" s="796"/>
      <c r="J643" s="797"/>
      <c r="K643" s="797"/>
      <c r="L643" s="796"/>
      <c r="M643" s="797"/>
      <c r="N643" s="797"/>
      <c r="O643" s="797"/>
      <c r="P643" s="797"/>
      <c r="Q643" s="797"/>
      <c r="R643" s="797"/>
      <c r="S643" s="797"/>
      <c r="T643" s="796"/>
    </row>
    <row r="644">
      <c r="A644" s="796"/>
      <c r="B644" s="796"/>
      <c r="C644" s="796"/>
      <c r="D644" s="796"/>
      <c r="E644" s="797"/>
      <c r="F644" s="796"/>
      <c r="G644" s="796"/>
      <c r="H644" s="796"/>
      <c r="I644" s="796"/>
      <c r="J644" s="797"/>
      <c r="K644" s="797"/>
      <c r="L644" s="796"/>
      <c r="M644" s="797"/>
      <c r="N644" s="797"/>
      <c r="O644" s="797"/>
      <c r="P644" s="797"/>
      <c r="Q644" s="797"/>
      <c r="R644" s="797"/>
      <c r="S644" s="797"/>
      <c r="T644" s="796"/>
    </row>
    <row r="645">
      <c r="A645" s="796"/>
      <c r="B645" s="796"/>
      <c r="C645" s="796"/>
      <c r="D645" s="796"/>
      <c r="E645" s="797"/>
      <c r="F645" s="796"/>
      <c r="G645" s="796"/>
      <c r="H645" s="796"/>
      <c r="I645" s="796"/>
      <c r="J645" s="797"/>
      <c r="K645" s="797"/>
      <c r="L645" s="796"/>
      <c r="M645" s="797"/>
      <c r="N645" s="797"/>
      <c r="O645" s="797"/>
      <c r="P645" s="797"/>
      <c r="Q645" s="797"/>
      <c r="R645" s="797"/>
      <c r="S645" s="797"/>
      <c r="T645" s="796"/>
    </row>
    <row r="646">
      <c r="A646" s="796"/>
      <c r="B646" s="796"/>
      <c r="C646" s="796"/>
      <c r="D646" s="796"/>
      <c r="E646" s="797"/>
      <c r="F646" s="796"/>
      <c r="G646" s="796"/>
      <c r="H646" s="796"/>
      <c r="I646" s="796"/>
      <c r="J646" s="797"/>
      <c r="K646" s="797"/>
      <c r="L646" s="796"/>
      <c r="M646" s="797"/>
      <c r="N646" s="797"/>
      <c r="O646" s="797"/>
      <c r="P646" s="797"/>
      <c r="Q646" s="797"/>
      <c r="R646" s="797"/>
      <c r="S646" s="797"/>
      <c r="T646" s="796"/>
    </row>
    <row r="647">
      <c r="A647" s="796"/>
      <c r="B647" s="796"/>
      <c r="C647" s="796"/>
      <c r="D647" s="796"/>
      <c r="E647" s="797"/>
      <c r="F647" s="796"/>
      <c r="G647" s="796"/>
      <c r="H647" s="796"/>
      <c r="I647" s="796"/>
      <c r="J647" s="797"/>
      <c r="K647" s="797"/>
      <c r="L647" s="796"/>
      <c r="M647" s="797"/>
      <c r="N647" s="797"/>
      <c r="O647" s="797"/>
      <c r="P647" s="797"/>
      <c r="Q647" s="797"/>
      <c r="R647" s="797"/>
      <c r="S647" s="797"/>
      <c r="T647" s="796"/>
    </row>
    <row r="648">
      <c r="A648" s="796"/>
      <c r="B648" s="796"/>
      <c r="C648" s="796"/>
      <c r="D648" s="796"/>
      <c r="E648" s="797"/>
      <c r="F648" s="796"/>
      <c r="G648" s="796"/>
      <c r="H648" s="796"/>
      <c r="I648" s="796"/>
      <c r="J648" s="797"/>
      <c r="K648" s="797"/>
      <c r="L648" s="796"/>
      <c r="M648" s="797"/>
      <c r="N648" s="797"/>
      <c r="O648" s="797"/>
      <c r="P648" s="797"/>
      <c r="Q648" s="797"/>
      <c r="R648" s="797"/>
      <c r="S648" s="797"/>
      <c r="T648" s="796"/>
    </row>
    <row r="649">
      <c r="A649" s="796"/>
      <c r="B649" s="796"/>
      <c r="C649" s="796"/>
      <c r="D649" s="796"/>
      <c r="E649" s="797"/>
      <c r="F649" s="796"/>
      <c r="G649" s="796"/>
      <c r="H649" s="796"/>
      <c r="I649" s="796"/>
      <c r="J649" s="797"/>
      <c r="K649" s="797"/>
      <c r="L649" s="796"/>
      <c r="M649" s="797"/>
      <c r="N649" s="797"/>
      <c r="O649" s="797"/>
      <c r="P649" s="797"/>
      <c r="Q649" s="797"/>
      <c r="R649" s="797"/>
      <c r="S649" s="797"/>
      <c r="T649" s="796"/>
    </row>
    <row r="650">
      <c r="A650" s="796"/>
      <c r="B650" s="796"/>
      <c r="C650" s="796"/>
      <c r="D650" s="796"/>
      <c r="E650" s="797"/>
      <c r="F650" s="796"/>
      <c r="G650" s="796"/>
      <c r="H650" s="796"/>
      <c r="I650" s="796"/>
      <c r="J650" s="797"/>
      <c r="K650" s="797"/>
      <c r="L650" s="796"/>
      <c r="M650" s="797"/>
      <c r="N650" s="797"/>
      <c r="O650" s="797"/>
      <c r="P650" s="797"/>
      <c r="Q650" s="797"/>
      <c r="R650" s="797"/>
      <c r="S650" s="797"/>
      <c r="T650" s="796"/>
    </row>
    <row r="651">
      <c r="A651" s="796"/>
      <c r="B651" s="796"/>
      <c r="C651" s="796"/>
      <c r="D651" s="796"/>
      <c r="E651" s="797"/>
      <c r="F651" s="796"/>
      <c r="G651" s="796"/>
      <c r="H651" s="796"/>
      <c r="I651" s="796"/>
      <c r="J651" s="797"/>
      <c r="K651" s="797"/>
      <c r="L651" s="796"/>
      <c r="M651" s="797"/>
      <c r="N651" s="797"/>
      <c r="O651" s="797"/>
      <c r="P651" s="797"/>
      <c r="Q651" s="797"/>
      <c r="R651" s="797"/>
      <c r="S651" s="797"/>
      <c r="T651" s="796"/>
    </row>
    <row r="652">
      <c r="A652" s="796"/>
      <c r="B652" s="796"/>
      <c r="C652" s="796"/>
      <c r="D652" s="796"/>
      <c r="E652" s="797"/>
      <c r="F652" s="796"/>
      <c r="G652" s="796"/>
      <c r="H652" s="796"/>
      <c r="I652" s="796"/>
      <c r="J652" s="797"/>
      <c r="K652" s="797"/>
      <c r="L652" s="796"/>
      <c r="M652" s="797"/>
      <c r="N652" s="797"/>
      <c r="O652" s="797"/>
      <c r="P652" s="797"/>
      <c r="Q652" s="797"/>
      <c r="R652" s="797"/>
      <c r="S652" s="797"/>
      <c r="T652" s="796"/>
    </row>
    <row r="653">
      <c r="A653" s="796"/>
      <c r="B653" s="796"/>
      <c r="C653" s="796"/>
      <c r="D653" s="796"/>
      <c r="E653" s="797"/>
      <c r="F653" s="796"/>
      <c r="G653" s="796"/>
      <c r="H653" s="796"/>
      <c r="I653" s="796"/>
      <c r="J653" s="797"/>
      <c r="K653" s="797"/>
      <c r="L653" s="796"/>
      <c r="M653" s="797"/>
      <c r="N653" s="797"/>
      <c r="O653" s="797"/>
      <c r="P653" s="797"/>
      <c r="Q653" s="797"/>
      <c r="R653" s="797"/>
      <c r="S653" s="797"/>
      <c r="T653" s="796"/>
    </row>
    <row r="654">
      <c r="A654" s="796"/>
      <c r="B654" s="796"/>
      <c r="C654" s="796"/>
      <c r="D654" s="796"/>
      <c r="E654" s="797"/>
      <c r="F654" s="796"/>
      <c r="G654" s="796"/>
      <c r="H654" s="796"/>
      <c r="I654" s="796"/>
      <c r="J654" s="797"/>
      <c r="K654" s="797"/>
      <c r="L654" s="796"/>
      <c r="M654" s="797"/>
      <c r="N654" s="797"/>
      <c r="O654" s="797"/>
      <c r="P654" s="797"/>
      <c r="Q654" s="797"/>
      <c r="R654" s="797"/>
      <c r="S654" s="797"/>
      <c r="T654" s="796"/>
    </row>
    <row r="655">
      <c r="A655" s="796"/>
      <c r="B655" s="796"/>
      <c r="C655" s="796"/>
      <c r="D655" s="796"/>
      <c r="E655" s="797"/>
      <c r="F655" s="796"/>
      <c r="G655" s="796"/>
      <c r="H655" s="796"/>
      <c r="I655" s="796"/>
      <c r="J655" s="797"/>
      <c r="K655" s="797"/>
      <c r="L655" s="796"/>
      <c r="M655" s="797"/>
      <c r="N655" s="797"/>
      <c r="O655" s="797"/>
      <c r="P655" s="797"/>
      <c r="Q655" s="797"/>
      <c r="R655" s="797"/>
      <c r="S655" s="797"/>
      <c r="T655" s="796"/>
    </row>
    <row r="656">
      <c r="A656" s="796"/>
      <c r="B656" s="796"/>
      <c r="C656" s="796"/>
      <c r="D656" s="796"/>
      <c r="E656" s="797"/>
      <c r="F656" s="796"/>
      <c r="G656" s="796"/>
      <c r="H656" s="796"/>
      <c r="I656" s="796"/>
      <c r="J656" s="797"/>
      <c r="K656" s="797"/>
      <c r="L656" s="796"/>
      <c r="M656" s="797"/>
      <c r="N656" s="797"/>
      <c r="O656" s="797"/>
      <c r="P656" s="797"/>
      <c r="Q656" s="797"/>
      <c r="R656" s="797"/>
      <c r="S656" s="797"/>
      <c r="T656" s="796"/>
    </row>
    <row r="657">
      <c r="A657" s="796"/>
      <c r="B657" s="796"/>
      <c r="C657" s="796"/>
      <c r="D657" s="796"/>
      <c r="E657" s="797"/>
      <c r="F657" s="796"/>
      <c r="G657" s="796"/>
      <c r="H657" s="796"/>
      <c r="I657" s="796"/>
      <c r="J657" s="797"/>
      <c r="K657" s="797"/>
      <c r="L657" s="796"/>
      <c r="M657" s="797"/>
      <c r="N657" s="797"/>
      <c r="O657" s="797"/>
      <c r="P657" s="797"/>
      <c r="Q657" s="797"/>
      <c r="R657" s="797"/>
      <c r="S657" s="797"/>
      <c r="T657" s="796"/>
    </row>
    <row r="658">
      <c r="A658" s="796"/>
      <c r="B658" s="796"/>
      <c r="C658" s="796"/>
      <c r="D658" s="796"/>
      <c r="E658" s="797"/>
      <c r="F658" s="796"/>
      <c r="G658" s="796"/>
      <c r="H658" s="796"/>
      <c r="I658" s="796"/>
      <c r="J658" s="797"/>
      <c r="K658" s="797"/>
      <c r="L658" s="796"/>
      <c r="M658" s="797"/>
      <c r="N658" s="797"/>
      <c r="O658" s="797"/>
      <c r="P658" s="797"/>
      <c r="Q658" s="797"/>
      <c r="R658" s="797"/>
      <c r="S658" s="797"/>
      <c r="T658" s="796"/>
    </row>
    <row r="659">
      <c r="A659" s="796"/>
      <c r="B659" s="796"/>
      <c r="C659" s="796"/>
      <c r="D659" s="796"/>
      <c r="E659" s="797"/>
      <c r="F659" s="796"/>
      <c r="G659" s="796"/>
      <c r="H659" s="796"/>
      <c r="I659" s="796"/>
      <c r="J659" s="797"/>
      <c r="K659" s="797"/>
      <c r="L659" s="796"/>
      <c r="M659" s="797"/>
      <c r="N659" s="797"/>
      <c r="O659" s="797"/>
      <c r="P659" s="797"/>
      <c r="Q659" s="797"/>
      <c r="R659" s="797"/>
      <c r="S659" s="797"/>
      <c r="T659" s="796"/>
    </row>
    <row r="660">
      <c r="A660" s="796"/>
      <c r="B660" s="796"/>
      <c r="C660" s="796"/>
      <c r="D660" s="796"/>
      <c r="E660" s="797"/>
      <c r="F660" s="796"/>
      <c r="G660" s="796"/>
      <c r="H660" s="796"/>
      <c r="I660" s="796"/>
      <c r="J660" s="797"/>
      <c r="K660" s="797"/>
      <c r="L660" s="796"/>
      <c r="M660" s="797"/>
      <c r="N660" s="797"/>
      <c r="O660" s="797"/>
      <c r="P660" s="797"/>
      <c r="Q660" s="797"/>
      <c r="R660" s="797"/>
      <c r="S660" s="797"/>
      <c r="T660" s="796"/>
    </row>
    <row r="661">
      <c r="A661" s="796"/>
      <c r="B661" s="796"/>
      <c r="C661" s="796"/>
      <c r="D661" s="796"/>
      <c r="E661" s="797"/>
      <c r="F661" s="796"/>
      <c r="G661" s="796"/>
      <c r="H661" s="796"/>
      <c r="I661" s="796"/>
      <c r="J661" s="797"/>
      <c r="K661" s="797"/>
      <c r="L661" s="796"/>
      <c r="M661" s="797"/>
      <c r="N661" s="797"/>
      <c r="O661" s="797"/>
      <c r="P661" s="797"/>
      <c r="Q661" s="797"/>
      <c r="R661" s="797"/>
      <c r="S661" s="797"/>
      <c r="T661" s="796"/>
    </row>
    <row r="662">
      <c r="A662" s="796"/>
      <c r="B662" s="796"/>
      <c r="C662" s="796"/>
      <c r="D662" s="796"/>
      <c r="E662" s="797"/>
      <c r="F662" s="796"/>
      <c r="G662" s="796"/>
      <c r="H662" s="796"/>
      <c r="I662" s="796"/>
      <c r="J662" s="797"/>
      <c r="K662" s="797"/>
      <c r="L662" s="796"/>
      <c r="M662" s="797"/>
      <c r="N662" s="797"/>
      <c r="O662" s="797"/>
      <c r="P662" s="797"/>
      <c r="Q662" s="797"/>
      <c r="R662" s="797"/>
      <c r="S662" s="797"/>
      <c r="T662" s="796"/>
    </row>
    <row r="663">
      <c r="A663" s="796"/>
      <c r="B663" s="796"/>
      <c r="C663" s="796"/>
      <c r="D663" s="796"/>
      <c r="E663" s="797"/>
      <c r="F663" s="796"/>
      <c r="G663" s="796"/>
      <c r="H663" s="796"/>
      <c r="I663" s="796"/>
      <c r="J663" s="797"/>
      <c r="K663" s="797"/>
      <c r="L663" s="796"/>
      <c r="M663" s="797"/>
      <c r="N663" s="797"/>
      <c r="O663" s="797"/>
      <c r="P663" s="797"/>
      <c r="Q663" s="797"/>
      <c r="R663" s="797"/>
      <c r="S663" s="797"/>
      <c r="T663" s="796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3" width="4.38"/>
    <col customWidth="1" min="4" max="4" width="28.63"/>
    <col customWidth="1" min="5" max="5" width="5.5"/>
    <col customWidth="1" min="6" max="6" width="15.25"/>
    <col customWidth="1" min="7" max="7" width="11.5"/>
    <col customWidth="1" min="8" max="8" width="10.13"/>
    <col customWidth="1" min="9" max="9" width="7.25"/>
    <col customWidth="1" hidden="1" min="10" max="11" width="7.25"/>
    <col customWidth="1" hidden="1" min="12" max="12" width="16.88"/>
    <col customWidth="1" min="13" max="13" width="11.0"/>
    <col customWidth="1" hidden="1" min="14" max="15" width="11.0"/>
    <col customWidth="1" hidden="1" min="16" max="17" width="7.88"/>
    <col customWidth="1" min="18" max="18" width="35.13"/>
  </cols>
  <sheetData>
    <row r="1">
      <c r="A1" s="798" t="s">
        <v>341</v>
      </c>
      <c r="B1" s="798" t="s">
        <v>342</v>
      </c>
      <c r="C1" s="798" t="s">
        <v>59</v>
      </c>
      <c r="D1" s="799" t="s">
        <v>343</v>
      </c>
      <c r="E1" s="799" t="s">
        <v>343</v>
      </c>
      <c r="F1" s="800"/>
      <c r="G1" s="800"/>
      <c r="H1" s="801"/>
      <c r="I1" s="799" t="s">
        <v>344</v>
      </c>
      <c r="J1" s="800"/>
      <c r="K1" s="800"/>
      <c r="L1" s="800"/>
      <c r="M1" s="800"/>
      <c r="N1" s="800"/>
      <c r="O1" s="801"/>
      <c r="P1" s="799" t="s">
        <v>345</v>
      </c>
      <c r="Q1" s="801"/>
      <c r="R1" s="802" t="s">
        <v>23</v>
      </c>
      <c r="S1" s="803"/>
      <c r="T1" s="803"/>
    </row>
    <row r="2">
      <c r="A2" s="804"/>
      <c r="B2" s="804"/>
      <c r="C2" s="804"/>
      <c r="D2" s="798" t="s">
        <v>346</v>
      </c>
      <c r="E2" s="798" t="s">
        <v>347</v>
      </c>
      <c r="F2" s="805" t="s">
        <v>348</v>
      </c>
      <c r="G2" s="805" t="s">
        <v>349</v>
      </c>
      <c r="H2" s="798" t="s">
        <v>350</v>
      </c>
      <c r="I2" s="798" t="s">
        <v>351</v>
      </c>
      <c r="J2" s="798" t="s">
        <v>352</v>
      </c>
      <c r="K2" s="798" t="s">
        <v>353</v>
      </c>
      <c r="L2" s="805" t="s">
        <v>354</v>
      </c>
      <c r="M2" s="805" t="s">
        <v>355</v>
      </c>
      <c r="N2" s="805" t="s">
        <v>356</v>
      </c>
      <c r="O2" s="805" t="s">
        <v>357</v>
      </c>
      <c r="P2" s="798" t="s">
        <v>358</v>
      </c>
      <c r="Q2" s="798" t="s">
        <v>97</v>
      </c>
      <c r="R2" s="806"/>
      <c r="S2" s="803"/>
      <c r="T2" s="803"/>
    </row>
    <row r="3">
      <c r="A3" s="807"/>
      <c r="B3" s="807"/>
      <c r="C3" s="807"/>
      <c r="D3" s="804"/>
      <c r="E3" s="804"/>
      <c r="F3" s="807"/>
      <c r="G3" s="807"/>
      <c r="H3" s="804"/>
      <c r="I3" s="804"/>
      <c r="J3" s="804"/>
      <c r="K3" s="804"/>
      <c r="L3" s="804"/>
      <c r="M3" s="807"/>
      <c r="N3" s="807"/>
      <c r="O3" s="807"/>
      <c r="P3" s="807"/>
      <c r="Q3" s="807"/>
      <c r="R3" s="806"/>
      <c r="S3" s="803"/>
      <c r="T3" s="803"/>
    </row>
    <row r="4">
      <c r="A4" s="808">
        <v>1.0</v>
      </c>
      <c r="B4" s="808"/>
      <c r="C4" s="808"/>
      <c r="D4" s="809" t="s">
        <v>54</v>
      </c>
      <c r="E4" s="809"/>
      <c r="F4" s="810">
        <f>F5+F8+F11+F20+F36+F69+F81</f>
        <v>0</v>
      </c>
      <c r="G4" s="810">
        <f>G5+G8+G11+G20</f>
        <v>0</v>
      </c>
      <c r="H4" s="811"/>
      <c r="I4" s="811"/>
      <c r="J4" s="811"/>
      <c r="K4" s="811"/>
      <c r="L4" s="811"/>
      <c r="M4" s="810">
        <f t="shared" ref="M4:O4" si="1">M5+M8+M11+M20</f>
        <v>0</v>
      </c>
      <c r="N4" s="810" t="str">
        <f t="shared" si="1"/>
        <v>#REF!</v>
      </c>
      <c r="O4" s="810">
        <f t="shared" si="1"/>
        <v>3300000</v>
      </c>
      <c r="P4" s="811"/>
      <c r="Q4" s="812"/>
      <c r="R4" s="813"/>
      <c r="S4" s="814"/>
      <c r="T4" s="814"/>
    </row>
    <row r="5">
      <c r="A5" s="815"/>
      <c r="B5" s="816">
        <v>1.0</v>
      </c>
      <c r="C5" s="816"/>
      <c r="D5" s="817" t="s">
        <v>61</v>
      </c>
      <c r="E5" s="818">
        <f t="shared" ref="E5:G5" si="2">SUM(E6:E7)</f>
        <v>0</v>
      </c>
      <c r="F5" s="819">
        <f t="shared" si="2"/>
        <v>0</v>
      </c>
      <c r="G5" s="819">
        <f t="shared" si="2"/>
        <v>0</v>
      </c>
      <c r="H5" s="818"/>
      <c r="I5" s="818">
        <f t="shared" ref="I5:K5" si="3">SUM(I6:I7)</f>
        <v>0</v>
      </c>
      <c r="J5" s="818">
        <f t="shared" si="3"/>
        <v>1</v>
      </c>
      <c r="K5" s="818">
        <f t="shared" si="3"/>
        <v>1</v>
      </c>
      <c r="L5" s="818"/>
      <c r="M5" s="819">
        <f t="shared" ref="M5:O5" si="4">SUM(M6:M7)</f>
        <v>0</v>
      </c>
      <c r="N5" s="819" t="str">
        <f t="shared" si="4"/>
        <v>#REF!</v>
      </c>
      <c r="O5" s="819">
        <f t="shared" si="4"/>
        <v>1000000</v>
      </c>
      <c r="P5" s="815"/>
      <c r="Q5" s="815"/>
      <c r="R5" s="820"/>
      <c r="S5" s="814"/>
      <c r="T5" s="814"/>
    </row>
    <row r="6">
      <c r="A6" s="821"/>
      <c r="B6" s="821"/>
      <c r="C6" s="822">
        <f t="shared" ref="C6:C7" si="5">ROW()-ROW(B$5)</f>
        <v>1</v>
      </c>
      <c r="D6" s="823"/>
      <c r="E6" s="824">
        <f>COUNTA(D6)</f>
        <v>0</v>
      </c>
      <c r="F6" s="825"/>
      <c r="G6" s="826"/>
      <c r="H6" s="824"/>
      <c r="I6" s="824">
        <v>0.0</v>
      </c>
      <c r="J6" s="824">
        <v>1.0</v>
      </c>
      <c r="K6" s="824">
        <v>1.0</v>
      </c>
      <c r="L6" s="825" t="s">
        <v>359</v>
      </c>
      <c r="M6" s="826"/>
      <c r="N6" s="826" t="str">
        <f>J6*'30品項-價格'!$E$2</f>
        <v>#REF!</v>
      </c>
      <c r="O6" s="826">
        <f>1000000</f>
        <v>1000000</v>
      </c>
      <c r="P6" s="821"/>
      <c r="Q6" s="821"/>
      <c r="R6" s="827"/>
      <c r="S6" s="814"/>
      <c r="T6" s="814"/>
    </row>
    <row r="7">
      <c r="A7" s="821"/>
      <c r="B7" s="821"/>
      <c r="C7" s="822">
        <f t="shared" si="5"/>
        <v>2</v>
      </c>
      <c r="D7" s="828"/>
      <c r="E7" s="824">
        <v>0.0</v>
      </c>
      <c r="F7" s="825"/>
      <c r="G7" s="826"/>
      <c r="H7" s="824"/>
      <c r="I7" s="824">
        <v>0.0</v>
      </c>
      <c r="J7" s="824"/>
      <c r="K7" s="829"/>
      <c r="L7" s="829"/>
      <c r="M7" s="826"/>
      <c r="N7" s="826"/>
      <c r="O7" s="826"/>
      <c r="P7" s="821"/>
      <c r="Q7" s="821"/>
      <c r="R7" s="827"/>
      <c r="S7" s="814"/>
      <c r="T7" s="814"/>
    </row>
    <row r="8">
      <c r="A8" s="830"/>
      <c r="B8" s="831">
        <v>2.0</v>
      </c>
      <c r="C8" s="831"/>
      <c r="D8" s="832" t="s">
        <v>65</v>
      </c>
      <c r="E8" s="833">
        <f t="shared" ref="E8:G8" si="6">SUM(E9:E10)</f>
        <v>0</v>
      </c>
      <c r="F8" s="834">
        <f t="shared" si="6"/>
        <v>0</v>
      </c>
      <c r="G8" s="834">
        <f t="shared" si="6"/>
        <v>0</v>
      </c>
      <c r="H8" s="833"/>
      <c r="I8" s="833">
        <f t="shared" ref="I8:K8" si="7">SUM(I9:I10)</f>
        <v>0</v>
      </c>
      <c r="J8" s="833">
        <f t="shared" si="7"/>
        <v>2</v>
      </c>
      <c r="K8" s="833">
        <f t="shared" si="7"/>
        <v>2</v>
      </c>
      <c r="L8" s="833"/>
      <c r="M8" s="834">
        <f t="shared" ref="M8:O8" si="8">SUM(M9:M10)</f>
        <v>0</v>
      </c>
      <c r="N8" s="834" t="str">
        <f t="shared" si="8"/>
        <v>#REF!</v>
      </c>
      <c r="O8" s="834">
        <f t="shared" si="8"/>
        <v>1400000</v>
      </c>
      <c r="P8" s="830"/>
      <c r="Q8" s="830"/>
      <c r="R8" s="835"/>
      <c r="S8" s="814"/>
      <c r="T8" s="814"/>
    </row>
    <row r="9">
      <c r="A9" s="821"/>
      <c r="B9" s="822"/>
      <c r="C9" s="822">
        <f t="shared" ref="C9:C10" si="9">ROW()-ROW(B$8)</f>
        <v>1</v>
      </c>
      <c r="D9" s="836"/>
      <c r="E9" s="824">
        <f>COUNTA(D9)</f>
        <v>0</v>
      </c>
      <c r="F9" s="825"/>
      <c r="G9" s="826"/>
      <c r="H9" s="824"/>
      <c r="I9" s="824">
        <v>0.0</v>
      </c>
      <c r="J9" s="824">
        <v>1.0</v>
      </c>
      <c r="K9" s="824">
        <v>1.0</v>
      </c>
      <c r="L9" s="825" t="s">
        <v>360</v>
      </c>
      <c r="M9" s="825">
        <v>0.0</v>
      </c>
      <c r="N9" s="826" t="str">
        <f t="shared" ref="N9:N10" si="10">J9*'30品項-價格'!$H$2</f>
        <v>#REF!</v>
      </c>
      <c r="O9" s="825">
        <v>700000.0</v>
      </c>
      <c r="P9" s="821"/>
      <c r="Q9" s="821"/>
      <c r="R9" s="837"/>
      <c r="S9" s="814"/>
      <c r="T9" s="814"/>
    </row>
    <row r="10">
      <c r="A10" s="821"/>
      <c r="B10" s="822"/>
      <c r="C10" s="822">
        <f t="shared" si="9"/>
        <v>2</v>
      </c>
      <c r="D10" s="836"/>
      <c r="E10" s="824">
        <v>0.0</v>
      </c>
      <c r="F10" s="825"/>
      <c r="G10" s="826"/>
      <c r="H10" s="824"/>
      <c r="I10" s="824">
        <v>0.0</v>
      </c>
      <c r="J10" s="824">
        <v>1.0</v>
      </c>
      <c r="K10" s="824">
        <v>1.0</v>
      </c>
      <c r="L10" s="825" t="s">
        <v>361</v>
      </c>
      <c r="M10" s="826"/>
      <c r="N10" s="826" t="str">
        <f t="shared" si="10"/>
        <v>#REF!</v>
      </c>
      <c r="O10" s="825">
        <v>700000.0</v>
      </c>
      <c r="P10" s="821"/>
      <c r="Q10" s="821"/>
      <c r="R10" s="827"/>
      <c r="S10" s="814"/>
      <c r="T10" s="814"/>
    </row>
    <row r="11">
      <c r="A11" s="838"/>
      <c r="B11" s="839">
        <v>3.0</v>
      </c>
      <c r="C11" s="839"/>
      <c r="D11" s="840" t="s">
        <v>362</v>
      </c>
      <c r="E11" s="841">
        <f>SUM(E12:E19)</f>
        <v>0</v>
      </c>
      <c r="F11" s="842">
        <f t="shared" ref="F11:G11" si="11">SUM(F12:F15)</f>
        <v>0</v>
      </c>
      <c r="G11" s="842">
        <f t="shared" si="11"/>
        <v>0</v>
      </c>
      <c r="H11" s="841"/>
      <c r="I11" s="841">
        <f>SUM(I12:I19)</f>
        <v>0</v>
      </c>
      <c r="J11" s="841">
        <f t="shared" ref="J11:K11" si="12">SUM(J12:J15)</f>
        <v>4</v>
      </c>
      <c r="K11" s="841">
        <f t="shared" si="12"/>
        <v>4</v>
      </c>
      <c r="L11" s="841"/>
      <c r="M11" s="842">
        <f t="shared" ref="M11:O11" si="13">SUM(M12:M15)</f>
        <v>0</v>
      </c>
      <c r="N11" s="842" t="str">
        <f t="shared" si="13"/>
        <v>#REF!</v>
      </c>
      <c r="O11" s="842">
        <f t="shared" si="13"/>
        <v>900000</v>
      </c>
      <c r="P11" s="838"/>
      <c r="Q11" s="838"/>
      <c r="R11" s="843"/>
      <c r="S11" s="814"/>
      <c r="T11" s="814"/>
    </row>
    <row r="12">
      <c r="A12" s="821"/>
      <c r="B12" s="821"/>
      <c r="C12" s="822">
        <f t="shared" ref="C12:C15" si="14">ROW()-ROW(B$11)</f>
        <v>1</v>
      </c>
      <c r="D12" s="836"/>
      <c r="E12" s="824">
        <f t="shared" ref="E12:E15" si="15">COUNTA(D12)</f>
        <v>0</v>
      </c>
      <c r="F12" s="825"/>
      <c r="G12" s="826"/>
      <c r="H12" s="824"/>
      <c r="I12" s="824">
        <v>0.0</v>
      </c>
      <c r="J12" s="824">
        <v>1.0</v>
      </c>
      <c r="K12" s="824">
        <v>1.0</v>
      </c>
      <c r="L12" s="825" t="s">
        <v>363</v>
      </c>
      <c r="M12" s="825"/>
      <c r="N12" s="826" t="str">
        <f t="shared" ref="N12:N15" si="16">J12*'30品項-價格'!$K$2</f>
        <v>#REF!</v>
      </c>
      <c r="O12" s="825">
        <v>300000.0</v>
      </c>
      <c r="P12" s="821"/>
      <c r="Q12" s="821"/>
      <c r="R12" s="837"/>
      <c r="S12" s="814"/>
      <c r="T12" s="814"/>
    </row>
    <row r="13">
      <c r="A13" s="821"/>
      <c r="B13" s="821"/>
      <c r="C13" s="822">
        <f t="shared" si="14"/>
        <v>2</v>
      </c>
      <c r="D13" s="836"/>
      <c r="E13" s="824">
        <f t="shared" si="15"/>
        <v>0</v>
      </c>
      <c r="F13" s="825"/>
      <c r="G13" s="826"/>
      <c r="H13" s="844"/>
      <c r="I13" s="824">
        <v>0.0</v>
      </c>
      <c r="J13" s="824">
        <v>1.0</v>
      </c>
      <c r="K13" s="824">
        <v>1.0</v>
      </c>
      <c r="L13" s="825" t="s">
        <v>172</v>
      </c>
      <c r="M13" s="825"/>
      <c r="N13" s="826" t="str">
        <f t="shared" si="16"/>
        <v>#REF!</v>
      </c>
      <c r="O13" s="825">
        <v>300000.0</v>
      </c>
      <c r="P13" s="821"/>
      <c r="Q13" s="821"/>
      <c r="R13" s="827"/>
      <c r="S13" s="814"/>
      <c r="T13" s="814"/>
    </row>
    <row r="14">
      <c r="A14" s="821"/>
      <c r="B14" s="821"/>
      <c r="C14" s="822">
        <f t="shared" si="14"/>
        <v>3</v>
      </c>
      <c r="D14" s="836"/>
      <c r="E14" s="824">
        <f t="shared" si="15"/>
        <v>0</v>
      </c>
      <c r="F14" s="825"/>
      <c r="G14" s="845"/>
      <c r="H14" s="824"/>
      <c r="I14" s="824">
        <v>0.0</v>
      </c>
      <c r="J14" s="824">
        <v>1.0</v>
      </c>
      <c r="K14" s="824">
        <v>1.0</v>
      </c>
      <c r="L14" s="829"/>
      <c r="M14" s="825"/>
      <c r="N14" s="826" t="str">
        <f t="shared" si="16"/>
        <v>#REF!</v>
      </c>
      <c r="O14" s="825">
        <v>300000.0</v>
      </c>
      <c r="P14" s="821"/>
      <c r="Q14" s="821"/>
      <c r="R14" s="827"/>
      <c r="S14" s="814"/>
      <c r="T14" s="814"/>
    </row>
    <row r="15">
      <c r="A15" s="821"/>
      <c r="B15" s="821"/>
      <c r="C15" s="822">
        <f t="shared" si="14"/>
        <v>4</v>
      </c>
      <c r="D15" s="836"/>
      <c r="E15" s="824">
        <f t="shared" si="15"/>
        <v>0</v>
      </c>
      <c r="F15" s="825"/>
      <c r="G15" s="845"/>
      <c r="H15" s="824"/>
      <c r="I15" s="824">
        <v>0.0</v>
      </c>
      <c r="J15" s="824">
        <v>1.0</v>
      </c>
      <c r="K15" s="824">
        <v>1.0</v>
      </c>
      <c r="L15" s="829"/>
      <c r="M15" s="825"/>
      <c r="N15" s="826" t="str">
        <f t="shared" si="16"/>
        <v>#REF!</v>
      </c>
      <c r="O15" s="826"/>
      <c r="P15" s="821"/>
      <c r="Q15" s="821"/>
      <c r="R15" s="827"/>
      <c r="S15" s="814"/>
      <c r="T15" s="814"/>
    </row>
    <row r="16">
      <c r="A16" s="821"/>
      <c r="B16" s="821"/>
      <c r="C16" s="822">
        <v>5.0</v>
      </c>
      <c r="D16" s="836"/>
      <c r="E16" s="824">
        <v>0.0</v>
      </c>
      <c r="F16" s="825"/>
      <c r="G16" s="845"/>
      <c r="H16" s="824"/>
      <c r="I16" s="824">
        <v>0.0</v>
      </c>
      <c r="J16" s="824"/>
      <c r="K16" s="824"/>
      <c r="L16" s="829"/>
      <c r="M16" s="825"/>
      <c r="N16" s="826"/>
      <c r="O16" s="826"/>
      <c r="P16" s="821"/>
      <c r="Q16" s="821"/>
      <c r="R16" s="827"/>
      <c r="S16" s="814"/>
      <c r="T16" s="814"/>
    </row>
    <row r="17">
      <c r="A17" s="821"/>
      <c r="B17" s="821"/>
      <c r="C17" s="822">
        <v>6.0</v>
      </c>
      <c r="D17" s="836"/>
      <c r="E17" s="824">
        <v>0.0</v>
      </c>
      <c r="F17" s="825"/>
      <c r="G17" s="845"/>
      <c r="H17" s="824"/>
      <c r="I17" s="824">
        <v>0.0</v>
      </c>
      <c r="J17" s="824"/>
      <c r="K17" s="824"/>
      <c r="L17" s="829"/>
      <c r="M17" s="825"/>
      <c r="N17" s="826"/>
      <c r="O17" s="826"/>
      <c r="P17" s="821"/>
      <c r="Q17" s="821"/>
      <c r="R17" s="827"/>
      <c r="S17" s="814"/>
      <c r="T17" s="814"/>
    </row>
    <row r="18">
      <c r="A18" s="821"/>
      <c r="B18" s="821"/>
      <c r="C18" s="822">
        <v>7.0</v>
      </c>
      <c r="D18" s="836"/>
      <c r="E18" s="824">
        <v>0.0</v>
      </c>
      <c r="F18" s="825"/>
      <c r="G18" s="845"/>
      <c r="H18" s="824"/>
      <c r="I18" s="824">
        <v>0.0</v>
      </c>
      <c r="J18" s="824"/>
      <c r="K18" s="824"/>
      <c r="L18" s="829"/>
      <c r="M18" s="825"/>
      <c r="N18" s="826"/>
      <c r="O18" s="826"/>
      <c r="P18" s="821"/>
      <c r="Q18" s="821"/>
      <c r="R18" s="827"/>
      <c r="S18" s="814"/>
      <c r="T18" s="814"/>
    </row>
    <row r="19">
      <c r="A19" s="821"/>
      <c r="B19" s="821"/>
      <c r="C19" s="822">
        <v>8.0</v>
      </c>
      <c r="D19" s="836"/>
      <c r="E19" s="824">
        <v>0.0</v>
      </c>
      <c r="F19" s="825"/>
      <c r="G19" s="845"/>
      <c r="H19" s="824"/>
      <c r="I19" s="824">
        <v>0.0</v>
      </c>
      <c r="J19" s="824"/>
      <c r="K19" s="824"/>
      <c r="L19" s="829"/>
      <c r="M19" s="825"/>
      <c r="N19" s="826"/>
      <c r="O19" s="826"/>
      <c r="P19" s="821"/>
      <c r="Q19" s="821"/>
      <c r="R19" s="827"/>
      <c r="S19" s="814"/>
      <c r="T19" s="814"/>
    </row>
    <row r="20">
      <c r="A20" s="846"/>
      <c r="B20" s="847">
        <v>4.0</v>
      </c>
      <c r="C20" s="847"/>
      <c r="D20" s="848" t="s">
        <v>73</v>
      </c>
      <c r="E20" s="849">
        <f t="shared" ref="E20:G20" si="17">SUM(E21:E35)</f>
        <v>0</v>
      </c>
      <c r="F20" s="850">
        <f t="shared" si="17"/>
        <v>0</v>
      </c>
      <c r="G20" s="850">
        <f t="shared" si="17"/>
        <v>0</v>
      </c>
      <c r="H20" s="849"/>
      <c r="I20" s="849">
        <f>SUM(I21:I35)</f>
        <v>0</v>
      </c>
      <c r="J20" s="849">
        <f t="shared" ref="J20:K20" si="18">SUM(J21:J30)</f>
        <v>0</v>
      </c>
      <c r="K20" s="849">
        <f t="shared" si="18"/>
        <v>0</v>
      </c>
      <c r="L20" s="849"/>
      <c r="M20" s="850">
        <f>SUM(M21:M35)</f>
        <v>0</v>
      </c>
      <c r="N20" s="850">
        <f t="shared" ref="N20:O20" si="19">SUM(N21:N30)</f>
        <v>0</v>
      </c>
      <c r="O20" s="850">
        <f t="shared" si="19"/>
        <v>0</v>
      </c>
      <c r="P20" s="846"/>
      <c r="Q20" s="846"/>
      <c r="R20" s="851"/>
      <c r="S20" s="814"/>
      <c r="T20" s="814"/>
    </row>
    <row r="21">
      <c r="A21" s="821"/>
      <c r="B21" s="821"/>
      <c r="C21" s="822">
        <f t="shared" ref="C21:C35" si="20">ROW()-ROW(B$20)</f>
        <v>1</v>
      </c>
      <c r="D21" s="852"/>
      <c r="E21" s="824">
        <f t="shared" ref="E21:E29" si="21">COUNTA(D21)</f>
        <v>0</v>
      </c>
      <c r="F21" s="825"/>
      <c r="G21" s="825"/>
      <c r="H21" s="824"/>
      <c r="I21" s="824">
        <v>0.0</v>
      </c>
      <c r="J21" s="824"/>
      <c r="K21" s="824"/>
      <c r="L21" s="825"/>
      <c r="M21" s="826"/>
      <c r="N21" s="826"/>
      <c r="O21" s="825"/>
      <c r="P21" s="821"/>
      <c r="Q21" s="821"/>
      <c r="R21" s="827"/>
      <c r="S21" s="814"/>
      <c r="T21" s="814"/>
    </row>
    <row r="22">
      <c r="A22" s="821"/>
      <c r="B22" s="821"/>
      <c r="C22" s="822">
        <f t="shared" si="20"/>
        <v>2</v>
      </c>
      <c r="D22" s="852"/>
      <c r="E22" s="824">
        <f t="shared" si="21"/>
        <v>0</v>
      </c>
      <c r="F22" s="825"/>
      <c r="G22" s="826"/>
      <c r="H22" s="824"/>
      <c r="I22" s="824">
        <v>0.0</v>
      </c>
      <c r="J22" s="824"/>
      <c r="K22" s="824"/>
      <c r="L22" s="825"/>
      <c r="M22" s="826"/>
      <c r="N22" s="826"/>
      <c r="O22" s="825"/>
      <c r="P22" s="821"/>
      <c r="Q22" s="821"/>
      <c r="R22" s="827"/>
      <c r="S22" s="814"/>
      <c r="T22" s="814"/>
    </row>
    <row r="23">
      <c r="A23" s="821"/>
      <c r="B23" s="821"/>
      <c r="C23" s="822">
        <f t="shared" si="20"/>
        <v>3</v>
      </c>
      <c r="D23" s="852"/>
      <c r="E23" s="824">
        <f t="shared" si="21"/>
        <v>0</v>
      </c>
      <c r="F23" s="825"/>
      <c r="G23" s="826"/>
      <c r="H23" s="824"/>
      <c r="I23" s="824">
        <v>0.0</v>
      </c>
      <c r="J23" s="824"/>
      <c r="K23" s="824"/>
      <c r="L23" s="825"/>
      <c r="M23" s="826"/>
      <c r="N23" s="826"/>
      <c r="O23" s="825"/>
      <c r="P23" s="821"/>
      <c r="Q23" s="821"/>
      <c r="R23" s="827"/>
      <c r="S23" s="853"/>
      <c r="T23" s="814"/>
    </row>
    <row r="24">
      <c r="A24" s="821"/>
      <c r="B24" s="821"/>
      <c r="C24" s="822">
        <f t="shared" si="20"/>
        <v>4</v>
      </c>
      <c r="D24" s="852"/>
      <c r="E24" s="824">
        <f t="shared" si="21"/>
        <v>0</v>
      </c>
      <c r="F24" s="825"/>
      <c r="G24" s="826"/>
      <c r="H24" s="824"/>
      <c r="I24" s="824">
        <v>0.0</v>
      </c>
      <c r="J24" s="824"/>
      <c r="K24" s="824"/>
      <c r="L24" s="825"/>
      <c r="M24" s="826"/>
      <c r="N24" s="826"/>
      <c r="O24" s="825"/>
      <c r="P24" s="821"/>
      <c r="Q24" s="821"/>
      <c r="R24" s="827"/>
      <c r="S24" s="854"/>
      <c r="T24" s="853"/>
    </row>
    <row r="25">
      <c r="A25" s="821"/>
      <c r="B25" s="821"/>
      <c r="C25" s="822">
        <f t="shared" si="20"/>
        <v>5</v>
      </c>
      <c r="D25" s="852"/>
      <c r="E25" s="824">
        <f t="shared" si="21"/>
        <v>0</v>
      </c>
      <c r="F25" s="825"/>
      <c r="G25" s="826"/>
      <c r="H25" s="824"/>
      <c r="I25" s="824">
        <v>0.0</v>
      </c>
      <c r="J25" s="824"/>
      <c r="K25" s="824"/>
      <c r="L25" s="855"/>
      <c r="M25" s="826"/>
      <c r="N25" s="826"/>
      <c r="O25" s="825"/>
      <c r="P25" s="821"/>
      <c r="Q25" s="821"/>
      <c r="R25" s="827"/>
      <c r="S25" s="853"/>
      <c r="T25" s="853"/>
    </row>
    <row r="26">
      <c r="A26" s="821"/>
      <c r="B26" s="821"/>
      <c r="C26" s="822">
        <f t="shared" si="20"/>
        <v>6</v>
      </c>
      <c r="D26" s="852"/>
      <c r="E26" s="824">
        <f t="shared" si="21"/>
        <v>0</v>
      </c>
      <c r="F26" s="825"/>
      <c r="G26" s="826"/>
      <c r="H26" s="824"/>
      <c r="I26" s="824">
        <v>0.0</v>
      </c>
      <c r="J26" s="824"/>
      <c r="K26" s="824"/>
      <c r="L26" s="855"/>
      <c r="M26" s="826"/>
      <c r="N26" s="826"/>
      <c r="O26" s="825"/>
      <c r="P26" s="821"/>
      <c r="Q26" s="821"/>
      <c r="R26" s="837"/>
      <c r="S26" s="814"/>
      <c r="T26" s="853"/>
    </row>
    <row r="27">
      <c r="A27" s="821"/>
      <c r="B27" s="821"/>
      <c r="C27" s="822">
        <f t="shared" si="20"/>
        <v>7</v>
      </c>
      <c r="D27" s="856"/>
      <c r="E27" s="824">
        <f t="shared" si="21"/>
        <v>0</v>
      </c>
      <c r="F27" s="825"/>
      <c r="G27" s="826"/>
      <c r="H27" s="857"/>
      <c r="I27" s="824">
        <v>0.0</v>
      </c>
      <c r="J27" s="824"/>
      <c r="K27" s="824"/>
      <c r="L27" s="855"/>
      <c r="M27" s="826"/>
      <c r="N27" s="826"/>
      <c r="O27" s="825"/>
      <c r="P27" s="821"/>
      <c r="Q27" s="821"/>
      <c r="R27" s="837"/>
      <c r="S27" s="814"/>
      <c r="T27" s="853"/>
    </row>
    <row r="28">
      <c r="A28" s="821"/>
      <c r="B28" s="821"/>
      <c r="C28" s="822">
        <f t="shared" si="20"/>
        <v>8</v>
      </c>
      <c r="D28" s="856"/>
      <c r="E28" s="824">
        <f t="shared" si="21"/>
        <v>0</v>
      </c>
      <c r="F28" s="825"/>
      <c r="G28" s="826"/>
      <c r="H28" s="824"/>
      <c r="I28" s="824">
        <v>0.0</v>
      </c>
      <c r="J28" s="824"/>
      <c r="K28" s="824"/>
      <c r="L28" s="855"/>
      <c r="M28" s="826"/>
      <c r="N28" s="826"/>
      <c r="O28" s="825"/>
      <c r="P28" s="821"/>
      <c r="Q28" s="821"/>
      <c r="R28" s="837"/>
      <c r="S28" s="814"/>
      <c r="T28" s="814"/>
    </row>
    <row r="29">
      <c r="A29" s="821"/>
      <c r="B29" s="821"/>
      <c r="C29" s="822">
        <f t="shared" si="20"/>
        <v>9</v>
      </c>
      <c r="D29" s="852"/>
      <c r="E29" s="824">
        <f t="shared" si="21"/>
        <v>0</v>
      </c>
      <c r="F29" s="825"/>
      <c r="G29" s="826"/>
      <c r="H29" s="857"/>
      <c r="I29" s="824">
        <v>0.0</v>
      </c>
      <c r="J29" s="824"/>
      <c r="K29" s="824"/>
      <c r="L29" s="855"/>
      <c r="M29" s="826"/>
      <c r="N29" s="826"/>
      <c r="O29" s="825"/>
      <c r="P29" s="821"/>
      <c r="Q29" s="821"/>
      <c r="R29" s="837"/>
      <c r="S29" s="814"/>
      <c r="T29" s="814"/>
    </row>
    <row r="30">
      <c r="A30" s="821"/>
      <c r="B30" s="821"/>
      <c r="C30" s="822">
        <f t="shared" si="20"/>
        <v>10</v>
      </c>
      <c r="D30" s="852"/>
      <c r="E30" s="824">
        <v>0.0</v>
      </c>
      <c r="F30" s="825"/>
      <c r="G30" s="825"/>
      <c r="H30" s="857"/>
      <c r="I30" s="824">
        <v>0.0</v>
      </c>
      <c r="J30" s="824"/>
      <c r="K30" s="824"/>
      <c r="L30" s="858"/>
      <c r="M30" s="826"/>
      <c r="N30" s="826"/>
      <c r="O30" s="825"/>
      <c r="P30" s="821"/>
      <c r="Q30" s="821"/>
      <c r="R30" s="837"/>
      <c r="S30" s="814"/>
      <c r="T30" s="814"/>
    </row>
    <row r="31">
      <c r="A31" s="821"/>
      <c r="B31" s="821"/>
      <c r="C31" s="822">
        <f t="shared" si="20"/>
        <v>11</v>
      </c>
      <c r="D31" s="852"/>
      <c r="E31" s="824">
        <f t="shared" ref="E31:E33" si="22">COUNTA(D31)</f>
        <v>0</v>
      </c>
      <c r="F31" s="825"/>
      <c r="G31" s="826"/>
      <c r="H31" s="824"/>
      <c r="I31" s="824">
        <v>0.0</v>
      </c>
      <c r="J31" s="824"/>
      <c r="K31" s="824"/>
      <c r="L31" s="859"/>
      <c r="M31" s="826"/>
      <c r="N31" s="826"/>
      <c r="O31" s="825"/>
      <c r="P31" s="821"/>
      <c r="Q31" s="821"/>
      <c r="R31" s="827"/>
      <c r="S31" s="814"/>
      <c r="T31" s="814"/>
    </row>
    <row r="32">
      <c r="A32" s="821"/>
      <c r="B32" s="821"/>
      <c r="C32" s="822">
        <f t="shared" si="20"/>
        <v>12</v>
      </c>
      <c r="D32" s="852"/>
      <c r="E32" s="824">
        <f t="shared" si="22"/>
        <v>0</v>
      </c>
      <c r="F32" s="825"/>
      <c r="G32" s="826"/>
      <c r="H32" s="824"/>
      <c r="I32" s="824">
        <v>0.0</v>
      </c>
      <c r="J32" s="824"/>
      <c r="K32" s="824"/>
      <c r="L32" s="859"/>
      <c r="M32" s="826"/>
      <c r="N32" s="826"/>
      <c r="O32" s="825"/>
      <c r="P32" s="821"/>
      <c r="Q32" s="821"/>
      <c r="R32" s="827"/>
      <c r="S32" s="814"/>
      <c r="T32" s="814"/>
    </row>
    <row r="33">
      <c r="A33" s="821"/>
      <c r="B33" s="821"/>
      <c r="C33" s="822">
        <f t="shared" si="20"/>
        <v>13</v>
      </c>
      <c r="D33" s="852"/>
      <c r="E33" s="824">
        <f t="shared" si="22"/>
        <v>0</v>
      </c>
      <c r="F33" s="825"/>
      <c r="G33" s="826"/>
      <c r="H33" s="824"/>
      <c r="I33" s="824">
        <v>0.0</v>
      </c>
      <c r="J33" s="824"/>
      <c r="K33" s="824"/>
      <c r="L33" s="859"/>
      <c r="M33" s="826"/>
      <c r="N33" s="826"/>
      <c r="O33" s="825"/>
      <c r="P33" s="821"/>
      <c r="Q33" s="821"/>
      <c r="R33" s="827"/>
      <c r="S33" s="814"/>
      <c r="T33" s="814"/>
    </row>
    <row r="34">
      <c r="A34" s="821"/>
      <c r="B34" s="821"/>
      <c r="C34" s="822">
        <f t="shared" si="20"/>
        <v>14</v>
      </c>
      <c r="D34" s="852"/>
      <c r="E34" s="824">
        <v>0.0</v>
      </c>
      <c r="F34" s="825"/>
      <c r="G34" s="826"/>
      <c r="H34" s="824"/>
      <c r="I34" s="824">
        <v>0.0</v>
      </c>
      <c r="J34" s="824"/>
      <c r="K34" s="824"/>
      <c r="L34" s="859"/>
      <c r="M34" s="826"/>
      <c r="N34" s="826"/>
      <c r="O34" s="825"/>
      <c r="P34" s="821"/>
      <c r="Q34" s="821"/>
      <c r="R34" s="837"/>
      <c r="S34" s="814"/>
      <c r="T34" s="814"/>
    </row>
    <row r="35">
      <c r="A35" s="821"/>
      <c r="B35" s="821"/>
      <c r="C35" s="822">
        <f t="shared" si="20"/>
        <v>15</v>
      </c>
      <c r="D35" s="852"/>
      <c r="E35" s="824">
        <v>0.0</v>
      </c>
      <c r="F35" s="825"/>
      <c r="G35" s="826"/>
      <c r="H35" s="824"/>
      <c r="I35" s="824">
        <v>0.0</v>
      </c>
      <c r="J35" s="824"/>
      <c r="K35" s="824"/>
      <c r="L35" s="859"/>
      <c r="M35" s="826"/>
      <c r="N35" s="826"/>
      <c r="O35" s="825"/>
      <c r="P35" s="821"/>
      <c r="Q35" s="821"/>
      <c r="R35" s="837"/>
      <c r="S35" s="814"/>
      <c r="T35" s="814"/>
    </row>
    <row r="36">
      <c r="A36" s="860">
        <v>2.0</v>
      </c>
      <c r="B36" s="861"/>
      <c r="C36" s="861"/>
      <c r="D36" s="862" t="s">
        <v>364</v>
      </c>
      <c r="E36" s="863">
        <f t="shared" ref="E36:G36" si="23">E37+E40</f>
        <v>2</v>
      </c>
      <c r="F36" s="864">
        <f t="shared" si="23"/>
        <v>0</v>
      </c>
      <c r="G36" s="864">
        <f t="shared" si="23"/>
        <v>0</v>
      </c>
      <c r="H36" s="863"/>
      <c r="I36" s="863"/>
      <c r="J36" s="863"/>
      <c r="K36" s="863"/>
      <c r="L36" s="863"/>
      <c r="M36" s="864"/>
      <c r="N36" s="864"/>
      <c r="O36" s="864"/>
      <c r="P36" s="865"/>
      <c r="Q36" s="865"/>
      <c r="R36" s="866"/>
      <c r="S36" s="814"/>
      <c r="T36" s="814"/>
    </row>
    <row r="37">
      <c r="A37" s="867"/>
      <c r="B37" s="868">
        <v>1.0</v>
      </c>
      <c r="C37" s="868"/>
      <c r="D37" s="869" t="s">
        <v>365</v>
      </c>
      <c r="E37" s="870">
        <f t="shared" ref="E37:G37" si="24">SUM(E38:E39)</f>
        <v>2</v>
      </c>
      <c r="F37" s="871">
        <f t="shared" si="24"/>
        <v>0</v>
      </c>
      <c r="G37" s="871">
        <f t="shared" si="24"/>
        <v>0</v>
      </c>
      <c r="H37" s="870"/>
      <c r="I37" s="870">
        <f>SUM(I38:I39)</f>
        <v>2</v>
      </c>
      <c r="J37" s="870"/>
      <c r="K37" s="870"/>
      <c r="L37" s="870"/>
      <c r="M37" s="871"/>
      <c r="N37" s="871"/>
      <c r="O37" s="871"/>
      <c r="P37" s="867"/>
      <c r="Q37" s="867"/>
      <c r="R37" s="872"/>
      <c r="S37" s="814"/>
      <c r="T37" s="814"/>
    </row>
    <row r="38">
      <c r="A38" s="821"/>
      <c r="B38" s="821"/>
      <c r="C38" s="822">
        <f t="shared" ref="C38:C39" si="25">ROW()-ROW(B$37)</f>
        <v>1</v>
      </c>
      <c r="D38" s="823"/>
      <c r="E38" s="829">
        <f t="shared" ref="E38:E39" si="26">COUNTA(#REF!)</f>
        <v>1</v>
      </c>
      <c r="F38" s="826"/>
      <c r="G38" s="826"/>
      <c r="H38" s="824"/>
      <c r="I38" s="824">
        <v>1.0</v>
      </c>
      <c r="J38" s="829"/>
      <c r="K38" s="829"/>
      <c r="L38" s="829"/>
      <c r="M38" s="826"/>
      <c r="N38" s="826"/>
      <c r="O38" s="826"/>
      <c r="P38" s="821"/>
      <c r="Q38" s="821"/>
      <c r="R38" s="873"/>
      <c r="S38" s="814"/>
      <c r="T38" s="814"/>
    </row>
    <row r="39">
      <c r="A39" s="821"/>
      <c r="B39" s="821"/>
      <c r="C39" s="822">
        <f t="shared" si="25"/>
        <v>2</v>
      </c>
      <c r="D39" s="823"/>
      <c r="E39" s="829">
        <f t="shared" si="26"/>
        <v>1</v>
      </c>
      <c r="F39" s="826"/>
      <c r="G39" s="826"/>
      <c r="H39" s="824"/>
      <c r="I39" s="824">
        <v>1.0</v>
      </c>
      <c r="J39" s="829"/>
      <c r="K39" s="829"/>
      <c r="L39" s="829"/>
      <c r="M39" s="826"/>
      <c r="N39" s="826"/>
      <c r="O39" s="826"/>
      <c r="P39" s="821"/>
      <c r="Q39" s="821"/>
      <c r="R39" s="873"/>
      <c r="S39" s="814"/>
      <c r="T39" s="814"/>
    </row>
    <row r="40">
      <c r="A40" s="874"/>
      <c r="B40" s="875">
        <v>2.0</v>
      </c>
      <c r="C40" s="875"/>
      <c r="D40" s="876" t="s">
        <v>366</v>
      </c>
      <c r="E40" s="877">
        <f>SUM(E41:E68)</f>
        <v>0</v>
      </c>
      <c r="F40" s="878">
        <f t="shared" ref="F40:G40" si="27">SUM(F41:F62)</f>
        <v>0</v>
      </c>
      <c r="G40" s="878">
        <f t="shared" si="27"/>
        <v>0</v>
      </c>
      <c r="H40" s="877"/>
      <c r="I40" s="877">
        <f>SUM(I41:I68)</f>
        <v>0</v>
      </c>
      <c r="J40" s="877"/>
      <c r="K40" s="877"/>
      <c r="L40" s="877"/>
      <c r="M40" s="878"/>
      <c r="N40" s="878"/>
      <c r="O40" s="878"/>
      <c r="P40" s="874"/>
      <c r="Q40" s="874"/>
      <c r="R40" s="879"/>
      <c r="S40" s="814"/>
      <c r="T40" s="814"/>
    </row>
    <row r="41">
      <c r="A41" s="821"/>
      <c r="B41" s="821"/>
      <c r="C41" s="822">
        <f t="shared" ref="C41:C62" si="28">ROW()-ROW(B$40)</f>
        <v>1</v>
      </c>
      <c r="D41" s="836"/>
      <c r="E41" s="824">
        <v>0.0</v>
      </c>
      <c r="F41" s="825"/>
      <c r="G41" s="826"/>
      <c r="H41" s="824"/>
      <c r="I41" s="824">
        <v>0.0</v>
      </c>
      <c r="J41" s="829"/>
      <c r="K41" s="829"/>
      <c r="L41" s="829"/>
      <c r="M41" s="826"/>
      <c r="N41" s="826"/>
      <c r="O41" s="826"/>
      <c r="P41" s="824"/>
      <c r="Q41" s="824"/>
      <c r="R41" s="873"/>
      <c r="S41" s="814"/>
      <c r="T41" s="814"/>
    </row>
    <row r="42">
      <c r="A42" s="821"/>
      <c r="B42" s="821"/>
      <c r="C42" s="822">
        <f t="shared" si="28"/>
        <v>2</v>
      </c>
      <c r="D42" s="836"/>
      <c r="E42" s="824">
        <v>0.0</v>
      </c>
      <c r="F42" s="825"/>
      <c r="G42" s="826"/>
      <c r="H42" s="824"/>
      <c r="I42" s="824">
        <v>0.0</v>
      </c>
      <c r="J42" s="829"/>
      <c r="K42" s="829"/>
      <c r="L42" s="829"/>
      <c r="M42" s="826"/>
      <c r="N42" s="826"/>
      <c r="O42" s="826"/>
      <c r="P42" s="824"/>
      <c r="Q42" s="824"/>
      <c r="R42" s="873"/>
      <c r="S42" s="814"/>
      <c r="T42" s="814"/>
    </row>
    <row r="43">
      <c r="A43" s="821"/>
      <c r="B43" s="821"/>
      <c r="C43" s="822">
        <f t="shared" si="28"/>
        <v>3</v>
      </c>
      <c r="D43" s="836"/>
      <c r="E43" s="824">
        <v>0.0</v>
      </c>
      <c r="F43" s="825"/>
      <c r="G43" s="826"/>
      <c r="H43" s="824"/>
      <c r="I43" s="824">
        <v>0.0</v>
      </c>
      <c r="J43" s="829"/>
      <c r="K43" s="829"/>
      <c r="L43" s="829"/>
      <c r="M43" s="826"/>
      <c r="N43" s="826"/>
      <c r="O43" s="826"/>
      <c r="P43" s="824"/>
      <c r="Q43" s="824"/>
      <c r="R43" s="873"/>
      <c r="S43" s="814"/>
      <c r="T43" s="814"/>
    </row>
    <row r="44">
      <c r="A44" s="821"/>
      <c r="B44" s="821"/>
      <c r="C44" s="822">
        <f t="shared" si="28"/>
        <v>4</v>
      </c>
      <c r="D44" s="880"/>
      <c r="E44" s="824">
        <v>0.0</v>
      </c>
      <c r="F44" s="825"/>
      <c r="G44" s="826"/>
      <c r="H44" s="824"/>
      <c r="I44" s="824">
        <v>0.0</v>
      </c>
      <c r="J44" s="829"/>
      <c r="K44" s="829"/>
      <c r="L44" s="829"/>
      <c r="M44" s="826"/>
      <c r="N44" s="826"/>
      <c r="O44" s="826"/>
      <c r="P44" s="824"/>
      <c r="Q44" s="824"/>
      <c r="R44" s="873"/>
      <c r="S44" s="814"/>
      <c r="T44" s="814"/>
    </row>
    <row r="45">
      <c r="A45" s="821"/>
      <c r="B45" s="821"/>
      <c r="C45" s="822">
        <f t="shared" si="28"/>
        <v>5</v>
      </c>
      <c r="D45" s="836"/>
      <c r="E45" s="824">
        <v>0.0</v>
      </c>
      <c r="F45" s="825"/>
      <c r="G45" s="826"/>
      <c r="H45" s="824"/>
      <c r="I45" s="824">
        <v>0.0</v>
      </c>
      <c r="J45" s="829"/>
      <c r="K45" s="829"/>
      <c r="L45" s="829"/>
      <c r="M45" s="826"/>
      <c r="N45" s="826"/>
      <c r="O45" s="826"/>
      <c r="P45" s="824"/>
      <c r="Q45" s="824"/>
      <c r="R45" s="873"/>
      <c r="S45" s="814"/>
      <c r="T45" s="814"/>
    </row>
    <row r="46">
      <c r="A46" s="821"/>
      <c r="B46" s="821"/>
      <c r="C46" s="822">
        <f t="shared" si="28"/>
        <v>6</v>
      </c>
      <c r="D46" s="836"/>
      <c r="E46" s="824">
        <v>0.0</v>
      </c>
      <c r="F46" s="825"/>
      <c r="G46" s="826"/>
      <c r="H46" s="824"/>
      <c r="I46" s="824">
        <v>0.0</v>
      </c>
      <c r="J46" s="829"/>
      <c r="K46" s="829"/>
      <c r="L46" s="829"/>
      <c r="M46" s="826"/>
      <c r="N46" s="826"/>
      <c r="O46" s="826"/>
      <c r="P46" s="824"/>
      <c r="Q46" s="824"/>
      <c r="R46" s="873"/>
      <c r="S46" s="814"/>
      <c r="T46" s="814"/>
    </row>
    <row r="47">
      <c r="A47" s="821"/>
      <c r="B47" s="821"/>
      <c r="C47" s="822">
        <f t="shared" si="28"/>
        <v>7</v>
      </c>
      <c r="D47" s="881"/>
      <c r="E47" s="824">
        <v>0.0</v>
      </c>
      <c r="F47" s="825"/>
      <c r="G47" s="826"/>
      <c r="H47" s="824"/>
      <c r="I47" s="824">
        <v>0.0</v>
      </c>
      <c r="J47" s="829"/>
      <c r="K47" s="829"/>
      <c r="L47" s="829"/>
      <c r="M47" s="826"/>
      <c r="N47" s="826"/>
      <c r="O47" s="826"/>
      <c r="P47" s="824"/>
      <c r="Q47" s="824"/>
      <c r="R47" s="873"/>
      <c r="S47" s="814"/>
      <c r="T47" s="814"/>
    </row>
    <row r="48">
      <c r="A48" s="821"/>
      <c r="B48" s="821"/>
      <c r="C48" s="822">
        <f t="shared" si="28"/>
        <v>8</v>
      </c>
      <c r="D48" s="836"/>
      <c r="E48" s="824">
        <v>0.0</v>
      </c>
      <c r="F48" s="825"/>
      <c r="G48" s="826"/>
      <c r="H48" s="824"/>
      <c r="I48" s="824">
        <v>0.0</v>
      </c>
      <c r="J48" s="829"/>
      <c r="K48" s="829"/>
      <c r="L48" s="829"/>
      <c r="M48" s="826"/>
      <c r="N48" s="826"/>
      <c r="O48" s="826"/>
      <c r="P48" s="824"/>
      <c r="Q48" s="824"/>
      <c r="R48" s="873"/>
      <c r="S48" s="814"/>
      <c r="T48" s="814"/>
    </row>
    <row r="49">
      <c r="A49" s="821"/>
      <c r="B49" s="821"/>
      <c r="C49" s="822">
        <f t="shared" si="28"/>
        <v>9</v>
      </c>
      <c r="D49" s="882"/>
      <c r="E49" s="824">
        <v>0.0</v>
      </c>
      <c r="F49" s="825"/>
      <c r="G49" s="826"/>
      <c r="H49" s="824"/>
      <c r="I49" s="824">
        <v>0.0</v>
      </c>
      <c r="J49" s="829"/>
      <c r="K49" s="829"/>
      <c r="L49" s="829"/>
      <c r="M49" s="826"/>
      <c r="N49" s="826"/>
      <c r="O49" s="826"/>
      <c r="P49" s="824"/>
      <c r="Q49" s="824"/>
      <c r="R49" s="873"/>
      <c r="S49" s="814"/>
      <c r="T49" s="814"/>
    </row>
    <row r="50">
      <c r="A50" s="821"/>
      <c r="B50" s="821"/>
      <c r="C50" s="822">
        <f t="shared" si="28"/>
        <v>10</v>
      </c>
      <c r="D50" s="882"/>
      <c r="E50" s="824">
        <v>0.0</v>
      </c>
      <c r="F50" s="825"/>
      <c r="G50" s="826"/>
      <c r="H50" s="824"/>
      <c r="I50" s="824">
        <v>0.0</v>
      </c>
      <c r="J50" s="829"/>
      <c r="K50" s="829"/>
      <c r="L50" s="829"/>
      <c r="M50" s="826"/>
      <c r="N50" s="826"/>
      <c r="O50" s="826"/>
      <c r="P50" s="824"/>
      <c r="Q50" s="824"/>
      <c r="R50" s="873"/>
      <c r="S50" s="814"/>
      <c r="T50" s="814"/>
    </row>
    <row r="51">
      <c r="A51" s="821"/>
      <c r="B51" s="821"/>
      <c r="C51" s="822">
        <f t="shared" si="28"/>
        <v>11</v>
      </c>
      <c r="D51" s="882"/>
      <c r="E51" s="824">
        <v>0.0</v>
      </c>
      <c r="F51" s="825"/>
      <c r="G51" s="826"/>
      <c r="H51" s="824"/>
      <c r="I51" s="824">
        <v>0.0</v>
      </c>
      <c r="J51" s="829"/>
      <c r="K51" s="829"/>
      <c r="L51" s="829"/>
      <c r="M51" s="826"/>
      <c r="N51" s="826"/>
      <c r="O51" s="826"/>
      <c r="P51" s="824"/>
      <c r="Q51" s="824"/>
      <c r="R51" s="873"/>
      <c r="S51" s="814"/>
      <c r="T51" s="814"/>
    </row>
    <row r="52">
      <c r="A52" s="821"/>
      <c r="B52" s="821"/>
      <c r="C52" s="822">
        <f t="shared" si="28"/>
        <v>12</v>
      </c>
      <c r="D52" s="882"/>
      <c r="E52" s="824">
        <v>0.0</v>
      </c>
      <c r="F52" s="825"/>
      <c r="G52" s="826"/>
      <c r="H52" s="824"/>
      <c r="I52" s="824">
        <v>0.0</v>
      </c>
      <c r="J52" s="829"/>
      <c r="K52" s="829"/>
      <c r="L52" s="829"/>
      <c r="M52" s="826"/>
      <c r="N52" s="826"/>
      <c r="O52" s="826"/>
      <c r="P52" s="824"/>
      <c r="Q52" s="824"/>
      <c r="R52" s="873"/>
      <c r="S52" s="814"/>
      <c r="T52" s="814"/>
    </row>
    <row r="53">
      <c r="A53" s="821"/>
      <c r="B53" s="821"/>
      <c r="C53" s="822">
        <f t="shared" si="28"/>
        <v>13</v>
      </c>
      <c r="D53" s="882"/>
      <c r="E53" s="824">
        <v>0.0</v>
      </c>
      <c r="F53" s="825"/>
      <c r="G53" s="826"/>
      <c r="H53" s="824"/>
      <c r="I53" s="824">
        <v>0.0</v>
      </c>
      <c r="J53" s="829"/>
      <c r="K53" s="829"/>
      <c r="L53" s="829"/>
      <c r="M53" s="826"/>
      <c r="N53" s="826"/>
      <c r="O53" s="826"/>
      <c r="P53" s="824"/>
      <c r="Q53" s="824"/>
      <c r="R53" s="873"/>
      <c r="S53" s="814"/>
      <c r="T53" s="814"/>
    </row>
    <row r="54">
      <c r="A54" s="821"/>
      <c r="B54" s="821"/>
      <c r="C54" s="822">
        <f t="shared" si="28"/>
        <v>14</v>
      </c>
      <c r="D54" s="882"/>
      <c r="E54" s="824">
        <v>0.0</v>
      </c>
      <c r="F54" s="825"/>
      <c r="G54" s="826"/>
      <c r="H54" s="824"/>
      <c r="I54" s="824">
        <v>0.0</v>
      </c>
      <c r="J54" s="829"/>
      <c r="K54" s="829"/>
      <c r="L54" s="829"/>
      <c r="M54" s="826"/>
      <c r="N54" s="826"/>
      <c r="O54" s="826"/>
      <c r="P54" s="824"/>
      <c r="Q54" s="824"/>
      <c r="R54" s="873"/>
      <c r="S54" s="814"/>
      <c r="T54" s="814"/>
    </row>
    <row r="55">
      <c r="A55" s="821"/>
      <c r="B55" s="821"/>
      <c r="C55" s="822">
        <f t="shared" si="28"/>
        <v>15</v>
      </c>
      <c r="D55" s="836"/>
      <c r="E55" s="824">
        <v>0.0</v>
      </c>
      <c r="F55" s="825"/>
      <c r="G55" s="826"/>
      <c r="H55" s="824"/>
      <c r="I55" s="824">
        <v>0.0</v>
      </c>
      <c r="J55" s="829"/>
      <c r="K55" s="829"/>
      <c r="L55" s="829"/>
      <c r="M55" s="826"/>
      <c r="N55" s="826"/>
      <c r="O55" s="826"/>
      <c r="P55" s="824"/>
      <c r="Q55" s="824"/>
      <c r="R55" s="873"/>
      <c r="S55" s="814"/>
      <c r="T55" s="814"/>
    </row>
    <row r="56">
      <c r="A56" s="821"/>
      <c r="B56" s="821"/>
      <c r="C56" s="822">
        <f t="shared" si="28"/>
        <v>16</v>
      </c>
      <c r="D56" s="836"/>
      <c r="E56" s="824">
        <v>0.0</v>
      </c>
      <c r="F56" s="825"/>
      <c r="G56" s="826"/>
      <c r="H56" s="824"/>
      <c r="I56" s="824">
        <v>0.0</v>
      </c>
      <c r="J56" s="829"/>
      <c r="K56" s="829"/>
      <c r="L56" s="829"/>
      <c r="M56" s="826"/>
      <c r="N56" s="826"/>
      <c r="O56" s="826"/>
      <c r="P56" s="824"/>
      <c r="Q56" s="824"/>
      <c r="R56" s="873"/>
      <c r="S56" s="814"/>
      <c r="T56" s="814"/>
    </row>
    <row r="57">
      <c r="A57" s="821"/>
      <c r="B57" s="821"/>
      <c r="C57" s="822">
        <f t="shared" si="28"/>
        <v>17</v>
      </c>
      <c r="D57" s="836"/>
      <c r="E57" s="824">
        <v>0.0</v>
      </c>
      <c r="F57" s="825"/>
      <c r="G57" s="826"/>
      <c r="H57" s="824"/>
      <c r="I57" s="824">
        <v>0.0</v>
      </c>
      <c r="J57" s="829"/>
      <c r="K57" s="829"/>
      <c r="L57" s="829"/>
      <c r="M57" s="826"/>
      <c r="N57" s="826"/>
      <c r="O57" s="826"/>
      <c r="P57" s="824"/>
      <c r="Q57" s="824"/>
      <c r="R57" s="873"/>
      <c r="S57" s="814"/>
      <c r="T57" s="814"/>
    </row>
    <row r="58">
      <c r="A58" s="821"/>
      <c r="B58" s="821"/>
      <c r="C58" s="822">
        <f t="shared" si="28"/>
        <v>18</v>
      </c>
      <c r="D58" s="836"/>
      <c r="E58" s="824">
        <v>0.0</v>
      </c>
      <c r="F58" s="825"/>
      <c r="G58" s="826"/>
      <c r="H58" s="824"/>
      <c r="I58" s="824">
        <v>0.0</v>
      </c>
      <c r="J58" s="829"/>
      <c r="K58" s="829"/>
      <c r="L58" s="829"/>
      <c r="M58" s="826"/>
      <c r="N58" s="826"/>
      <c r="O58" s="826"/>
      <c r="P58" s="824"/>
      <c r="Q58" s="824"/>
      <c r="R58" s="873"/>
      <c r="S58" s="814"/>
      <c r="T58" s="814"/>
    </row>
    <row r="59">
      <c r="A59" s="821"/>
      <c r="B59" s="821"/>
      <c r="C59" s="822">
        <f t="shared" si="28"/>
        <v>19</v>
      </c>
      <c r="D59" s="836"/>
      <c r="E59" s="824">
        <v>0.0</v>
      </c>
      <c r="F59" s="825"/>
      <c r="G59" s="826"/>
      <c r="H59" s="824"/>
      <c r="I59" s="824">
        <v>0.0</v>
      </c>
      <c r="J59" s="829"/>
      <c r="K59" s="829"/>
      <c r="L59" s="829"/>
      <c r="M59" s="826"/>
      <c r="N59" s="826"/>
      <c r="O59" s="826"/>
      <c r="P59" s="824"/>
      <c r="Q59" s="824"/>
      <c r="R59" s="873"/>
      <c r="S59" s="814"/>
      <c r="T59" s="814"/>
    </row>
    <row r="60">
      <c r="A60" s="821"/>
      <c r="B60" s="821"/>
      <c r="C60" s="822">
        <f t="shared" si="28"/>
        <v>20</v>
      </c>
      <c r="D60" s="836"/>
      <c r="E60" s="824">
        <v>0.0</v>
      </c>
      <c r="F60" s="825"/>
      <c r="G60" s="826"/>
      <c r="H60" s="824"/>
      <c r="I60" s="824">
        <v>0.0</v>
      </c>
      <c r="J60" s="829"/>
      <c r="K60" s="829"/>
      <c r="L60" s="829"/>
      <c r="M60" s="826"/>
      <c r="N60" s="826"/>
      <c r="O60" s="826"/>
      <c r="P60" s="824"/>
      <c r="Q60" s="824"/>
      <c r="R60" s="873"/>
      <c r="S60" s="814"/>
      <c r="T60" s="814"/>
    </row>
    <row r="61">
      <c r="A61" s="821"/>
      <c r="B61" s="821"/>
      <c r="C61" s="822">
        <f t="shared" si="28"/>
        <v>21</v>
      </c>
      <c r="D61" s="836"/>
      <c r="E61" s="824">
        <v>0.0</v>
      </c>
      <c r="F61" s="825"/>
      <c r="G61" s="826"/>
      <c r="H61" s="824"/>
      <c r="I61" s="824">
        <v>0.0</v>
      </c>
      <c r="J61" s="829"/>
      <c r="K61" s="829"/>
      <c r="L61" s="829"/>
      <c r="M61" s="826"/>
      <c r="N61" s="826"/>
      <c r="O61" s="826"/>
      <c r="P61" s="824"/>
      <c r="Q61" s="824"/>
      <c r="R61" s="873"/>
      <c r="S61" s="814"/>
      <c r="T61" s="814"/>
    </row>
    <row r="62">
      <c r="A62" s="821"/>
      <c r="B62" s="821"/>
      <c r="C62" s="822">
        <f t="shared" si="28"/>
        <v>22</v>
      </c>
      <c r="D62" s="836"/>
      <c r="E62" s="824">
        <v>0.0</v>
      </c>
      <c r="F62" s="825"/>
      <c r="G62" s="826"/>
      <c r="H62" s="824"/>
      <c r="I62" s="824">
        <v>0.0</v>
      </c>
      <c r="J62" s="829"/>
      <c r="K62" s="829"/>
      <c r="L62" s="829"/>
      <c r="M62" s="826"/>
      <c r="N62" s="826"/>
      <c r="O62" s="826"/>
      <c r="P62" s="824"/>
      <c r="Q62" s="824"/>
      <c r="R62" s="873"/>
      <c r="S62" s="814"/>
      <c r="T62" s="814"/>
    </row>
    <row r="63">
      <c r="A63" s="821"/>
      <c r="B63" s="821"/>
      <c r="C63" s="822">
        <v>23.0</v>
      </c>
      <c r="D63" s="836"/>
      <c r="E63" s="824">
        <v>0.0</v>
      </c>
      <c r="F63" s="825"/>
      <c r="G63" s="826"/>
      <c r="H63" s="824"/>
      <c r="I63" s="824">
        <v>0.0</v>
      </c>
      <c r="J63" s="829"/>
      <c r="K63" s="829"/>
      <c r="L63" s="829"/>
      <c r="M63" s="826"/>
      <c r="N63" s="826"/>
      <c r="O63" s="826"/>
      <c r="P63" s="824"/>
      <c r="Q63" s="824"/>
      <c r="R63" s="873"/>
      <c r="S63" s="814"/>
      <c r="T63" s="814"/>
    </row>
    <row r="64">
      <c r="A64" s="821"/>
      <c r="B64" s="821"/>
      <c r="C64" s="822">
        <v>24.0</v>
      </c>
      <c r="D64" s="836"/>
      <c r="E64" s="824">
        <v>0.0</v>
      </c>
      <c r="F64" s="825"/>
      <c r="G64" s="826"/>
      <c r="H64" s="824"/>
      <c r="I64" s="824">
        <v>0.0</v>
      </c>
      <c r="J64" s="829"/>
      <c r="K64" s="829"/>
      <c r="L64" s="829"/>
      <c r="M64" s="826"/>
      <c r="N64" s="826"/>
      <c r="O64" s="826"/>
      <c r="P64" s="824"/>
      <c r="Q64" s="824"/>
      <c r="R64" s="873"/>
      <c r="S64" s="814"/>
      <c r="T64" s="814"/>
    </row>
    <row r="65">
      <c r="A65" s="821"/>
      <c r="B65" s="821"/>
      <c r="C65" s="822">
        <v>25.0</v>
      </c>
      <c r="D65" s="836"/>
      <c r="E65" s="824">
        <v>0.0</v>
      </c>
      <c r="F65" s="825"/>
      <c r="G65" s="826"/>
      <c r="H65" s="824"/>
      <c r="I65" s="824">
        <v>0.0</v>
      </c>
      <c r="J65" s="829"/>
      <c r="K65" s="829"/>
      <c r="L65" s="829"/>
      <c r="M65" s="826"/>
      <c r="N65" s="826"/>
      <c r="O65" s="826"/>
      <c r="P65" s="824"/>
      <c r="Q65" s="824"/>
      <c r="R65" s="873"/>
      <c r="S65" s="814"/>
      <c r="T65" s="814"/>
    </row>
    <row r="66">
      <c r="A66" s="821"/>
      <c r="B66" s="821"/>
      <c r="C66" s="822">
        <v>26.0</v>
      </c>
      <c r="D66" s="836"/>
      <c r="E66" s="824">
        <v>0.0</v>
      </c>
      <c r="F66" s="825"/>
      <c r="G66" s="826"/>
      <c r="H66" s="824"/>
      <c r="I66" s="824">
        <v>0.0</v>
      </c>
      <c r="J66" s="829"/>
      <c r="K66" s="829"/>
      <c r="L66" s="829"/>
      <c r="M66" s="826"/>
      <c r="N66" s="826"/>
      <c r="O66" s="826"/>
      <c r="P66" s="824"/>
      <c r="Q66" s="824"/>
      <c r="R66" s="873"/>
      <c r="S66" s="814"/>
      <c r="T66" s="814"/>
    </row>
    <row r="67">
      <c r="A67" s="821"/>
      <c r="B67" s="821"/>
      <c r="C67" s="822">
        <v>27.0</v>
      </c>
      <c r="D67" s="836"/>
      <c r="E67" s="824">
        <v>0.0</v>
      </c>
      <c r="F67" s="825"/>
      <c r="G67" s="826"/>
      <c r="H67" s="824"/>
      <c r="I67" s="824">
        <v>0.0</v>
      </c>
      <c r="J67" s="829"/>
      <c r="K67" s="829"/>
      <c r="L67" s="829"/>
      <c r="M67" s="826"/>
      <c r="N67" s="826"/>
      <c r="O67" s="826"/>
      <c r="P67" s="824"/>
      <c r="Q67" s="824"/>
      <c r="R67" s="873"/>
      <c r="S67" s="814"/>
      <c r="T67" s="814"/>
    </row>
    <row r="68">
      <c r="A68" s="821"/>
      <c r="B68" s="821"/>
      <c r="C68" s="822">
        <v>28.0</v>
      </c>
      <c r="D68" s="836"/>
      <c r="E68" s="824">
        <v>0.0</v>
      </c>
      <c r="F68" s="825"/>
      <c r="G68" s="826"/>
      <c r="H68" s="824"/>
      <c r="I68" s="824">
        <v>0.0</v>
      </c>
      <c r="J68" s="829"/>
      <c r="K68" s="829"/>
      <c r="L68" s="829"/>
      <c r="M68" s="826"/>
      <c r="N68" s="826"/>
      <c r="O68" s="826"/>
      <c r="P68" s="824"/>
      <c r="Q68" s="824"/>
      <c r="R68" s="873"/>
      <c r="S68" s="814"/>
      <c r="T68" s="814"/>
    </row>
    <row r="69">
      <c r="A69" s="883">
        <v>3.0</v>
      </c>
      <c r="B69" s="883"/>
      <c r="C69" s="883"/>
      <c r="D69" s="883" t="s">
        <v>367</v>
      </c>
      <c r="E69" s="884">
        <f t="shared" ref="E69:G69" si="29">E70+E75</f>
        <v>3</v>
      </c>
      <c r="F69" s="885">
        <f t="shared" si="29"/>
        <v>0</v>
      </c>
      <c r="G69" s="885">
        <f t="shared" si="29"/>
        <v>0</v>
      </c>
      <c r="H69" s="884"/>
      <c r="I69" s="884"/>
      <c r="J69" s="884"/>
      <c r="K69" s="884"/>
      <c r="L69" s="884"/>
      <c r="M69" s="885"/>
      <c r="N69" s="885"/>
      <c r="O69" s="885"/>
      <c r="P69" s="886"/>
      <c r="Q69" s="886"/>
      <c r="R69" s="887"/>
      <c r="S69" s="814"/>
      <c r="T69" s="814"/>
    </row>
    <row r="70">
      <c r="A70" s="888"/>
      <c r="B70" s="889">
        <v>1.0</v>
      </c>
      <c r="C70" s="889"/>
      <c r="D70" s="890" t="s">
        <v>368</v>
      </c>
      <c r="E70" s="891">
        <f t="shared" ref="E70:G70" si="30">SUM(E71:E73)</f>
        <v>3</v>
      </c>
      <c r="F70" s="892">
        <f t="shared" si="30"/>
        <v>0</v>
      </c>
      <c r="G70" s="892">
        <f t="shared" si="30"/>
        <v>0</v>
      </c>
      <c r="H70" s="893"/>
      <c r="I70" s="893"/>
      <c r="J70" s="893"/>
      <c r="K70" s="893"/>
      <c r="L70" s="893"/>
      <c r="M70" s="894"/>
      <c r="N70" s="894"/>
      <c r="O70" s="894"/>
      <c r="P70" s="895"/>
      <c r="Q70" s="895"/>
      <c r="R70" s="896"/>
      <c r="S70" s="814"/>
      <c r="T70" s="814"/>
    </row>
    <row r="71">
      <c r="A71" s="897"/>
      <c r="B71" s="897"/>
      <c r="C71" s="897">
        <f t="shared" ref="C71:C73" si="31">ROW()-ROW(B$70)</f>
        <v>1</v>
      </c>
      <c r="D71" s="898"/>
      <c r="E71" s="899">
        <v>1.0</v>
      </c>
      <c r="F71" s="900"/>
      <c r="G71" s="901"/>
      <c r="H71" s="899"/>
      <c r="I71" s="897"/>
      <c r="J71" s="897"/>
      <c r="K71" s="897"/>
      <c r="L71" s="897"/>
      <c r="M71" s="901"/>
      <c r="N71" s="901"/>
      <c r="O71" s="901"/>
      <c r="P71" s="897"/>
      <c r="Q71" s="897"/>
      <c r="R71" s="837"/>
      <c r="S71" s="814"/>
      <c r="T71" s="814"/>
    </row>
    <row r="72">
      <c r="A72" s="821"/>
      <c r="B72" s="821"/>
      <c r="C72" s="897">
        <f t="shared" si="31"/>
        <v>2</v>
      </c>
      <c r="D72" s="836"/>
      <c r="E72" s="824">
        <v>1.0</v>
      </c>
      <c r="F72" s="825"/>
      <c r="G72" s="845"/>
      <c r="H72" s="844"/>
      <c r="I72" s="829"/>
      <c r="J72" s="829"/>
      <c r="K72" s="829"/>
      <c r="L72" s="829"/>
      <c r="M72" s="826"/>
      <c r="N72" s="826"/>
      <c r="O72" s="826"/>
      <c r="P72" s="821"/>
      <c r="Q72" s="821"/>
      <c r="R72" s="837"/>
      <c r="S72" s="814"/>
      <c r="T72" s="814"/>
    </row>
    <row r="73">
      <c r="A73" s="821"/>
      <c r="B73" s="821"/>
      <c r="C73" s="897">
        <f t="shared" si="31"/>
        <v>3</v>
      </c>
      <c r="D73" s="902"/>
      <c r="E73" s="824">
        <v>1.0</v>
      </c>
      <c r="F73" s="825"/>
      <c r="G73" s="845"/>
      <c r="H73" s="824"/>
      <c r="I73" s="829"/>
      <c r="J73" s="829"/>
      <c r="K73" s="829"/>
      <c r="L73" s="829"/>
      <c r="M73" s="826"/>
      <c r="N73" s="826"/>
      <c r="O73" s="826"/>
      <c r="P73" s="821"/>
      <c r="Q73" s="821"/>
      <c r="R73" s="837"/>
      <c r="S73" s="814"/>
      <c r="T73" s="814"/>
    </row>
    <row r="74">
      <c r="A74" s="821"/>
      <c r="B74" s="822"/>
      <c r="C74" s="822">
        <v>4.0</v>
      </c>
      <c r="D74" s="898"/>
      <c r="E74" s="824">
        <v>1.0</v>
      </c>
      <c r="F74" s="825"/>
      <c r="G74" s="826"/>
      <c r="H74" s="903"/>
      <c r="I74" s="904"/>
      <c r="J74" s="904"/>
      <c r="K74" s="904"/>
      <c r="L74" s="904"/>
      <c r="M74" s="905"/>
      <c r="N74" s="905"/>
      <c r="O74" s="905"/>
      <c r="P74" s="906"/>
      <c r="Q74" s="906"/>
      <c r="R74" s="907"/>
      <c r="S74" s="908"/>
      <c r="T74" s="908"/>
    </row>
    <row r="75">
      <c r="A75" s="888"/>
      <c r="B75" s="889">
        <v>2.0</v>
      </c>
      <c r="C75" s="889"/>
      <c r="D75" s="890" t="s">
        <v>369</v>
      </c>
      <c r="E75" s="891">
        <f t="shared" ref="E75:G75" si="32">SUM(E76:E80)</f>
        <v>0</v>
      </c>
      <c r="F75" s="892">
        <f t="shared" si="32"/>
        <v>0</v>
      </c>
      <c r="G75" s="892">
        <f t="shared" si="32"/>
        <v>0</v>
      </c>
      <c r="H75" s="893"/>
      <c r="I75" s="893"/>
      <c r="J75" s="893"/>
      <c r="K75" s="893"/>
      <c r="L75" s="893"/>
      <c r="M75" s="894"/>
      <c r="N75" s="894"/>
      <c r="O75" s="894"/>
      <c r="P75" s="895"/>
      <c r="Q75" s="895"/>
      <c r="R75" s="896"/>
      <c r="S75" s="814"/>
      <c r="T75" s="814"/>
    </row>
    <row r="76">
      <c r="A76" s="897"/>
      <c r="B76" s="897"/>
      <c r="C76" s="897">
        <f t="shared" ref="C76:C80" si="33">ROW()-ROW(B$75)</f>
        <v>1</v>
      </c>
      <c r="D76" s="897"/>
      <c r="E76" s="897">
        <f t="shared" ref="E76:E80" si="34">COUNTA(D76)</f>
        <v>0</v>
      </c>
      <c r="F76" s="901"/>
      <c r="G76" s="901"/>
      <c r="H76" s="897"/>
      <c r="I76" s="897"/>
      <c r="J76" s="897"/>
      <c r="K76" s="897"/>
      <c r="L76" s="897"/>
      <c r="M76" s="901"/>
      <c r="N76" s="901"/>
      <c r="O76" s="901"/>
      <c r="P76" s="897"/>
      <c r="Q76" s="897"/>
      <c r="R76" s="909"/>
      <c r="S76" s="814"/>
      <c r="T76" s="814"/>
    </row>
    <row r="77">
      <c r="A77" s="821"/>
      <c r="B77" s="821"/>
      <c r="C77" s="897">
        <f t="shared" si="33"/>
        <v>2</v>
      </c>
      <c r="D77" s="910"/>
      <c r="E77" s="829">
        <f t="shared" si="34"/>
        <v>0</v>
      </c>
      <c r="F77" s="826"/>
      <c r="G77" s="826"/>
      <c r="H77" s="829"/>
      <c r="I77" s="829"/>
      <c r="J77" s="829"/>
      <c r="K77" s="829"/>
      <c r="L77" s="829"/>
      <c r="M77" s="826"/>
      <c r="N77" s="826"/>
      <c r="O77" s="826"/>
      <c r="P77" s="821"/>
      <c r="Q77" s="821"/>
      <c r="R77" s="827"/>
      <c r="S77" s="814"/>
      <c r="T77" s="814"/>
    </row>
    <row r="78">
      <c r="A78" s="821"/>
      <c r="B78" s="821"/>
      <c r="C78" s="897">
        <f t="shared" si="33"/>
        <v>3</v>
      </c>
      <c r="D78" s="910"/>
      <c r="E78" s="829">
        <f t="shared" si="34"/>
        <v>0</v>
      </c>
      <c r="F78" s="826"/>
      <c r="G78" s="826"/>
      <c r="H78" s="829"/>
      <c r="I78" s="829"/>
      <c r="J78" s="829"/>
      <c r="K78" s="829"/>
      <c r="L78" s="829"/>
      <c r="M78" s="826"/>
      <c r="N78" s="826"/>
      <c r="O78" s="826"/>
      <c r="P78" s="821"/>
      <c r="Q78" s="821"/>
      <c r="R78" s="827"/>
      <c r="S78" s="814"/>
      <c r="T78" s="814"/>
    </row>
    <row r="79">
      <c r="A79" s="821"/>
      <c r="B79" s="821"/>
      <c r="C79" s="897">
        <f t="shared" si="33"/>
        <v>4</v>
      </c>
      <c r="D79" s="910"/>
      <c r="E79" s="829">
        <f t="shared" si="34"/>
        <v>0</v>
      </c>
      <c r="F79" s="826"/>
      <c r="G79" s="826"/>
      <c r="H79" s="829"/>
      <c r="I79" s="829"/>
      <c r="J79" s="829"/>
      <c r="K79" s="829"/>
      <c r="L79" s="829"/>
      <c r="M79" s="826"/>
      <c r="N79" s="826"/>
      <c r="O79" s="826"/>
      <c r="P79" s="821"/>
      <c r="Q79" s="821"/>
      <c r="R79" s="827"/>
      <c r="S79" s="814"/>
      <c r="T79" s="814"/>
    </row>
    <row r="80">
      <c r="A80" s="911"/>
      <c r="B80" s="911"/>
      <c r="C80" s="897">
        <f t="shared" si="33"/>
        <v>5</v>
      </c>
      <c r="D80" s="911"/>
      <c r="E80" s="912">
        <f t="shared" si="34"/>
        <v>0</v>
      </c>
      <c r="F80" s="913"/>
      <c r="G80" s="913"/>
      <c r="H80" s="912"/>
      <c r="I80" s="912"/>
      <c r="J80" s="912"/>
      <c r="K80" s="912"/>
      <c r="L80" s="912"/>
      <c r="M80" s="913"/>
      <c r="N80" s="913"/>
      <c r="O80" s="913"/>
      <c r="P80" s="911"/>
      <c r="Q80" s="911"/>
      <c r="R80" s="914"/>
      <c r="S80" s="814"/>
      <c r="T80" s="814"/>
    </row>
    <row r="81">
      <c r="A81" s="915"/>
      <c r="B81" s="916">
        <v>3.0</v>
      </c>
      <c r="C81" s="915"/>
      <c r="D81" s="917" t="s">
        <v>370</v>
      </c>
      <c r="E81" s="918">
        <f>SUM(E82:E89)</f>
        <v>0</v>
      </c>
      <c r="F81" s="919">
        <f t="shared" ref="F81:G81" si="35">SUM(F82:F84)</f>
        <v>0</v>
      </c>
      <c r="G81" s="919">
        <f t="shared" si="35"/>
        <v>0</v>
      </c>
      <c r="H81" s="920"/>
      <c r="I81" s="920">
        <f>SUM(I82:I89)</f>
        <v>0</v>
      </c>
      <c r="J81" s="920"/>
      <c r="K81" s="920"/>
      <c r="L81" s="920"/>
      <c r="M81" s="921">
        <f>SUM(M82:M84)</f>
        <v>0</v>
      </c>
      <c r="N81" s="921"/>
      <c r="O81" s="921"/>
      <c r="P81" s="915"/>
      <c r="Q81" s="915"/>
      <c r="R81" s="922"/>
      <c r="S81" s="814"/>
      <c r="T81" s="814"/>
    </row>
    <row r="82">
      <c r="A82" s="923"/>
      <c r="B82" s="924"/>
      <c r="C82" s="924">
        <f t="shared" ref="C82:C87" si="36">ROW()-ROW(B$81)</f>
        <v>1</v>
      </c>
      <c r="D82" s="925"/>
      <c r="E82" s="899">
        <v>0.0</v>
      </c>
      <c r="F82" s="926"/>
      <c r="G82" s="927"/>
      <c r="H82" s="928"/>
      <c r="I82" s="928">
        <v>0.0</v>
      </c>
      <c r="J82" s="929"/>
      <c r="K82" s="929"/>
      <c r="L82" s="929"/>
      <c r="M82" s="927"/>
      <c r="N82" s="927"/>
      <c r="O82" s="927"/>
      <c r="P82" s="923"/>
      <c r="Q82" s="923"/>
      <c r="R82" s="930"/>
      <c r="S82" s="814"/>
      <c r="T82" s="814"/>
    </row>
    <row r="83">
      <c r="A83" s="923"/>
      <c r="B83" s="924"/>
      <c r="C83" s="924">
        <f t="shared" si="36"/>
        <v>2</v>
      </c>
      <c r="D83" s="925"/>
      <c r="E83" s="899">
        <v>0.0</v>
      </c>
      <c r="F83" s="926"/>
      <c r="G83" s="927"/>
      <c r="H83" s="929"/>
      <c r="I83" s="928">
        <v>0.0</v>
      </c>
      <c r="J83" s="929"/>
      <c r="K83" s="929"/>
      <c r="L83" s="929"/>
      <c r="M83" s="927"/>
      <c r="N83" s="927"/>
      <c r="O83" s="927"/>
      <c r="P83" s="923"/>
      <c r="Q83" s="923"/>
      <c r="R83" s="930"/>
      <c r="S83" s="814"/>
      <c r="T83" s="814"/>
    </row>
    <row r="84">
      <c r="A84" s="923"/>
      <c r="B84" s="924"/>
      <c r="C84" s="924">
        <f t="shared" si="36"/>
        <v>3</v>
      </c>
      <c r="D84" s="925"/>
      <c r="E84" s="899">
        <v>0.0</v>
      </c>
      <c r="F84" s="926"/>
      <c r="G84" s="927"/>
      <c r="H84" s="929"/>
      <c r="I84" s="928">
        <v>0.0</v>
      </c>
      <c r="J84" s="929"/>
      <c r="K84" s="929"/>
      <c r="L84" s="929"/>
      <c r="M84" s="927"/>
      <c r="N84" s="927"/>
      <c r="O84" s="927"/>
      <c r="P84" s="923"/>
      <c r="Q84" s="923"/>
      <c r="R84" s="930"/>
      <c r="S84" s="814"/>
      <c r="T84" s="814"/>
    </row>
    <row r="85">
      <c r="A85" s="923"/>
      <c r="B85" s="924"/>
      <c r="C85" s="924">
        <f t="shared" si="36"/>
        <v>4</v>
      </c>
      <c r="D85" s="924"/>
      <c r="E85" s="899">
        <v>0.0</v>
      </c>
      <c r="F85" s="926"/>
      <c r="G85" s="927"/>
      <c r="H85" s="929"/>
      <c r="I85" s="928">
        <v>0.0</v>
      </c>
      <c r="J85" s="929"/>
      <c r="K85" s="929"/>
      <c r="L85" s="929"/>
      <c r="M85" s="927"/>
      <c r="N85" s="927"/>
      <c r="O85" s="927"/>
      <c r="P85" s="923"/>
      <c r="Q85" s="923"/>
      <c r="R85" s="930"/>
      <c r="S85" s="814"/>
      <c r="T85" s="814"/>
    </row>
    <row r="86">
      <c r="A86" s="923"/>
      <c r="B86" s="924"/>
      <c r="C86" s="924">
        <f t="shared" si="36"/>
        <v>5</v>
      </c>
      <c r="D86" s="924"/>
      <c r="E86" s="899">
        <v>0.0</v>
      </c>
      <c r="F86" s="926"/>
      <c r="G86" s="927"/>
      <c r="H86" s="929"/>
      <c r="I86" s="928">
        <v>0.0</v>
      </c>
      <c r="J86" s="929"/>
      <c r="K86" s="929"/>
      <c r="L86" s="929"/>
      <c r="M86" s="927"/>
      <c r="N86" s="927"/>
      <c r="O86" s="927"/>
      <c r="P86" s="923"/>
      <c r="Q86" s="923"/>
      <c r="R86" s="930"/>
      <c r="S86" s="814"/>
      <c r="T86" s="814"/>
    </row>
    <row r="87">
      <c r="A87" s="923"/>
      <c r="B87" s="924"/>
      <c r="C87" s="924">
        <f t="shared" si="36"/>
        <v>6</v>
      </c>
      <c r="D87" s="924"/>
      <c r="E87" s="899">
        <v>0.0</v>
      </c>
      <c r="F87" s="926"/>
      <c r="G87" s="927"/>
      <c r="H87" s="929"/>
      <c r="I87" s="928">
        <v>0.0</v>
      </c>
      <c r="J87" s="929"/>
      <c r="K87" s="929"/>
      <c r="L87" s="929"/>
      <c r="M87" s="927"/>
      <c r="N87" s="927"/>
      <c r="O87" s="927"/>
      <c r="P87" s="923"/>
      <c r="Q87" s="923"/>
      <c r="R87" s="930"/>
      <c r="S87" s="814"/>
      <c r="T87" s="814"/>
    </row>
    <row r="88">
      <c r="A88" s="923"/>
      <c r="B88" s="924"/>
      <c r="C88" s="924">
        <v>7.0</v>
      </c>
      <c r="D88" s="924"/>
      <c r="E88" s="899">
        <v>0.0</v>
      </c>
      <c r="F88" s="926"/>
      <c r="G88" s="927"/>
      <c r="H88" s="929"/>
      <c r="I88" s="928">
        <v>0.0</v>
      </c>
      <c r="J88" s="929"/>
      <c r="K88" s="929"/>
      <c r="L88" s="929"/>
      <c r="M88" s="927"/>
      <c r="N88" s="927"/>
      <c r="O88" s="927"/>
      <c r="P88" s="923"/>
      <c r="Q88" s="923"/>
      <c r="R88" s="930"/>
      <c r="S88" s="814"/>
      <c r="T88" s="814"/>
    </row>
    <row r="89">
      <c r="A89" s="923"/>
      <c r="B89" s="924"/>
      <c r="C89" s="924">
        <v>8.0</v>
      </c>
      <c r="D89" s="924"/>
      <c r="E89" s="899">
        <v>0.0</v>
      </c>
      <c r="F89" s="926"/>
      <c r="G89" s="927"/>
      <c r="H89" s="929"/>
      <c r="I89" s="928">
        <v>0.0</v>
      </c>
      <c r="J89" s="929"/>
      <c r="K89" s="929"/>
      <c r="L89" s="929"/>
      <c r="M89" s="927"/>
      <c r="N89" s="927"/>
      <c r="O89" s="927"/>
      <c r="P89" s="923"/>
      <c r="Q89" s="923"/>
      <c r="R89" s="930"/>
      <c r="S89" s="814"/>
      <c r="T89" s="814"/>
    </row>
    <row r="90">
      <c r="A90" s="931">
        <v>4.0</v>
      </c>
      <c r="B90" s="808"/>
      <c r="C90" s="808"/>
      <c r="D90" s="931" t="s">
        <v>84</v>
      </c>
      <c r="E90" s="932">
        <f t="shared" ref="E90:G90" si="37">E91</f>
        <v>0</v>
      </c>
      <c r="F90" s="933">
        <f t="shared" si="37"/>
        <v>0</v>
      </c>
      <c r="G90" s="933">
        <f t="shared" si="37"/>
        <v>0</v>
      </c>
      <c r="H90" s="932"/>
      <c r="I90" s="932"/>
      <c r="J90" s="932"/>
      <c r="K90" s="932"/>
      <c r="L90" s="932"/>
      <c r="M90" s="933"/>
      <c r="N90" s="933"/>
      <c r="O90" s="933"/>
      <c r="P90" s="809"/>
      <c r="Q90" s="809"/>
      <c r="R90" s="934"/>
      <c r="S90" s="814"/>
      <c r="T90" s="814"/>
    </row>
    <row r="91">
      <c r="A91" s="888"/>
      <c r="B91" s="889">
        <v>1.0</v>
      </c>
      <c r="C91" s="889"/>
      <c r="D91" s="890"/>
      <c r="E91" s="891">
        <f t="shared" ref="E91:G91" si="38">SUM(E92:E99)</f>
        <v>0</v>
      </c>
      <c r="F91" s="892">
        <f t="shared" si="38"/>
        <v>0</v>
      </c>
      <c r="G91" s="892">
        <f t="shared" si="38"/>
        <v>0</v>
      </c>
      <c r="H91" s="893"/>
      <c r="I91" s="893"/>
      <c r="J91" s="893"/>
      <c r="K91" s="893"/>
      <c r="L91" s="893"/>
      <c r="M91" s="894"/>
      <c r="N91" s="894"/>
      <c r="O91" s="894"/>
      <c r="P91" s="895"/>
      <c r="Q91" s="895"/>
      <c r="R91" s="896"/>
      <c r="S91" s="814"/>
      <c r="T91" s="814"/>
    </row>
    <row r="92">
      <c r="A92" s="897"/>
      <c r="B92" s="897"/>
      <c r="C92" s="897">
        <f t="shared" ref="C92:C99" si="39">ROW()-ROW(B$91)</f>
        <v>1</v>
      </c>
      <c r="D92" s="897"/>
      <c r="E92" s="897">
        <f t="shared" ref="E92:E99" si="40">COUNTA(D92)</f>
        <v>0</v>
      </c>
      <c r="F92" s="901"/>
      <c r="G92" s="901"/>
      <c r="H92" s="897"/>
      <c r="I92" s="897"/>
      <c r="J92" s="897"/>
      <c r="K92" s="897"/>
      <c r="L92" s="897"/>
      <c r="M92" s="901"/>
      <c r="N92" s="901"/>
      <c r="O92" s="901"/>
      <c r="P92" s="897"/>
      <c r="Q92" s="897"/>
      <c r="R92" s="909"/>
      <c r="S92" s="814"/>
      <c r="T92" s="814"/>
    </row>
    <row r="93">
      <c r="A93" s="821"/>
      <c r="B93" s="821"/>
      <c r="C93" s="897">
        <f t="shared" si="39"/>
        <v>2</v>
      </c>
      <c r="D93" s="821"/>
      <c r="E93" s="829">
        <f t="shared" si="40"/>
        <v>0</v>
      </c>
      <c r="F93" s="826"/>
      <c r="G93" s="826"/>
      <c r="H93" s="829"/>
      <c r="I93" s="829"/>
      <c r="J93" s="829"/>
      <c r="K93" s="829"/>
      <c r="L93" s="829"/>
      <c r="M93" s="826"/>
      <c r="N93" s="826"/>
      <c r="O93" s="826"/>
      <c r="P93" s="821"/>
      <c r="Q93" s="821"/>
      <c r="R93" s="827"/>
      <c r="S93" s="814"/>
      <c r="T93" s="814"/>
    </row>
    <row r="94">
      <c r="A94" s="821"/>
      <c r="B94" s="821"/>
      <c r="C94" s="897">
        <f t="shared" si="39"/>
        <v>3</v>
      </c>
      <c r="D94" s="821"/>
      <c r="E94" s="829">
        <f t="shared" si="40"/>
        <v>0</v>
      </c>
      <c r="F94" s="826"/>
      <c r="G94" s="826"/>
      <c r="H94" s="829"/>
      <c r="I94" s="829"/>
      <c r="J94" s="829"/>
      <c r="K94" s="829"/>
      <c r="L94" s="829"/>
      <c r="M94" s="826"/>
      <c r="N94" s="826"/>
      <c r="O94" s="826"/>
      <c r="P94" s="821"/>
      <c r="Q94" s="821"/>
      <c r="R94" s="827"/>
      <c r="S94" s="814"/>
      <c r="T94" s="814"/>
    </row>
    <row r="95">
      <c r="A95" s="910"/>
      <c r="B95" s="910"/>
      <c r="C95" s="897">
        <f t="shared" si="39"/>
        <v>4</v>
      </c>
      <c r="D95" s="910"/>
      <c r="E95" s="829">
        <f t="shared" si="40"/>
        <v>0</v>
      </c>
      <c r="F95" s="845"/>
      <c r="G95" s="845"/>
      <c r="H95" s="904"/>
      <c r="I95" s="904"/>
      <c r="J95" s="904"/>
      <c r="K95" s="904"/>
      <c r="L95" s="904"/>
      <c r="M95" s="845"/>
      <c r="N95" s="845"/>
      <c r="O95" s="845"/>
      <c r="P95" s="821"/>
      <c r="Q95" s="821"/>
      <c r="R95" s="827"/>
      <c r="S95" s="814"/>
      <c r="T95" s="814"/>
    </row>
    <row r="96">
      <c r="A96" s="821"/>
      <c r="B96" s="821"/>
      <c r="C96" s="897">
        <f t="shared" si="39"/>
        <v>5</v>
      </c>
      <c r="D96" s="935"/>
      <c r="E96" s="912">
        <f t="shared" si="40"/>
        <v>0</v>
      </c>
      <c r="F96" s="905"/>
      <c r="G96" s="845"/>
      <c r="H96" s="904"/>
      <c r="I96" s="904"/>
      <c r="J96" s="904"/>
      <c r="K96" s="904"/>
      <c r="L96" s="904"/>
      <c r="M96" s="905"/>
      <c r="N96" s="905"/>
      <c r="O96" s="905"/>
      <c r="P96" s="906"/>
      <c r="Q96" s="906"/>
      <c r="R96" s="936"/>
      <c r="S96" s="814"/>
      <c r="T96" s="814"/>
    </row>
    <row r="97">
      <c r="A97" s="821"/>
      <c r="B97" s="821"/>
      <c r="C97" s="897">
        <f t="shared" si="39"/>
        <v>6</v>
      </c>
      <c r="D97" s="935"/>
      <c r="E97" s="897">
        <f t="shared" si="40"/>
        <v>0</v>
      </c>
      <c r="F97" s="845"/>
      <c r="G97" s="845"/>
      <c r="H97" s="829"/>
      <c r="I97" s="829"/>
      <c r="J97" s="829"/>
      <c r="K97" s="829"/>
      <c r="L97" s="829"/>
      <c r="M97" s="845"/>
      <c r="N97" s="845"/>
      <c r="O97" s="845"/>
      <c r="P97" s="821"/>
      <c r="Q97" s="821"/>
      <c r="R97" s="827"/>
      <c r="S97" s="814"/>
      <c r="T97" s="814"/>
    </row>
    <row r="98">
      <c r="A98" s="821"/>
      <c r="B98" s="821"/>
      <c r="C98" s="897">
        <f t="shared" si="39"/>
        <v>7</v>
      </c>
      <c r="D98" s="910"/>
      <c r="E98" s="829">
        <f t="shared" si="40"/>
        <v>0</v>
      </c>
      <c r="F98" s="845"/>
      <c r="G98" s="845"/>
      <c r="H98" s="904"/>
      <c r="I98" s="904"/>
      <c r="J98" s="904"/>
      <c r="K98" s="904"/>
      <c r="L98" s="904"/>
      <c r="M98" s="845"/>
      <c r="N98" s="845"/>
      <c r="O98" s="845"/>
      <c r="P98" s="821"/>
      <c r="Q98" s="821"/>
      <c r="R98" s="827"/>
      <c r="S98" s="814"/>
      <c r="T98" s="814"/>
    </row>
    <row r="99">
      <c r="A99" s="821"/>
      <c r="B99" s="821"/>
      <c r="C99" s="897">
        <f t="shared" si="39"/>
        <v>8</v>
      </c>
      <c r="D99" s="910"/>
      <c r="E99" s="829">
        <f t="shared" si="40"/>
        <v>0</v>
      </c>
      <c r="F99" s="845"/>
      <c r="G99" s="845"/>
      <c r="H99" s="829"/>
      <c r="I99" s="829"/>
      <c r="J99" s="829"/>
      <c r="K99" s="829"/>
      <c r="L99" s="829"/>
      <c r="M99" s="845"/>
      <c r="N99" s="845"/>
      <c r="O99" s="845"/>
      <c r="P99" s="910"/>
      <c r="Q99" s="910"/>
      <c r="R99" s="937"/>
      <c r="S99" s="814"/>
      <c r="T99" s="814"/>
    </row>
    <row r="100">
      <c r="A100" s="931">
        <v>5.0</v>
      </c>
      <c r="B100" s="808"/>
      <c r="C100" s="808"/>
      <c r="D100" s="931" t="s">
        <v>371</v>
      </c>
      <c r="E100" s="932">
        <f t="shared" ref="E100:G100" si="41">E101</f>
        <v>0</v>
      </c>
      <c r="F100" s="933">
        <f t="shared" si="41"/>
        <v>0</v>
      </c>
      <c r="G100" s="933">
        <f t="shared" si="41"/>
        <v>0</v>
      </c>
      <c r="H100" s="932"/>
      <c r="I100" s="932"/>
      <c r="J100" s="932"/>
      <c r="K100" s="932"/>
      <c r="L100" s="932"/>
      <c r="M100" s="933"/>
      <c r="N100" s="933"/>
      <c r="O100" s="933"/>
      <c r="P100" s="809"/>
      <c r="Q100" s="809"/>
      <c r="R100" s="934"/>
      <c r="S100" s="814"/>
      <c r="T100" s="814"/>
    </row>
    <row r="101">
      <c r="A101" s="888"/>
      <c r="B101" s="889">
        <v>1.0</v>
      </c>
      <c r="C101" s="889"/>
      <c r="D101" s="890"/>
      <c r="E101" s="891">
        <f t="shared" ref="E101:G101" si="42">SUM(E102:E106)</f>
        <v>0</v>
      </c>
      <c r="F101" s="892">
        <f t="shared" si="42"/>
        <v>0</v>
      </c>
      <c r="G101" s="892">
        <f t="shared" si="42"/>
        <v>0</v>
      </c>
      <c r="H101" s="893"/>
      <c r="I101" s="893"/>
      <c r="J101" s="893"/>
      <c r="K101" s="893"/>
      <c r="L101" s="893"/>
      <c r="M101" s="894"/>
      <c r="N101" s="894"/>
      <c r="O101" s="894"/>
      <c r="P101" s="895"/>
      <c r="Q101" s="895"/>
      <c r="R101" s="896"/>
      <c r="S101" s="814"/>
      <c r="T101" s="814"/>
    </row>
    <row r="102">
      <c r="A102" s="897"/>
      <c r="B102" s="897"/>
      <c r="C102" s="897">
        <f t="shared" ref="C102:C106" si="43">ROW()-ROW(B$101)</f>
        <v>1</v>
      </c>
      <c r="D102" s="897"/>
      <c r="E102" s="897">
        <f t="shared" ref="E102:E106" si="44">COUNTA(D102)</f>
        <v>0</v>
      </c>
      <c r="F102" s="901"/>
      <c r="G102" s="901"/>
      <c r="H102" s="897"/>
      <c r="I102" s="897"/>
      <c r="J102" s="897"/>
      <c r="K102" s="897"/>
      <c r="L102" s="897"/>
      <c r="M102" s="901"/>
      <c r="N102" s="901"/>
      <c r="O102" s="901"/>
      <c r="P102" s="897"/>
      <c r="Q102" s="897"/>
      <c r="R102" s="909"/>
      <c r="S102" s="814"/>
      <c r="T102" s="814"/>
    </row>
    <row r="103">
      <c r="A103" s="821"/>
      <c r="B103" s="821"/>
      <c r="C103" s="897">
        <f t="shared" si="43"/>
        <v>2</v>
      </c>
      <c r="D103" s="910"/>
      <c r="E103" s="829">
        <f t="shared" si="44"/>
        <v>0</v>
      </c>
      <c r="F103" s="845"/>
      <c r="G103" s="845"/>
      <c r="H103" s="829"/>
      <c r="I103" s="829"/>
      <c r="J103" s="829"/>
      <c r="K103" s="829"/>
      <c r="L103" s="829"/>
      <c r="M103" s="845"/>
      <c r="N103" s="845"/>
      <c r="O103" s="845"/>
      <c r="P103" s="821"/>
      <c r="Q103" s="821"/>
      <c r="R103" s="827"/>
      <c r="S103" s="814"/>
      <c r="T103" s="814"/>
    </row>
    <row r="104">
      <c r="A104" s="821"/>
      <c r="B104" s="821"/>
      <c r="C104" s="897">
        <f t="shared" si="43"/>
        <v>3</v>
      </c>
      <c r="D104" s="821"/>
      <c r="E104" s="829">
        <f t="shared" si="44"/>
        <v>0</v>
      </c>
      <c r="F104" s="826"/>
      <c r="G104" s="826"/>
      <c r="H104" s="904"/>
      <c r="I104" s="904"/>
      <c r="J104" s="904"/>
      <c r="K104" s="904"/>
      <c r="L104" s="904"/>
      <c r="M104" s="826"/>
      <c r="N104" s="826"/>
      <c r="O104" s="826"/>
      <c r="P104" s="821"/>
      <c r="Q104" s="821"/>
      <c r="R104" s="827"/>
      <c r="S104" s="814"/>
      <c r="T104" s="814"/>
    </row>
    <row r="105">
      <c r="A105" s="821"/>
      <c r="B105" s="821"/>
      <c r="C105" s="897">
        <f t="shared" si="43"/>
        <v>4</v>
      </c>
      <c r="D105" s="821"/>
      <c r="E105" s="897">
        <f t="shared" si="44"/>
        <v>0</v>
      </c>
      <c r="F105" s="845"/>
      <c r="G105" s="845"/>
      <c r="H105" s="829"/>
      <c r="I105" s="829"/>
      <c r="J105" s="829"/>
      <c r="K105" s="829"/>
      <c r="L105" s="829"/>
      <c r="M105" s="845"/>
      <c r="N105" s="845"/>
      <c r="O105" s="845"/>
      <c r="P105" s="938"/>
      <c r="Q105" s="938"/>
      <c r="R105" s="939"/>
      <c r="S105" s="814"/>
      <c r="T105" s="814"/>
    </row>
    <row r="106">
      <c r="A106" s="821"/>
      <c r="B106" s="821"/>
      <c r="C106" s="897">
        <f t="shared" si="43"/>
        <v>5</v>
      </c>
      <c r="D106" s="821"/>
      <c r="E106" s="829">
        <f t="shared" si="44"/>
        <v>0</v>
      </c>
      <c r="F106" s="826"/>
      <c r="G106" s="826"/>
      <c r="H106" s="904"/>
      <c r="I106" s="904"/>
      <c r="J106" s="904"/>
      <c r="K106" s="904"/>
      <c r="L106" s="904"/>
      <c r="M106" s="826"/>
      <c r="N106" s="826"/>
      <c r="O106" s="826"/>
      <c r="P106" s="821"/>
      <c r="Q106" s="821"/>
      <c r="R106" s="827"/>
      <c r="S106" s="814"/>
      <c r="T106" s="814"/>
    </row>
    <row r="107">
      <c r="A107" s="811">
        <v>6.0</v>
      </c>
      <c r="B107" s="809"/>
      <c r="C107" s="809"/>
      <c r="D107" s="931" t="s">
        <v>85</v>
      </c>
      <c r="E107" s="940">
        <f>E108+E114+E120</f>
        <v>0</v>
      </c>
      <c r="F107" s="933">
        <f t="shared" ref="F107:G107" si="45">F108+F114</f>
        <v>0</v>
      </c>
      <c r="G107" s="933">
        <f t="shared" si="45"/>
        <v>0</v>
      </c>
      <c r="H107" s="932"/>
      <c r="I107" s="932"/>
      <c r="J107" s="932"/>
      <c r="K107" s="932"/>
      <c r="L107" s="932"/>
      <c r="M107" s="933"/>
      <c r="N107" s="933"/>
      <c r="O107" s="933"/>
      <c r="P107" s="809"/>
      <c r="Q107" s="809"/>
      <c r="R107" s="934"/>
      <c r="S107" s="814"/>
      <c r="T107" s="814"/>
    </row>
    <row r="108">
      <c r="A108" s="888"/>
      <c r="B108" s="889">
        <v>1.0</v>
      </c>
      <c r="C108" s="888"/>
      <c r="D108" s="889" t="s">
        <v>372</v>
      </c>
      <c r="E108" s="893">
        <f t="shared" ref="E108:G108" si="46">SUM(E109:E113)</f>
        <v>0</v>
      </c>
      <c r="F108" s="892">
        <f t="shared" si="46"/>
        <v>0</v>
      </c>
      <c r="G108" s="892">
        <f t="shared" si="46"/>
        <v>0</v>
      </c>
      <c r="H108" s="893"/>
      <c r="I108" s="893"/>
      <c r="J108" s="893"/>
      <c r="K108" s="893"/>
      <c r="L108" s="893"/>
      <c r="M108" s="892"/>
      <c r="N108" s="892"/>
      <c r="O108" s="892"/>
      <c r="P108" s="888"/>
      <c r="Q108" s="888"/>
      <c r="R108" s="941"/>
      <c r="S108" s="814"/>
      <c r="T108" s="814"/>
    </row>
    <row r="109">
      <c r="A109" s="821"/>
      <c r="B109" s="821"/>
      <c r="C109" s="822">
        <f t="shared" ref="C109:C113" si="47">ROW()-ROW(B$108)</f>
        <v>1</v>
      </c>
      <c r="D109" s="942"/>
      <c r="E109" s="897">
        <f t="shared" ref="E109:E113" si="48">COUNTA(D109)</f>
        <v>0</v>
      </c>
      <c r="F109" s="845"/>
      <c r="G109" s="845"/>
      <c r="H109" s="829"/>
      <c r="I109" s="829"/>
      <c r="J109" s="829"/>
      <c r="K109" s="829"/>
      <c r="L109" s="829"/>
      <c r="M109" s="845"/>
      <c r="N109" s="845"/>
      <c r="O109" s="845"/>
      <c r="P109" s="821"/>
      <c r="Q109" s="821"/>
      <c r="R109" s="827"/>
      <c r="S109" s="814"/>
      <c r="T109" s="814"/>
    </row>
    <row r="110">
      <c r="A110" s="821"/>
      <c r="B110" s="821"/>
      <c r="C110" s="822">
        <f t="shared" si="47"/>
        <v>2</v>
      </c>
      <c r="D110" s="910"/>
      <c r="E110" s="829">
        <f t="shared" si="48"/>
        <v>0</v>
      </c>
      <c r="F110" s="845"/>
      <c r="G110" s="845"/>
      <c r="H110" s="904"/>
      <c r="I110" s="904"/>
      <c r="J110" s="904"/>
      <c r="K110" s="904"/>
      <c r="L110" s="904"/>
      <c r="M110" s="845"/>
      <c r="N110" s="845"/>
      <c r="O110" s="845"/>
      <c r="P110" s="821"/>
      <c r="Q110" s="821"/>
      <c r="R110" s="827"/>
      <c r="S110" s="814"/>
      <c r="T110" s="814"/>
    </row>
    <row r="111">
      <c r="A111" s="821"/>
      <c r="B111" s="821"/>
      <c r="C111" s="822">
        <f t="shared" si="47"/>
        <v>3</v>
      </c>
      <c r="D111" s="910"/>
      <c r="E111" s="829">
        <f t="shared" si="48"/>
        <v>0</v>
      </c>
      <c r="F111" s="845"/>
      <c r="G111" s="845"/>
      <c r="H111" s="904"/>
      <c r="I111" s="904"/>
      <c r="J111" s="904"/>
      <c r="K111" s="904"/>
      <c r="L111" s="904"/>
      <c r="M111" s="845"/>
      <c r="N111" s="845"/>
      <c r="O111" s="845"/>
      <c r="P111" s="821"/>
      <c r="Q111" s="821"/>
      <c r="R111" s="827"/>
      <c r="S111" s="814"/>
      <c r="T111" s="814"/>
    </row>
    <row r="112">
      <c r="A112" s="821"/>
      <c r="B112" s="821"/>
      <c r="C112" s="822">
        <f t="shared" si="47"/>
        <v>4</v>
      </c>
      <c r="D112" s="821"/>
      <c r="E112" s="897">
        <f t="shared" si="48"/>
        <v>0</v>
      </c>
      <c r="F112" s="845"/>
      <c r="G112" s="845"/>
      <c r="H112" s="829"/>
      <c r="I112" s="829"/>
      <c r="J112" s="829"/>
      <c r="K112" s="829"/>
      <c r="L112" s="829"/>
      <c r="M112" s="845"/>
      <c r="N112" s="845"/>
      <c r="O112" s="845"/>
      <c r="P112" s="821"/>
      <c r="Q112" s="821"/>
      <c r="R112" s="827"/>
      <c r="S112" s="814"/>
      <c r="T112" s="814"/>
    </row>
    <row r="113">
      <c r="A113" s="821"/>
      <c r="B113" s="821"/>
      <c r="C113" s="822">
        <f t="shared" si="47"/>
        <v>5</v>
      </c>
      <c r="D113" s="821"/>
      <c r="E113" s="829">
        <f t="shared" si="48"/>
        <v>0</v>
      </c>
      <c r="F113" s="845"/>
      <c r="G113" s="845"/>
      <c r="H113" s="829"/>
      <c r="I113" s="829"/>
      <c r="J113" s="829"/>
      <c r="K113" s="829"/>
      <c r="L113" s="829"/>
      <c r="M113" s="845"/>
      <c r="N113" s="845"/>
      <c r="O113" s="845"/>
      <c r="P113" s="821"/>
      <c r="Q113" s="821"/>
      <c r="R113" s="827"/>
      <c r="S113" s="814"/>
      <c r="T113" s="814"/>
    </row>
    <row r="114">
      <c r="A114" s="888"/>
      <c r="B114" s="889">
        <v>2.0</v>
      </c>
      <c r="C114" s="888"/>
      <c r="D114" s="889" t="s">
        <v>373</v>
      </c>
      <c r="E114" s="891">
        <f t="shared" ref="E114:G114" si="49">SUM(E115:E119)</f>
        <v>0</v>
      </c>
      <c r="F114" s="892">
        <f t="shared" si="49"/>
        <v>0</v>
      </c>
      <c r="G114" s="892">
        <f t="shared" si="49"/>
        <v>0</v>
      </c>
      <c r="H114" s="891"/>
      <c r="I114" s="891"/>
      <c r="J114" s="891"/>
      <c r="K114" s="891"/>
      <c r="L114" s="891"/>
      <c r="M114" s="943"/>
      <c r="N114" s="943"/>
      <c r="O114" s="943"/>
      <c r="P114" s="888"/>
      <c r="Q114" s="888"/>
      <c r="R114" s="941"/>
      <c r="S114" s="814"/>
      <c r="T114" s="814"/>
    </row>
    <row r="115">
      <c r="A115" s="821"/>
      <c r="B115" s="821"/>
      <c r="C115" s="822">
        <f t="shared" ref="C115:C119" si="50">ROW()-ROW(B$114)</f>
        <v>1</v>
      </c>
      <c r="D115" s="821"/>
      <c r="E115" s="897">
        <f t="shared" ref="E115:E119" si="51">COUNTA(D115)</f>
        <v>0</v>
      </c>
      <c r="F115" s="826"/>
      <c r="G115" s="826"/>
      <c r="H115" s="904"/>
      <c r="I115" s="904"/>
      <c r="J115" s="904"/>
      <c r="K115" s="904"/>
      <c r="L115" s="904"/>
      <c r="M115" s="826"/>
      <c r="N115" s="826"/>
      <c r="O115" s="826"/>
      <c r="P115" s="821"/>
      <c r="Q115" s="821"/>
      <c r="R115" s="827"/>
      <c r="S115" s="814"/>
      <c r="T115" s="814"/>
    </row>
    <row r="116">
      <c r="A116" s="821"/>
      <c r="B116" s="821"/>
      <c r="C116" s="822">
        <f t="shared" si="50"/>
        <v>2</v>
      </c>
      <c r="D116" s="821"/>
      <c r="E116" s="829">
        <f t="shared" si="51"/>
        <v>0</v>
      </c>
      <c r="F116" s="845"/>
      <c r="G116" s="845"/>
      <c r="H116" s="829"/>
      <c r="I116" s="829"/>
      <c r="J116" s="829"/>
      <c r="K116" s="829"/>
      <c r="L116" s="829"/>
      <c r="M116" s="845"/>
      <c r="N116" s="845"/>
      <c r="O116" s="845"/>
      <c r="P116" s="821"/>
      <c r="Q116" s="821"/>
      <c r="R116" s="827"/>
      <c r="S116" s="814"/>
      <c r="T116" s="814"/>
    </row>
    <row r="117">
      <c r="A117" s="821"/>
      <c r="B117" s="821"/>
      <c r="C117" s="822">
        <f t="shared" si="50"/>
        <v>3</v>
      </c>
      <c r="D117" s="910"/>
      <c r="E117" s="829">
        <f t="shared" si="51"/>
        <v>0</v>
      </c>
      <c r="F117" s="845"/>
      <c r="G117" s="845"/>
      <c r="H117" s="904"/>
      <c r="I117" s="904"/>
      <c r="J117" s="904"/>
      <c r="K117" s="904"/>
      <c r="L117" s="904"/>
      <c r="M117" s="845"/>
      <c r="N117" s="845"/>
      <c r="O117" s="845"/>
      <c r="P117" s="821"/>
      <c r="Q117" s="821"/>
      <c r="R117" s="827"/>
      <c r="S117" s="814"/>
      <c r="T117" s="814"/>
    </row>
    <row r="118">
      <c r="A118" s="821"/>
      <c r="B118" s="821"/>
      <c r="C118" s="822">
        <f t="shared" si="50"/>
        <v>4</v>
      </c>
      <c r="D118" s="910"/>
      <c r="E118" s="897">
        <f t="shared" si="51"/>
        <v>0</v>
      </c>
      <c r="F118" s="845"/>
      <c r="G118" s="845"/>
      <c r="H118" s="829"/>
      <c r="I118" s="829"/>
      <c r="J118" s="829"/>
      <c r="K118" s="829"/>
      <c r="L118" s="829"/>
      <c r="M118" s="845"/>
      <c r="N118" s="845"/>
      <c r="O118" s="845"/>
      <c r="P118" s="938"/>
      <c r="Q118" s="938"/>
      <c r="R118" s="939"/>
      <c r="S118" s="814"/>
      <c r="T118" s="814"/>
    </row>
    <row r="119">
      <c r="A119" s="821"/>
      <c r="B119" s="821"/>
      <c r="C119" s="822">
        <f t="shared" si="50"/>
        <v>5</v>
      </c>
      <c r="D119" s="910"/>
      <c r="E119" s="829">
        <f t="shared" si="51"/>
        <v>0</v>
      </c>
      <c r="F119" s="826"/>
      <c r="G119" s="826"/>
      <c r="H119" s="904"/>
      <c r="I119" s="904"/>
      <c r="J119" s="904"/>
      <c r="K119" s="904"/>
      <c r="L119" s="904"/>
      <c r="M119" s="826"/>
      <c r="N119" s="826"/>
      <c r="O119" s="826"/>
      <c r="P119" s="910"/>
      <c r="Q119" s="910"/>
      <c r="R119" s="937"/>
      <c r="S119" s="814"/>
      <c r="T119" s="814"/>
    </row>
    <row r="120">
      <c r="A120" s="888"/>
      <c r="B120" s="889">
        <v>3.0</v>
      </c>
      <c r="C120" s="888"/>
      <c r="D120" s="944" t="s">
        <v>374</v>
      </c>
      <c r="E120" s="891">
        <f t="shared" ref="E120:G120" si="52">SUM(E121:E125)</f>
        <v>0</v>
      </c>
      <c r="F120" s="892">
        <f t="shared" si="52"/>
        <v>0</v>
      </c>
      <c r="G120" s="892">
        <f t="shared" si="52"/>
        <v>0</v>
      </c>
      <c r="H120" s="891"/>
      <c r="I120" s="891"/>
      <c r="J120" s="891"/>
      <c r="K120" s="891"/>
      <c r="L120" s="891"/>
      <c r="M120" s="943"/>
      <c r="N120" s="943"/>
      <c r="O120" s="943"/>
      <c r="P120" s="888"/>
      <c r="Q120" s="888"/>
      <c r="R120" s="941"/>
      <c r="S120" s="814"/>
      <c r="T120" s="814"/>
    </row>
    <row r="121">
      <c r="A121" s="821"/>
      <c r="B121" s="821"/>
      <c r="C121" s="822">
        <f t="shared" ref="C121:C125" si="53">ROW()-ROW(B$120)</f>
        <v>1</v>
      </c>
      <c r="D121" s="945"/>
      <c r="E121" s="897">
        <f t="shared" ref="E121:E125" si="54">COUNTA(D121)</f>
        <v>0</v>
      </c>
      <c r="F121" s="946"/>
      <c r="G121" s="946"/>
      <c r="H121" s="829"/>
      <c r="I121" s="829"/>
      <c r="J121" s="829"/>
      <c r="K121" s="829"/>
      <c r="L121" s="829"/>
      <c r="M121" s="946"/>
      <c r="N121" s="946"/>
      <c r="O121" s="946"/>
      <c r="P121" s="821"/>
      <c r="Q121" s="821"/>
      <c r="R121" s="827"/>
      <c r="S121" s="814"/>
      <c r="T121" s="814"/>
    </row>
    <row r="122">
      <c r="A122" s="821"/>
      <c r="B122" s="821"/>
      <c r="C122" s="822">
        <f t="shared" si="53"/>
        <v>2</v>
      </c>
      <c r="D122" s="910"/>
      <c r="E122" s="829">
        <f t="shared" si="54"/>
        <v>0</v>
      </c>
      <c r="F122" s="946"/>
      <c r="G122" s="946"/>
      <c r="H122" s="829"/>
      <c r="I122" s="829"/>
      <c r="J122" s="829"/>
      <c r="K122" s="829"/>
      <c r="L122" s="829"/>
      <c r="M122" s="946"/>
      <c r="N122" s="946"/>
      <c r="O122" s="946"/>
      <c r="P122" s="821"/>
      <c r="Q122" s="821"/>
      <c r="R122" s="827"/>
      <c r="S122" s="814"/>
      <c r="T122" s="814"/>
    </row>
    <row r="123">
      <c r="A123" s="821"/>
      <c r="B123" s="821"/>
      <c r="C123" s="822">
        <f t="shared" si="53"/>
        <v>3</v>
      </c>
      <c r="D123" s="910"/>
      <c r="E123" s="829">
        <f t="shared" si="54"/>
        <v>0</v>
      </c>
      <c r="F123" s="946"/>
      <c r="G123" s="946"/>
      <c r="H123" s="829"/>
      <c r="I123" s="829"/>
      <c r="J123" s="829"/>
      <c r="K123" s="829"/>
      <c r="L123" s="829"/>
      <c r="M123" s="946"/>
      <c r="N123" s="946"/>
      <c r="O123" s="946"/>
      <c r="P123" s="938"/>
      <c r="Q123" s="938"/>
      <c r="R123" s="939"/>
      <c r="S123" s="814"/>
      <c r="T123" s="814"/>
    </row>
    <row r="124">
      <c r="A124" s="821"/>
      <c r="B124" s="821"/>
      <c r="C124" s="822">
        <f t="shared" si="53"/>
        <v>4</v>
      </c>
      <c r="D124" s="910"/>
      <c r="E124" s="897">
        <f t="shared" si="54"/>
        <v>0</v>
      </c>
      <c r="F124" s="946"/>
      <c r="G124" s="946"/>
      <c r="H124" s="829"/>
      <c r="I124" s="829"/>
      <c r="J124" s="829"/>
      <c r="K124" s="829"/>
      <c r="L124" s="829"/>
      <c r="M124" s="946"/>
      <c r="N124" s="946"/>
      <c r="O124" s="946"/>
      <c r="P124" s="821"/>
      <c r="Q124" s="821"/>
      <c r="R124" s="827"/>
      <c r="S124" s="814"/>
      <c r="T124" s="814"/>
    </row>
    <row r="125">
      <c r="A125" s="821"/>
      <c r="B125" s="821"/>
      <c r="C125" s="822">
        <f t="shared" si="53"/>
        <v>5</v>
      </c>
      <c r="D125" s="935"/>
      <c r="E125" s="829">
        <f t="shared" si="54"/>
        <v>0</v>
      </c>
      <c r="F125" s="947"/>
      <c r="G125" s="946"/>
      <c r="H125" s="904"/>
      <c r="I125" s="904"/>
      <c r="J125" s="904"/>
      <c r="K125" s="904"/>
      <c r="L125" s="904"/>
      <c r="M125" s="947"/>
      <c r="N125" s="947"/>
      <c r="O125" s="947"/>
      <c r="P125" s="906"/>
      <c r="Q125" s="906"/>
      <c r="R125" s="936"/>
      <c r="S125" s="814"/>
      <c r="T125" s="814"/>
    </row>
  </sheetData>
  <mergeCells count="20"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1:A3"/>
    <mergeCell ref="B1:B3"/>
    <mergeCell ref="C1:C3"/>
    <mergeCell ref="E1:H1"/>
    <mergeCell ref="I1:O1"/>
    <mergeCell ref="P1:Q1"/>
    <mergeCell ref="D2:D3"/>
    <mergeCell ref="Q2:Q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5.13"/>
  </cols>
  <sheetData>
    <row r="1" ht="22.5" customHeight="1">
      <c r="A1" s="948" t="s">
        <v>375</v>
      </c>
      <c r="B1" s="949" t="s">
        <v>376</v>
      </c>
      <c r="C1" s="949" t="s">
        <v>241</v>
      </c>
      <c r="D1" s="948" t="s">
        <v>97</v>
      </c>
      <c r="E1" s="948" t="s">
        <v>319</v>
      </c>
      <c r="F1" s="948" t="s">
        <v>377</v>
      </c>
      <c r="G1" s="948" t="s">
        <v>378</v>
      </c>
    </row>
    <row r="2" ht="18.75" customHeight="1">
      <c r="A2" s="950" t="str">
        <f>IFERROR(__xludf.DUMMYFUNCTION("QUERY({
QUERY(TRANSPOSE('31業務統計總表'!G2:N5), ""SELECT Col1, Col2, Col4"", 0);
QUERY(IMPORTRANGE(""https://docs.google.com/spreadsheets/d/14Gtvwy6lCGjn7263pvSyPPPzWEm88WpAFRYb3LxfKLg/"", ""'21彩虹市集_商業攤'!A:V""), ""SELECT '彩虹市集-商業攤', Col1, '小盛' WHERE Col22 = TR"&amp;"UE"", 0);
QUERY(IMPORTRANGE(""https://docs.google.com/spreadsheets/d/14Gtvwy6lCGjn7263pvSyPPPzWEm88WpAFRYb3LxfKLg/"", ""'22彩虹市集_NGO攤'!A:A""), ""SELECT '彩虹市集-NGO攤', Col1, '小艾' WHERE Col1 &lt;&gt;''"", 0)
}, ""SELECT * WHERE Col2 &lt;&gt; ''"", 0)"),"#VALUE!")</f>
        <v>#VALUE!</v>
      </c>
      <c r="B2" s="951"/>
      <c r="C2" s="951"/>
      <c r="D2" s="952"/>
      <c r="E2" s="952"/>
      <c r="F2" s="952"/>
      <c r="G2" s="952"/>
    </row>
    <row r="3" ht="18.75" customHeight="1">
      <c r="A3" s="950"/>
      <c r="B3" s="951"/>
      <c r="C3" s="951"/>
      <c r="D3" s="952"/>
      <c r="E3" s="952"/>
      <c r="F3" s="952"/>
      <c r="G3" s="952"/>
    </row>
    <row r="4" ht="18.75" customHeight="1">
      <c r="A4" s="950"/>
      <c r="B4" s="951"/>
      <c r="C4" s="951"/>
      <c r="D4" s="952"/>
      <c r="E4" s="952"/>
      <c r="F4" s="952"/>
      <c r="G4" s="952"/>
    </row>
    <row r="5" ht="18.75" customHeight="1">
      <c r="A5" s="950"/>
      <c r="B5" s="951"/>
      <c r="C5" s="951"/>
      <c r="D5" s="952"/>
      <c r="E5" s="952"/>
      <c r="F5" s="952"/>
      <c r="G5" s="952"/>
    </row>
    <row r="6" ht="18.75" customHeight="1">
      <c r="A6" s="950"/>
      <c r="B6" s="951"/>
      <c r="C6" s="951"/>
      <c r="D6" s="952"/>
      <c r="E6" s="952"/>
      <c r="F6" s="952"/>
      <c r="G6" s="952"/>
    </row>
    <row r="7" ht="18.75" customHeight="1">
      <c r="A7" s="950"/>
      <c r="B7" s="951"/>
      <c r="C7" s="951"/>
      <c r="D7" s="952"/>
      <c r="E7" s="952"/>
      <c r="F7" s="952"/>
      <c r="G7" s="952"/>
    </row>
    <row r="8" ht="18.75" customHeight="1">
      <c r="A8" s="950"/>
      <c r="B8" s="951"/>
      <c r="C8" s="951"/>
      <c r="D8" s="952"/>
      <c r="E8" s="952"/>
      <c r="F8" s="952"/>
      <c r="G8" s="952"/>
    </row>
    <row r="9" ht="18.75" customHeight="1">
      <c r="A9" s="950"/>
      <c r="B9" s="951"/>
      <c r="C9" s="951"/>
      <c r="D9" s="952"/>
      <c r="E9" s="952"/>
      <c r="F9" s="952"/>
      <c r="G9" s="952"/>
    </row>
    <row r="10" ht="18.75" customHeight="1">
      <c r="A10" s="950"/>
      <c r="B10" s="951"/>
      <c r="C10" s="951"/>
      <c r="D10" s="952"/>
      <c r="E10" s="952"/>
      <c r="F10" s="952"/>
      <c r="G10" s="952"/>
    </row>
    <row r="11" ht="18.75" customHeight="1">
      <c r="A11" s="950"/>
      <c r="B11" s="951"/>
      <c r="C11" s="951"/>
      <c r="D11" s="952"/>
      <c r="E11" s="952"/>
      <c r="F11" s="952"/>
      <c r="G11" s="952"/>
    </row>
    <row r="12" ht="18.75" customHeight="1">
      <c r="A12" s="950"/>
      <c r="B12" s="951"/>
      <c r="C12" s="951"/>
      <c r="D12" s="952"/>
      <c r="E12" s="952"/>
      <c r="F12" s="952"/>
      <c r="G12" s="952"/>
    </row>
    <row r="13" ht="18.75" customHeight="1">
      <c r="A13" s="950"/>
      <c r="B13" s="951"/>
      <c r="C13" s="951"/>
      <c r="D13" s="952"/>
      <c r="E13" s="952"/>
      <c r="F13" s="952"/>
      <c r="G13" s="952"/>
    </row>
    <row r="14" ht="18.75" customHeight="1">
      <c r="A14" s="950"/>
      <c r="B14" s="951"/>
      <c r="C14" s="951"/>
      <c r="D14" s="952"/>
      <c r="E14" s="952"/>
      <c r="F14" s="952"/>
      <c r="G14" s="952"/>
    </row>
    <row r="15" ht="18.75" customHeight="1">
      <c r="A15" s="950"/>
      <c r="B15" s="951"/>
      <c r="C15" s="951"/>
      <c r="D15" s="952"/>
      <c r="E15" s="952"/>
      <c r="F15" s="952"/>
      <c r="G15" s="952"/>
    </row>
    <row r="16" ht="18.75" customHeight="1">
      <c r="A16" s="950"/>
      <c r="B16" s="951"/>
      <c r="C16" s="951"/>
      <c r="D16" s="952"/>
      <c r="E16" s="952"/>
      <c r="F16" s="952"/>
      <c r="G16" s="952"/>
    </row>
    <row r="17" ht="18.75" customHeight="1">
      <c r="A17" s="950"/>
      <c r="B17" s="951"/>
      <c r="C17" s="951"/>
      <c r="D17" s="952"/>
      <c r="E17" s="952"/>
      <c r="F17" s="952"/>
      <c r="G17" s="952"/>
    </row>
    <row r="18" ht="18.75" customHeight="1">
      <c r="A18" s="950"/>
      <c r="B18" s="951"/>
      <c r="C18" s="951"/>
      <c r="D18" s="952"/>
      <c r="E18" s="952"/>
      <c r="F18" s="952"/>
      <c r="G18" s="952"/>
    </row>
    <row r="19" ht="18.75" customHeight="1">
      <c r="A19" s="950"/>
      <c r="B19" s="951"/>
      <c r="C19" s="951"/>
      <c r="D19" s="952"/>
      <c r="E19" s="952"/>
      <c r="F19" s="952"/>
      <c r="G19" s="952"/>
    </row>
    <row r="20" ht="18.75" customHeight="1">
      <c r="A20" s="950"/>
      <c r="B20" s="951"/>
      <c r="C20" s="951"/>
      <c r="D20" s="952"/>
      <c r="E20" s="952"/>
      <c r="F20" s="952"/>
      <c r="G20" s="952"/>
    </row>
    <row r="21" ht="18.75" customHeight="1">
      <c r="A21" s="950"/>
      <c r="B21" s="951"/>
      <c r="C21" s="951"/>
      <c r="D21" s="952"/>
      <c r="E21" s="952"/>
      <c r="F21" s="952"/>
      <c r="G21" s="952"/>
    </row>
    <row r="22" ht="18.75" customHeight="1">
      <c r="A22" s="950"/>
      <c r="B22" s="951"/>
      <c r="C22" s="951"/>
      <c r="D22" s="952"/>
      <c r="E22" s="952"/>
      <c r="F22" s="952"/>
      <c r="G22" s="952"/>
    </row>
    <row r="23" ht="18.75" customHeight="1">
      <c r="A23" s="950"/>
      <c r="B23" s="951"/>
      <c r="C23" s="951"/>
      <c r="D23" s="952"/>
      <c r="E23" s="952"/>
      <c r="F23" s="952"/>
      <c r="G23" s="952"/>
    </row>
    <row r="24" ht="18.75" customHeight="1">
      <c r="A24" s="950"/>
      <c r="B24" s="951"/>
      <c r="C24" s="951"/>
      <c r="D24" s="952"/>
      <c r="E24" s="952"/>
      <c r="F24" s="952"/>
      <c r="G24" s="952"/>
    </row>
    <row r="25" ht="18.75" customHeight="1">
      <c r="A25" s="950"/>
      <c r="B25" s="951"/>
      <c r="C25" s="951"/>
      <c r="D25" s="952"/>
      <c r="E25" s="952"/>
      <c r="F25" s="952"/>
      <c r="G25" s="952"/>
    </row>
    <row r="26" ht="18.75" customHeight="1">
      <c r="A26" s="950"/>
      <c r="B26" s="951"/>
      <c r="C26" s="951"/>
      <c r="D26" s="952"/>
      <c r="E26" s="952"/>
      <c r="F26" s="952"/>
      <c r="G26" s="952"/>
    </row>
    <row r="27" ht="18.75" customHeight="1">
      <c r="A27" s="950"/>
      <c r="B27" s="951"/>
      <c r="C27" s="951"/>
      <c r="D27" s="952"/>
      <c r="E27" s="952"/>
      <c r="F27" s="952"/>
      <c r="G27" s="952"/>
    </row>
    <row r="28" ht="18.75" customHeight="1">
      <c r="A28" s="950"/>
      <c r="B28" s="951"/>
      <c r="C28" s="951"/>
      <c r="D28" s="952"/>
      <c r="E28" s="952"/>
      <c r="F28" s="952"/>
      <c r="G28" s="952"/>
    </row>
    <row r="29" ht="18.75" customHeight="1">
      <c r="A29" s="950"/>
      <c r="B29" s="951"/>
      <c r="C29" s="951"/>
      <c r="D29" s="952"/>
      <c r="E29" s="952"/>
      <c r="F29" s="952"/>
      <c r="G29" s="952"/>
    </row>
    <row r="30" ht="18.75" customHeight="1">
      <c r="A30" s="950"/>
      <c r="B30" s="951"/>
      <c r="C30" s="951"/>
      <c r="D30" s="952"/>
      <c r="E30" s="952"/>
      <c r="F30" s="952"/>
      <c r="G30" s="952"/>
    </row>
    <row r="31" ht="18.75" customHeight="1">
      <c r="A31" s="950"/>
      <c r="B31" s="951"/>
      <c r="C31" s="951"/>
      <c r="D31" s="952"/>
      <c r="E31" s="952"/>
      <c r="F31" s="952"/>
      <c r="G31" s="952"/>
    </row>
    <row r="32" ht="18.75" customHeight="1">
      <c r="A32" s="950"/>
      <c r="B32" s="951"/>
      <c r="C32" s="951"/>
      <c r="D32" s="952"/>
      <c r="E32" s="952"/>
      <c r="F32" s="952"/>
      <c r="G32" s="952"/>
    </row>
    <row r="33" ht="18.75" customHeight="1">
      <c r="A33" s="950"/>
      <c r="B33" s="951"/>
      <c r="C33" s="951"/>
      <c r="D33" s="952"/>
      <c r="E33" s="952"/>
      <c r="F33" s="952"/>
      <c r="G33" s="952"/>
    </row>
    <row r="34" ht="18.75" customHeight="1">
      <c r="A34" s="950"/>
      <c r="B34" s="951"/>
      <c r="C34" s="951"/>
      <c r="D34" s="952"/>
      <c r="E34" s="952"/>
      <c r="F34" s="952"/>
      <c r="G34" s="952"/>
    </row>
    <row r="35" ht="18.75" customHeight="1">
      <c r="A35" s="950"/>
      <c r="B35" s="951"/>
      <c r="C35" s="951"/>
      <c r="D35" s="952"/>
      <c r="E35" s="952"/>
      <c r="F35" s="952"/>
      <c r="G35" s="952"/>
    </row>
    <row r="36" ht="18.75" customHeight="1">
      <c r="A36" s="950"/>
      <c r="B36" s="951"/>
      <c r="C36" s="951"/>
      <c r="D36" s="952"/>
      <c r="E36" s="952"/>
      <c r="F36" s="952"/>
      <c r="G36" s="952"/>
    </row>
    <row r="37" ht="18.75" customHeight="1">
      <c r="A37" s="950"/>
      <c r="B37" s="951"/>
      <c r="C37" s="951"/>
      <c r="D37" s="952"/>
      <c r="E37" s="952"/>
      <c r="F37" s="952"/>
      <c r="G37" s="952"/>
    </row>
    <row r="38" ht="18.75" customHeight="1">
      <c r="A38" s="950"/>
      <c r="B38" s="951"/>
      <c r="C38" s="951"/>
      <c r="D38" s="952"/>
      <c r="E38" s="952"/>
      <c r="F38" s="952"/>
      <c r="G38" s="952"/>
    </row>
    <row r="39" ht="18.75" customHeight="1">
      <c r="A39" s="950"/>
      <c r="B39" s="951"/>
      <c r="C39" s="951"/>
      <c r="D39" s="952"/>
      <c r="E39" s="952"/>
      <c r="F39" s="952"/>
      <c r="G39" s="952"/>
    </row>
    <row r="40" ht="18.75" customHeight="1">
      <c r="A40" s="950"/>
      <c r="B40" s="951"/>
      <c r="C40" s="951"/>
      <c r="D40" s="952"/>
      <c r="E40" s="952"/>
      <c r="F40" s="952"/>
      <c r="G40" s="952"/>
    </row>
    <row r="41" ht="18.75" customHeight="1">
      <c r="A41" s="950"/>
      <c r="B41" s="951"/>
      <c r="C41" s="951"/>
      <c r="D41" s="952"/>
      <c r="E41" s="952"/>
      <c r="F41" s="952"/>
      <c r="G41" s="952"/>
    </row>
    <row r="42" ht="18.75" customHeight="1">
      <c r="A42" s="950"/>
      <c r="B42" s="951"/>
      <c r="C42" s="951"/>
      <c r="D42" s="952"/>
      <c r="E42" s="952"/>
      <c r="F42" s="952"/>
      <c r="G42" s="952"/>
    </row>
    <row r="43" ht="18.75" customHeight="1">
      <c r="A43" s="950"/>
      <c r="B43" s="951"/>
      <c r="C43" s="951"/>
      <c r="D43" s="952"/>
      <c r="E43" s="952"/>
      <c r="F43" s="952"/>
      <c r="G43" s="952"/>
    </row>
    <row r="44" ht="18.75" customHeight="1">
      <c r="A44" s="950"/>
      <c r="B44" s="951"/>
      <c r="C44" s="951"/>
      <c r="D44" s="952"/>
      <c r="E44" s="952"/>
      <c r="F44" s="952"/>
      <c r="G44" s="952"/>
    </row>
    <row r="45" ht="18.75" customHeight="1">
      <c r="A45" s="950"/>
      <c r="B45" s="951"/>
      <c r="C45" s="951"/>
      <c r="D45" s="952"/>
      <c r="E45" s="952"/>
      <c r="F45" s="952"/>
      <c r="G45" s="952"/>
    </row>
    <row r="46" ht="18.75" customHeight="1">
      <c r="A46" s="950"/>
      <c r="B46" s="951"/>
      <c r="C46" s="951"/>
      <c r="D46" s="952"/>
      <c r="E46" s="952"/>
      <c r="F46" s="952"/>
      <c r="G46" s="952"/>
    </row>
    <row r="47" ht="18.75" customHeight="1">
      <c r="A47" s="950"/>
      <c r="B47" s="951"/>
      <c r="C47" s="951"/>
      <c r="D47" s="952"/>
      <c r="E47" s="952"/>
      <c r="F47" s="952"/>
      <c r="G47" s="952"/>
    </row>
    <row r="48" ht="18.75" customHeight="1">
      <c r="A48" s="950"/>
      <c r="B48" s="951"/>
      <c r="C48" s="951"/>
      <c r="D48" s="952"/>
      <c r="E48" s="952"/>
      <c r="F48" s="952"/>
      <c r="G48" s="952"/>
    </row>
    <row r="49" ht="18.75" customHeight="1">
      <c r="A49" s="950"/>
      <c r="B49" s="951"/>
      <c r="C49" s="951"/>
      <c r="D49" s="952"/>
      <c r="E49" s="952"/>
      <c r="F49" s="952"/>
      <c r="G49" s="952"/>
    </row>
    <row r="50" ht="18.75" customHeight="1">
      <c r="A50" s="950"/>
      <c r="B50" s="951"/>
      <c r="C50" s="951"/>
      <c r="D50" s="952"/>
      <c r="E50" s="952"/>
      <c r="F50" s="952"/>
      <c r="G50" s="952"/>
    </row>
    <row r="51" ht="18.75" customHeight="1">
      <c r="A51" s="950"/>
      <c r="B51" s="951"/>
      <c r="C51" s="951"/>
      <c r="D51" s="952"/>
      <c r="E51" s="952"/>
      <c r="F51" s="952"/>
      <c r="G51" s="952"/>
    </row>
    <row r="52" ht="18.75" customHeight="1">
      <c r="A52" s="950"/>
      <c r="B52" s="951"/>
      <c r="C52" s="951"/>
      <c r="D52" s="952"/>
      <c r="E52" s="952"/>
      <c r="F52" s="952"/>
      <c r="G52" s="952"/>
    </row>
    <row r="53" ht="18.75" customHeight="1">
      <c r="A53" s="950"/>
      <c r="B53" s="951"/>
      <c r="C53" s="951"/>
      <c r="D53" s="952"/>
      <c r="E53" s="952"/>
      <c r="F53" s="952"/>
      <c r="G53" s="952"/>
    </row>
    <row r="54" ht="18.75" customHeight="1">
      <c r="A54" s="950"/>
      <c r="B54" s="951"/>
      <c r="C54" s="951"/>
      <c r="D54" s="952"/>
      <c r="E54" s="952"/>
      <c r="F54" s="952"/>
      <c r="G54" s="952"/>
    </row>
    <row r="55" ht="18.75" customHeight="1">
      <c r="A55" s="950"/>
      <c r="B55" s="951"/>
      <c r="C55" s="951"/>
      <c r="D55" s="952"/>
      <c r="E55" s="952"/>
      <c r="F55" s="952"/>
      <c r="G55" s="952"/>
    </row>
    <row r="56" ht="18.75" customHeight="1">
      <c r="A56" s="950"/>
      <c r="B56" s="951"/>
      <c r="C56" s="951"/>
      <c r="D56" s="952"/>
      <c r="E56" s="952"/>
      <c r="F56" s="952"/>
      <c r="G56" s="952"/>
    </row>
    <row r="57" ht="18.75" customHeight="1">
      <c r="A57" s="950"/>
      <c r="B57" s="951"/>
      <c r="C57" s="951"/>
      <c r="D57" s="952"/>
      <c r="E57" s="952"/>
      <c r="F57" s="952"/>
      <c r="G57" s="952"/>
    </row>
    <row r="58" ht="18.75" customHeight="1">
      <c r="A58" s="950"/>
      <c r="B58" s="951"/>
      <c r="C58" s="951"/>
      <c r="D58" s="952"/>
      <c r="E58" s="952"/>
      <c r="F58" s="952"/>
      <c r="G58" s="952"/>
    </row>
    <row r="59" ht="18.75" customHeight="1">
      <c r="A59" s="950"/>
      <c r="B59" s="951"/>
      <c r="C59" s="951"/>
      <c r="D59" s="952"/>
      <c r="E59" s="952"/>
      <c r="F59" s="952"/>
      <c r="G59" s="952"/>
    </row>
    <row r="60" ht="18.75" customHeight="1">
      <c r="A60" s="950"/>
      <c r="B60" s="951"/>
      <c r="C60" s="951"/>
      <c r="D60" s="952"/>
      <c r="E60" s="952"/>
      <c r="F60" s="952"/>
      <c r="G60" s="952"/>
    </row>
    <row r="61" ht="18.75" customHeight="1">
      <c r="A61" s="950"/>
      <c r="B61" s="951"/>
      <c r="C61" s="951"/>
      <c r="D61" s="952"/>
      <c r="E61" s="952"/>
      <c r="F61" s="952"/>
      <c r="G61" s="952"/>
    </row>
    <row r="62" ht="18.75" customHeight="1">
      <c r="A62" s="950"/>
      <c r="B62" s="951"/>
      <c r="C62" s="951"/>
      <c r="D62" s="952"/>
      <c r="E62" s="952"/>
      <c r="F62" s="952"/>
      <c r="G62" s="952"/>
    </row>
    <row r="63" ht="18.75" customHeight="1">
      <c r="A63" s="950"/>
      <c r="B63" s="951"/>
      <c r="C63" s="951"/>
      <c r="D63" s="952"/>
      <c r="E63" s="952"/>
      <c r="F63" s="952"/>
      <c r="G63" s="952"/>
    </row>
    <row r="64" ht="18.75" customHeight="1">
      <c r="A64" s="950"/>
      <c r="B64" s="951"/>
      <c r="C64" s="951"/>
      <c r="D64" s="952"/>
      <c r="E64" s="952"/>
      <c r="F64" s="952"/>
      <c r="G64" s="952"/>
    </row>
    <row r="65" ht="18.75" customHeight="1">
      <c r="A65" s="950"/>
      <c r="B65" s="951"/>
      <c r="C65" s="951"/>
      <c r="D65" s="952"/>
      <c r="E65" s="952"/>
      <c r="F65" s="952"/>
      <c r="G65" s="952"/>
    </row>
    <row r="66" ht="18.75" customHeight="1">
      <c r="A66" s="950"/>
      <c r="B66" s="951"/>
      <c r="C66" s="951"/>
      <c r="D66" s="952"/>
      <c r="E66" s="952"/>
      <c r="F66" s="952"/>
      <c r="G66" s="952"/>
    </row>
    <row r="67" ht="18.75" customHeight="1">
      <c r="A67" s="950"/>
      <c r="B67" s="951"/>
      <c r="C67" s="951"/>
      <c r="D67" s="952"/>
      <c r="E67" s="952"/>
      <c r="F67" s="952"/>
      <c r="G67" s="952"/>
    </row>
    <row r="68" ht="18.75" customHeight="1">
      <c r="A68" s="950"/>
      <c r="B68" s="951"/>
      <c r="C68" s="951"/>
      <c r="D68" s="952"/>
      <c r="E68" s="952"/>
      <c r="F68" s="952"/>
      <c r="G68" s="952"/>
    </row>
    <row r="69" ht="18.75" customHeight="1">
      <c r="A69" s="950"/>
      <c r="B69" s="951"/>
      <c r="C69" s="951"/>
      <c r="D69" s="952"/>
      <c r="E69" s="952"/>
      <c r="F69" s="952"/>
      <c r="G69" s="952"/>
    </row>
    <row r="70" ht="18.75" customHeight="1">
      <c r="A70" s="950"/>
      <c r="B70" s="951"/>
      <c r="C70" s="951"/>
      <c r="D70" s="952"/>
      <c r="E70" s="952"/>
      <c r="F70" s="952"/>
      <c r="G70" s="952"/>
    </row>
    <row r="71" ht="18.75" customHeight="1">
      <c r="A71" s="950"/>
      <c r="B71" s="951"/>
      <c r="C71" s="951"/>
      <c r="D71" s="952"/>
      <c r="E71" s="952"/>
      <c r="F71" s="952"/>
      <c r="G71" s="952"/>
    </row>
    <row r="72" ht="18.75" customHeight="1">
      <c r="A72" s="950"/>
      <c r="B72" s="951"/>
      <c r="C72" s="951"/>
      <c r="D72" s="952"/>
      <c r="E72" s="952"/>
      <c r="F72" s="952"/>
      <c r="G72" s="952"/>
    </row>
    <row r="73" ht="18.75" customHeight="1">
      <c r="A73" s="950"/>
      <c r="B73" s="951"/>
      <c r="C73" s="951"/>
      <c r="D73" s="952"/>
      <c r="E73" s="952"/>
      <c r="F73" s="952"/>
      <c r="G73" s="952"/>
    </row>
    <row r="74" ht="18.75" customHeight="1">
      <c r="A74" s="950"/>
      <c r="B74" s="951"/>
      <c r="C74" s="951"/>
      <c r="D74" s="952"/>
      <c r="E74" s="952"/>
      <c r="F74" s="952"/>
      <c r="G74" s="952"/>
    </row>
    <row r="75" ht="18.75" customHeight="1">
      <c r="A75" s="950"/>
      <c r="B75" s="951"/>
      <c r="C75" s="951"/>
      <c r="D75" s="952"/>
      <c r="E75" s="952"/>
      <c r="F75" s="952"/>
      <c r="G75" s="952"/>
    </row>
    <row r="76" ht="18.75" customHeight="1">
      <c r="A76" s="950"/>
      <c r="B76" s="951"/>
      <c r="C76" s="951"/>
      <c r="D76" s="952"/>
      <c r="E76" s="952"/>
      <c r="F76" s="952"/>
      <c r="G76" s="952"/>
    </row>
    <row r="77" ht="18.75" customHeight="1">
      <c r="A77" s="950"/>
      <c r="B77" s="951"/>
      <c r="C77" s="951"/>
      <c r="D77" s="952"/>
      <c r="E77" s="952"/>
      <c r="F77" s="952"/>
      <c r="G77" s="952"/>
    </row>
    <row r="78" ht="18.75" customHeight="1">
      <c r="A78" s="950"/>
      <c r="B78" s="951"/>
      <c r="C78" s="951"/>
      <c r="D78" s="952"/>
      <c r="E78" s="952"/>
      <c r="F78" s="952"/>
      <c r="G78" s="952"/>
    </row>
    <row r="79" ht="18.75" customHeight="1">
      <c r="A79" s="950"/>
      <c r="B79" s="951"/>
      <c r="C79" s="951"/>
      <c r="D79" s="952"/>
      <c r="E79" s="952"/>
      <c r="F79" s="952"/>
      <c r="G79" s="952"/>
    </row>
    <row r="80" ht="18.75" customHeight="1">
      <c r="A80" s="950"/>
      <c r="B80" s="951"/>
      <c r="C80" s="951"/>
      <c r="D80" s="952"/>
      <c r="E80" s="952"/>
      <c r="F80" s="952"/>
      <c r="G80" s="952"/>
    </row>
    <row r="81" ht="18.75" customHeight="1">
      <c r="A81" s="950"/>
      <c r="B81" s="951"/>
      <c r="C81" s="951"/>
      <c r="D81" s="952"/>
      <c r="E81" s="952"/>
      <c r="F81" s="952"/>
      <c r="G81" s="952"/>
    </row>
    <row r="82" ht="18.75" customHeight="1">
      <c r="A82" s="950"/>
      <c r="B82" s="951"/>
      <c r="C82" s="951"/>
      <c r="D82" s="952"/>
      <c r="E82" s="952"/>
      <c r="F82" s="952"/>
      <c r="G82" s="952"/>
    </row>
    <row r="83" ht="18.75" customHeight="1">
      <c r="A83" s="950"/>
      <c r="B83" s="951"/>
      <c r="C83" s="951"/>
      <c r="D83" s="952"/>
      <c r="E83" s="952"/>
      <c r="F83" s="952"/>
      <c r="G83" s="952"/>
    </row>
    <row r="84" ht="18.75" customHeight="1">
      <c r="A84" s="950"/>
      <c r="B84" s="951"/>
      <c r="C84" s="951"/>
      <c r="D84" s="952"/>
      <c r="E84" s="952"/>
      <c r="F84" s="952"/>
      <c r="G84" s="952"/>
    </row>
    <row r="85" ht="18.75" customHeight="1">
      <c r="A85" s="950"/>
      <c r="B85" s="951"/>
      <c r="C85" s="951"/>
      <c r="D85" s="952"/>
      <c r="E85" s="952"/>
      <c r="F85" s="952"/>
      <c r="G85" s="952"/>
    </row>
    <row r="86" ht="18.75" customHeight="1">
      <c r="A86" s="950"/>
      <c r="B86" s="951"/>
      <c r="C86" s="951"/>
      <c r="D86" s="952"/>
      <c r="E86" s="952"/>
      <c r="F86" s="952"/>
      <c r="G86" s="952"/>
    </row>
    <row r="87" ht="18.75" customHeight="1">
      <c r="A87" s="950"/>
      <c r="B87" s="951"/>
      <c r="C87" s="951"/>
      <c r="D87" s="952"/>
      <c r="E87" s="952"/>
      <c r="F87" s="952"/>
      <c r="G87" s="952"/>
    </row>
    <row r="88" ht="18.75" customHeight="1">
      <c r="A88" s="950"/>
      <c r="B88" s="951"/>
      <c r="C88" s="951"/>
      <c r="D88" s="952"/>
      <c r="E88" s="952"/>
      <c r="F88" s="952"/>
      <c r="G88" s="952"/>
    </row>
    <row r="89" ht="18.75" customHeight="1">
      <c r="A89" s="950"/>
      <c r="B89" s="951"/>
      <c r="C89" s="951"/>
      <c r="D89" s="952"/>
      <c r="E89" s="952"/>
      <c r="F89" s="952"/>
      <c r="G89" s="952"/>
    </row>
    <row r="90" ht="18.75" customHeight="1">
      <c r="A90" s="950"/>
      <c r="B90" s="951"/>
      <c r="C90" s="951"/>
      <c r="D90" s="952"/>
      <c r="E90" s="952"/>
      <c r="F90" s="952"/>
      <c r="G90" s="952"/>
    </row>
    <row r="91" ht="18.75" customHeight="1">
      <c r="A91" s="950"/>
      <c r="B91" s="951"/>
      <c r="C91" s="951"/>
      <c r="D91" s="952"/>
      <c r="E91" s="952"/>
      <c r="F91" s="952"/>
      <c r="G91" s="952"/>
    </row>
    <row r="92" ht="18.75" customHeight="1">
      <c r="A92" s="950"/>
      <c r="B92" s="951"/>
      <c r="C92" s="951"/>
      <c r="D92" s="952"/>
      <c r="E92" s="952"/>
      <c r="F92" s="952"/>
      <c r="G92" s="952"/>
    </row>
    <row r="93" ht="18.75" customHeight="1">
      <c r="A93" s="950"/>
      <c r="B93" s="951"/>
      <c r="C93" s="951"/>
      <c r="D93" s="952"/>
      <c r="E93" s="952"/>
      <c r="F93" s="952"/>
      <c r="G93" s="952"/>
    </row>
    <row r="94" ht="18.75" customHeight="1">
      <c r="A94" s="950"/>
      <c r="B94" s="951"/>
      <c r="C94" s="951"/>
      <c r="D94" s="952"/>
      <c r="E94" s="952"/>
      <c r="F94" s="952"/>
      <c r="G94" s="952"/>
    </row>
    <row r="95" ht="18.75" customHeight="1">
      <c r="A95" s="950"/>
      <c r="B95" s="951"/>
      <c r="C95" s="951"/>
      <c r="D95" s="952"/>
      <c r="E95" s="952"/>
      <c r="F95" s="952"/>
      <c r="G95" s="952"/>
    </row>
    <row r="96" ht="18.75" customHeight="1">
      <c r="A96" s="950"/>
      <c r="B96" s="951"/>
      <c r="C96" s="951"/>
      <c r="D96" s="952"/>
      <c r="E96" s="952"/>
      <c r="F96" s="952"/>
      <c r="G96" s="952"/>
    </row>
    <row r="97" ht="18.75" customHeight="1">
      <c r="A97" s="950"/>
      <c r="B97" s="951"/>
      <c r="C97" s="951"/>
      <c r="D97" s="952"/>
      <c r="E97" s="952"/>
      <c r="F97" s="952"/>
      <c r="G97" s="952"/>
    </row>
    <row r="98" ht="18.75" customHeight="1">
      <c r="A98" s="950"/>
      <c r="B98" s="951"/>
      <c r="C98" s="951"/>
      <c r="D98" s="952"/>
      <c r="E98" s="952"/>
      <c r="F98" s="952"/>
      <c r="G98" s="952"/>
    </row>
    <row r="99" ht="18.75" customHeight="1">
      <c r="A99" s="950"/>
      <c r="B99" s="951"/>
      <c r="C99" s="951"/>
      <c r="D99" s="952"/>
      <c r="E99" s="952"/>
      <c r="F99" s="952"/>
      <c r="G99" s="952"/>
    </row>
    <row r="100" ht="18.75" customHeight="1">
      <c r="A100" s="950"/>
      <c r="B100" s="951"/>
      <c r="C100" s="951"/>
      <c r="D100" s="952"/>
      <c r="E100" s="952"/>
      <c r="F100" s="952"/>
      <c r="G100" s="952"/>
    </row>
    <row r="101" ht="18.75" customHeight="1">
      <c r="A101" s="950"/>
      <c r="B101" s="951"/>
      <c r="C101" s="951"/>
      <c r="D101" s="952"/>
      <c r="E101" s="952"/>
      <c r="F101" s="952"/>
      <c r="G101" s="952"/>
    </row>
    <row r="102" ht="18.75" customHeight="1">
      <c r="A102" s="950"/>
      <c r="B102" s="951"/>
      <c r="C102" s="951"/>
      <c r="D102" s="952"/>
      <c r="E102" s="952"/>
      <c r="F102" s="952"/>
      <c r="G102" s="952"/>
    </row>
    <row r="103" ht="18.75" customHeight="1">
      <c r="A103" s="950"/>
      <c r="B103" s="951"/>
      <c r="C103" s="951"/>
      <c r="D103" s="952"/>
      <c r="E103" s="952"/>
      <c r="F103" s="952"/>
      <c r="G103" s="952"/>
    </row>
    <row r="104" ht="18.75" customHeight="1">
      <c r="A104" s="950"/>
      <c r="B104" s="951"/>
      <c r="C104" s="951"/>
      <c r="D104" s="952"/>
      <c r="E104" s="952"/>
      <c r="F104" s="952"/>
      <c r="G104" s="952"/>
    </row>
    <row r="105" ht="18.75" customHeight="1">
      <c r="A105" s="950"/>
      <c r="B105" s="951"/>
      <c r="C105" s="951"/>
      <c r="D105" s="952"/>
      <c r="E105" s="952"/>
      <c r="F105" s="952"/>
      <c r="G105" s="952"/>
    </row>
    <row r="106" ht="18.75" customHeight="1">
      <c r="A106" s="950"/>
      <c r="B106" s="951"/>
      <c r="C106" s="951"/>
      <c r="D106" s="952"/>
      <c r="E106" s="952"/>
      <c r="F106" s="952"/>
      <c r="G106" s="952"/>
    </row>
    <row r="107" ht="18.75" customHeight="1">
      <c r="A107" s="950"/>
      <c r="B107" s="951"/>
      <c r="C107" s="951"/>
      <c r="D107" s="952"/>
      <c r="E107" s="952"/>
      <c r="F107" s="952"/>
      <c r="G107" s="952"/>
    </row>
    <row r="108" ht="18.75" customHeight="1">
      <c r="A108" s="950"/>
      <c r="B108" s="951"/>
      <c r="C108" s="951"/>
      <c r="D108" s="952"/>
      <c r="E108" s="952"/>
      <c r="F108" s="952"/>
      <c r="G108" s="952"/>
    </row>
    <row r="109" ht="18.75" customHeight="1">
      <c r="A109" s="950"/>
      <c r="B109" s="951"/>
      <c r="C109" s="951"/>
      <c r="D109" s="952"/>
      <c r="E109" s="952"/>
      <c r="F109" s="952"/>
      <c r="G109" s="952"/>
    </row>
    <row r="110" ht="18.75" customHeight="1">
      <c r="A110" s="950"/>
      <c r="B110" s="951"/>
      <c r="C110" s="951"/>
      <c r="D110" s="952"/>
      <c r="E110" s="952"/>
      <c r="F110" s="952"/>
      <c r="G110" s="952"/>
    </row>
    <row r="111" ht="18.75" customHeight="1">
      <c r="A111" s="950"/>
      <c r="B111" s="951"/>
      <c r="C111" s="951"/>
      <c r="D111" s="952"/>
      <c r="E111" s="952"/>
      <c r="F111" s="952"/>
      <c r="G111" s="952"/>
    </row>
    <row r="112" ht="18.75" customHeight="1">
      <c r="A112" s="950"/>
      <c r="B112" s="951"/>
      <c r="C112" s="951"/>
      <c r="D112" s="952"/>
      <c r="E112" s="952"/>
      <c r="F112" s="952"/>
      <c r="G112" s="952"/>
    </row>
    <row r="113" ht="18.75" customHeight="1">
      <c r="A113" s="950"/>
      <c r="B113" s="951"/>
      <c r="C113" s="951"/>
      <c r="D113" s="952"/>
      <c r="E113" s="952"/>
      <c r="F113" s="952"/>
      <c r="G113" s="952"/>
    </row>
    <row r="114" ht="18.75" customHeight="1">
      <c r="A114" s="950"/>
      <c r="B114" s="951"/>
      <c r="C114" s="951"/>
      <c r="D114" s="952"/>
      <c r="E114" s="952"/>
      <c r="F114" s="952"/>
      <c r="G114" s="952"/>
    </row>
    <row r="115" ht="18.75" customHeight="1">
      <c r="A115" s="950"/>
      <c r="B115" s="951"/>
      <c r="C115" s="951"/>
      <c r="D115" s="952"/>
      <c r="E115" s="952"/>
      <c r="F115" s="952"/>
      <c r="G115" s="952"/>
    </row>
    <row r="116" ht="18.75" customHeight="1">
      <c r="A116" s="950"/>
      <c r="B116" s="951"/>
      <c r="C116" s="951"/>
      <c r="D116" s="952"/>
      <c r="E116" s="952"/>
      <c r="F116" s="952"/>
      <c r="G116" s="952"/>
    </row>
    <row r="117" ht="18.75" customHeight="1">
      <c r="A117" s="950"/>
      <c r="B117" s="951"/>
      <c r="C117" s="951"/>
      <c r="D117" s="952"/>
      <c r="E117" s="952"/>
      <c r="F117" s="952"/>
      <c r="G117" s="952"/>
    </row>
    <row r="118" ht="18.75" customHeight="1">
      <c r="A118" s="950"/>
      <c r="B118" s="951"/>
      <c r="C118" s="951"/>
      <c r="D118" s="952"/>
      <c r="E118" s="952"/>
      <c r="F118" s="952"/>
      <c r="G118" s="952"/>
    </row>
    <row r="119" ht="18.75" customHeight="1">
      <c r="A119" s="950"/>
      <c r="B119" s="951"/>
      <c r="C119" s="951"/>
      <c r="D119" s="952"/>
      <c r="E119" s="952"/>
      <c r="F119" s="952"/>
      <c r="G119" s="952"/>
    </row>
    <row r="120" ht="18.75" customHeight="1">
      <c r="A120" s="950"/>
      <c r="B120" s="951"/>
      <c r="C120" s="951"/>
      <c r="D120" s="952"/>
      <c r="E120" s="952"/>
      <c r="F120" s="952"/>
      <c r="G120" s="952"/>
    </row>
    <row r="121" ht="18.75" customHeight="1">
      <c r="A121" s="950"/>
      <c r="B121" s="951"/>
      <c r="C121" s="951"/>
      <c r="D121" s="952"/>
      <c r="E121" s="952"/>
      <c r="F121" s="952"/>
      <c r="G121" s="952"/>
    </row>
    <row r="122" ht="18.75" customHeight="1">
      <c r="A122" s="950"/>
      <c r="B122" s="951"/>
      <c r="C122" s="951"/>
      <c r="D122" s="952"/>
      <c r="E122" s="952"/>
      <c r="F122" s="952"/>
      <c r="G122" s="952"/>
    </row>
  </sheetData>
  <conditionalFormatting sqref="A2:A122">
    <cfRule type="beginsWith" dxfId="21" priority="1" operator="beginsWith" text="白金">
      <formula>LEFT((A2),LEN("白金"))=("白金")</formula>
    </cfRule>
  </conditionalFormatting>
  <conditionalFormatting sqref="A2:A122">
    <cfRule type="beginsWith" dxfId="22" priority="2" operator="beginsWith" text="黃金">
      <formula>LEFT((A2),LEN("黃金"))=("黃金")</formula>
    </cfRule>
  </conditionalFormatting>
  <conditionalFormatting sqref="A2:A122">
    <cfRule type="beginsWith" dxfId="23" priority="3" operator="beginsWith" text="白銀">
      <formula>LEFT((A2),LEN("白銀"))=("白銀")</formula>
    </cfRule>
  </conditionalFormatting>
  <conditionalFormatting sqref="A2:A122">
    <cfRule type="beginsWith" dxfId="24" priority="4" operator="beginsWith" text="銀">
      <formula>LEFT((A2),LEN("銀"))=("銀")</formula>
    </cfRule>
  </conditionalFormatting>
  <conditionalFormatting sqref="A2:A122">
    <cfRule type="cellIs" dxfId="25" priority="5" operator="equal">
      <formula>"單買"</formula>
    </cfRule>
  </conditionalFormatting>
  <conditionalFormatting sqref="A2:A122">
    <cfRule type="beginsWith" dxfId="26" priority="6" operator="beginsWith" text="其他">
      <formula>LEFT((A2),LEN("其他"))=("其他")</formula>
    </cfRule>
  </conditionalFormatting>
  <conditionalFormatting sqref="A1:G122">
    <cfRule type="cellIs" dxfId="27" priority="7" operator="equal">
      <formula>"彩虹市集"</formula>
    </cfRule>
  </conditionalFormatting>
  <conditionalFormatting sqref="A2:A122">
    <cfRule type="cellIs" dxfId="28" priority="8" operator="equal">
      <formula>"松菸市集"</formula>
    </cfRule>
  </conditionalFormatting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5.13"/>
    <col customWidth="1" min="5" max="5" width="25.13"/>
  </cols>
  <sheetData>
    <row r="1" ht="22.5" customHeight="1">
      <c r="A1" s="948" t="s">
        <v>95</v>
      </c>
      <c r="B1" s="953" t="s">
        <v>96</v>
      </c>
      <c r="C1" s="948" t="s">
        <v>97</v>
      </c>
      <c r="D1" s="948" t="s">
        <v>375</v>
      </c>
      <c r="E1" s="948" t="s">
        <v>379</v>
      </c>
    </row>
    <row r="2" ht="18.75" customHeight="1">
      <c r="A2" s="948"/>
      <c r="B2" s="954"/>
      <c r="C2" s="952"/>
      <c r="D2" s="955" t="s">
        <v>61</v>
      </c>
      <c r="E2" s="956"/>
    </row>
    <row r="3" ht="18.75" customHeight="1">
      <c r="A3" s="950"/>
      <c r="B3" s="954"/>
      <c r="C3" s="952"/>
      <c r="D3" s="955" t="s">
        <v>61</v>
      </c>
      <c r="E3" s="957"/>
    </row>
    <row r="4" ht="18.75" customHeight="1">
      <c r="A4" s="950"/>
      <c r="B4" s="954"/>
      <c r="C4" s="952"/>
      <c r="D4" s="958"/>
      <c r="E4" s="959"/>
    </row>
    <row r="5" ht="18.75" customHeight="1">
      <c r="A5" s="950"/>
      <c r="B5" s="954"/>
      <c r="C5" s="952"/>
      <c r="D5" s="958"/>
      <c r="E5" s="957"/>
    </row>
    <row r="6" ht="18.75" customHeight="1">
      <c r="A6" s="950"/>
      <c r="B6" s="954"/>
      <c r="C6" s="952"/>
      <c r="D6" s="958"/>
      <c r="E6" s="957"/>
    </row>
    <row r="7" ht="18.75" customHeight="1">
      <c r="A7" s="950"/>
      <c r="B7" s="954"/>
      <c r="C7" s="952"/>
      <c r="D7" s="958"/>
      <c r="E7" s="957"/>
    </row>
    <row r="8" ht="18.75" customHeight="1">
      <c r="A8" s="950"/>
      <c r="B8" s="954"/>
      <c r="C8" s="952"/>
      <c r="D8" s="958"/>
      <c r="E8" s="957"/>
    </row>
    <row r="9" ht="18.75" customHeight="1">
      <c r="A9" s="950"/>
      <c r="B9" s="954"/>
      <c r="C9" s="952"/>
      <c r="D9" s="958"/>
      <c r="E9" s="957"/>
    </row>
    <row r="10" ht="18.75" customHeight="1">
      <c r="A10" s="950"/>
      <c r="B10" s="954"/>
      <c r="C10" s="952"/>
      <c r="D10" s="958"/>
      <c r="E10" s="957"/>
    </row>
    <row r="11" ht="18.75" customHeight="1">
      <c r="A11" s="950"/>
      <c r="B11" s="954"/>
      <c r="C11" s="952"/>
      <c r="D11" s="958"/>
      <c r="E11" s="957"/>
    </row>
    <row r="12" ht="18.75" customHeight="1">
      <c r="A12" s="950"/>
      <c r="B12" s="954"/>
      <c r="C12" s="952"/>
      <c r="D12" s="958"/>
      <c r="E12" s="957"/>
    </row>
    <row r="13" ht="18.75" customHeight="1">
      <c r="A13" s="950"/>
      <c r="B13" s="954"/>
      <c r="C13" s="952"/>
      <c r="D13" s="958"/>
      <c r="E13" s="957"/>
    </row>
    <row r="14" ht="18.75" customHeight="1">
      <c r="A14" s="950"/>
      <c r="B14" s="954"/>
      <c r="C14" s="952"/>
      <c r="D14" s="958"/>
      <c r="E14" s="957"/>
    </row>
    <row r="15" ht="18.75" customHeight="1">
      <c r="A15" s="950"/>
      <c r="B15" s="954"/>
      <c r="C15" s="952"/>
      <c r="D15" s="958"/>
      <c r="E15" s="957"/>
    </row>
    <row r="16" ht="18.75" customHeight="1">
      <c r="A16" s="950"/>
      <c r="B16" s="954"/>
      <c r="C16" s="952"/>
      <c r="D16" s="958"/>
      <c r="E16" s="957"/>
    </row>
    <row r="17" ht="18.75" customHeight="1">
      <c r="A17" s="950"/>
      <c r="B17" s="954"/>
      <c r="C17" s="952"/>
      <c r="D17" s="958"/>
      <c r="E17" s="957"/>
    </row>
    <row r="18" ht="18.75" customHeight="1">
      <c r="A18" s="950"/>
      <c r="B18" s="954"/>
      <c r="C18" s="952"/>
      <c r="D18" s="958"/>
      <c r="E18" s="957"/>
    </row>
    <row r="19" ht="18.75" customHeight="1">
      <c r="A19" s="950"/>
      <c r="B19" s="954"/>
      <c r="C19" s="952"/>
      <c r="D19" s="958"/>
      <c r="E19" s="957"/>
    </row>
    <row r="20" ht="18.75" customHeight="1">
      <c r="A20" s="950"/>
      <c r="B20" s="954"/>
      <c r="C20" s="952"/>
      <c r="D20" s="958"/>
      <c r="E20" s="957"/>
    </row>
    <row r="21" ht="18.75" customHeight="1">
      <c r="A21" s="950"/>
      <c r="B21" s="954"/>
      <c r="C21" s="952"/>
      <c r="D21" s="958"/>
      <c r="E21" s="957"/>
    </row>
    <row r="22" ht="18.75" customHeight="1">
      <c r="A22" s="950"/>
      <c r="B22" s="954"/>
      <c r="C22" s="952"/>
      <c r="D22" s="958"/>
      <c r="E22" s="957"/>
    </row>
    <row r="23" ht="18.75" customHeight="1">
      <c r="A23" s="950"/>
      <c r="B23" s="954"/>
      <c r="C23" s="952"/>
      <c r="D23" s="958"/>
      <c r="E23" s="957"/>
    </row>
    <row r="24" ht="18.75" customHeight="1">
      <c r="A24" s="950"/>
      <c r="B24" s="954"/>
      <c r="C24" s="952"/>
      <c r="D24" s="958"/>
      <c r="E24" s="957"/>
    </row>
    <row r="25" ht="18.75" customHeight="1">
      <c r="A25" s="950"/>
      <c r="B25" s="954"/>
      <c r="C25" s="952"/>
      <c r="D25" s="958"/>
      <c r="E25" s="957"/>
    </row>
    <row r="26" ht="18.75" customHeight="1">
      <c r="A26" s="950"/>
      <c r="B26" s="954"/>
      <c r="C26" s="952"/>
      <c r="D26" s="958"/>
      <c r="E26" s="957"/>
    </row>
    <row r="27" ht="18.75" customHeight="1">
      <c r="A27" s="950"/>
      <c r="B27" s="954"/>
      <c r="C27" s="952"/>
      <c r="D27" s="958"/>
      <c r="E27" s="957"/>
    </row>
    <row r="28" ht="18.75" customHeight="1">
      <c r="A28" s="950"/>
      <c r="B28" s="954"/>
      <c r="C28" s="952"/>
      <c r="D28" s="958"/>
      <c r="E28" s="957"/>
    </row>
    <row r="29" ht="18.75" customHeight="1">
      <c r="A29" s="950"/>
      <c r="B29" s="954"/>
      <c r="C29" s="952"/>
      <c r="D29" s="958"/>
      <c r="E29" s="957"/>
    </row>
    <row r="30" ht="18.75" customHeight="1">
      <c r="A30" s="950"/>
      <c r="B30" s="954"/>
      <c r="C30" s="952"/>
      <c r="D30" s="958"/>
      <c r="E30" s="957"/>
    </row>
    <row r="31" ht="18.75" customHeight="1">
      <c r="A31" s="950"/>
      <c r="B31" s="954"/>
      <c r="C31" s="952"/>
      <c r="D31" s="958"/>
      <c r="E31" s="957"/>
    </row>
    <row r="32" ht="18.75" customHeight="1">
      <c r="A32" s="950"/>
      <c r="B32" s="954"/>
      <c r="C32" s="952"/>
      <c r="D32" s="958"/>
      <c r="E32" s="957"/>
    </row>
    <row r="33" ht="18.75" customHeight="1">
      <c r="A33" s="950"/>
      <c r="B33" s="954"/>
      <c r="C33" s="952"/>
      <c r="D33" s="958"/>
      <c r="E33" s="957"/>
    </row>
    <row r="34" ht="18.75" customHeight="1">
      <c r="A34" s="950"/>
      <c r="B34" s="954"/>
      <c r="C34" s="952"/>
      <c r="D34" s="958"/>
      <c r="E34" s="957"/>
    </row>
    <row r="35" ht="18.75" customHeight="1">
      <c r="A35" s="950"/>
      <c r="B35" s="954"/>
      <c r="C35" s="952"/>
      <c r="D35" s="958"/>
      <c r="E35" s="957"/>
    </row>
    <row r="36" ht="18.75" customHeight="1">
      <c r="A36" s="950"/>
      <c r="B36" s="954"/>
      <c r="C36" s="952"/>
      <c r="D36" s="958"/>
      <c r="E36" s="957"/>
    </row>
    <row r="37" ht="18.75" customHeight="1">
      <c r="A37" s="950"/>
      <c r="B37" s="954"/>
      <c r="C37" s="952"/>
      <c r="D37" s="958"/>
      <c r="E37" s="957"/>
    </row>
    <row r="38" ht="18.75" customHeight="1">
      <c r="A38" s="950"/>
      <c r="B38" s="954"/>
      <c r="C38" s="952"/>
      <c r="D38" s="958"/>
      <c r="E38" s="957"/>
    </row>
    <row r="39" ht="18.75" customHeight="1">
      <c r="A39" s="950"/>
      <c r="B39" s="954"/>
      <c r="C39" s="952"/>
      <c r="D39" s="958"/>
      <c r="E39" s="957"/>
    </row>
    <row r="40" ht="18.75" customHeight="1">
      <c r="A40" s="950"/>
      <c r="B40" s="954"/>
      <c r="C40" s="952"/>
      <c r="D40" s="958"/>
      <c r="E40" s="957"/>
    </row>
    <row r="41" ht="18.75" customHeight="1">
      <c r="A41" s="950"/>
      <c r="B41" s="954"/>
      <c r="C41" s="952"/>
      <c r="D41" s="958"/>
      <c r="E41" s="957"/>
    </row>
    <row r="42" ht="18.75" customHeight="1">
      <c r="A42" s="950"/>
      <c r="B42" s="954"/>
      <c r="C42" s="952"/>
      <c r="D42" s="958"/>
      <c r="E42" s="957"/>
    </row>
    <row r="43" ht="18.75" customHeight="1">
      <c r="A43" s="950"/>
      <c r="B43" s="954"/>
      <c r="C43" s="952"/>
      <c r="D43" s="958"/>
      <c r="E43" s="957"/>
    </row>
    <row r="44" ht="18.75" customHeight="1">
      <c r="A44" s="950"/>
      <c r="B44" s="954"/>
      <c r="C44" s="952"/>
      <c r="D44" s="958"/>
      <c r="E44" s="957"/>
    </row>
    <row r="45" ht="18.75" customHeight="1">
      <c r="A45" s="950"/>
      <c r="B45" s="954"/>
      <c r="C45" s="952"/>
      <c r="D45" s="958"/>
      <c r="E45" s="957"/>
    </row>
    <row r="46" ht="18.75" customHeight="1">
      <c r="A46" s="950"/>
      <c r="B46" s="954"/>
      <c r="C46" s="952"/>
      <c r="D46" s="958"/>
      <c r="E46" s="957"/>
    </row>
    <row r="47" ht="18.75" customHeight="1">
      <c r="A47" s="950"/>
      <c r="B47" s="954"/>
      <c r="C47" s="952"/>
      <c r="D47" s="958"/>
      <c r="E47" s="957"/>
    </row>
    <row r="48" ht="18.75" customHeight="1">
      <c r="A48" s="950"/>
      <c r="B48" s="954"/>
      <c r="C48" s="952"/>
      <c r="D48" s="958"/>
      <c r="E48" s="957"/>
    </row>
    <row r="49" ht="18.75" customHeight="1">
      <c r="A49" s="950"/>
      <c r="B49" s="954"/>
      <c r="C49" s="952"/>
      <c r="D49" s="958"/>
      <c r="E49" s="957"/>
    </row>
    <row r="50" ht="18.75" customHeight="1">
      <c r="A50" s="950"/>
      <c r="B50" s="954"/>
      <c r="C50" s="952"/>
      <c r="D50" s="958"/>
      <c r="E50" s="957"/>
    </row>
    <row r="51" ht="18.75" customHeight="1">
      <c r="A51" s="950"/>
      <c r="B51" s="954"/>
      <c r="C51" s="952"/>
      <c r="D51" s="958"/>
      <c r="E51" s="957"/>
    </row>
    <row r="52" ht="18.75" customHeight="1">
      <c r="A52" s="950"/>
      <c r="B52" s="954"/>
      <c r="C52" s="952"/>
      <c r="D52" s="958"/>
      <c r="E52" s="957"/>
    </row>
    <row r="53" ht="18.75" customHeight="1">
      <c r="A53" s="950"/>
      <c r="B53" s="954"/>
      <c r="C53" s="952"/>
      <c r="D53" s="958"/>
      <c r="E53" s="957"/>
    </row>
    <row r="54" ht="18.75" customHeight="1">
      <c r="A54" s="950"/>
      <c r="B54" s="954"/>
      <c r="C54" s="952"/>
      <c r="D54" s="958"/>
      <c r="E54" s="957"/>
    </row>
    <row r="55" ht="18.75" customHeight="1">
      <c r="A55" s="950"/>
      <c r="B55" s="954"/>
      <c r="C55" s="952"/>
      <c r="D55" s="958"/>
      <c r="E55" s="957"/>
    </row>
    <row r="56" ht="18.75" customHeight="1">
      <c r="A56" s="950"/>
      <c r="B56" s="954"/>
      <c r="C56" s="952"/>
      <c r="D56" s="958"/>
      <c r="E56" s="957"/>
    </row>
    <row r="57" ht="18.75" customHeight="1">
      <c r="A57" s="950"/>
      <c r="B57" s="954"/>
      <c r="C57" s="952"/>
      <c r="D57" s="958"/>
      <c r="E57" s="957"/>
    </row>
    <row r="58" ht="18.75" customHeight="1">
      <c r="A58" s="950"/>
      <c r="B58" s="954"/>
      <c r="C58" s="952"/>
      <c r="D58" s="958"/>
      <c r="E58" s="957"/>
    </row>
    <row r="59" ht="18.75" customHeight="1">
      <c r="A59" s="950"/>
      <c r="B59" s="954"/>
      <c r="C59" s="952"/>
      <c r="D59" s="958"/>
      <c r="E59" s="957"/>
    </row>
    <row r="60" ht="18.75" customHeight="1">
      <c r="A60" s="950"/>
      <c r="B60" s="954"/>
      <c r="C60" s="952"/>
      <c r="D60" s="958"/>
      <c r="E60" s="957"/>
    </row>
    <row r="61" ht="18.75" customHeight="1">
      <c r="A61" s="950"/>
      <c r="B61" s="954"/>
      <c r="C61" s="952"/>
      <c r="D61" s="958"/>
      <c r="E61" s="957"/>
    </row>
    <row r="62" ht="18.75" customHeight="1">
      <c r="A62" s="950"/>
      <c r="B62" s="954"/>
      <c r="C62" s="952"/>
      <c r="D62" s="958"/>
      <c r="E62" s="957"/>
    </row>
    <row r="63" ht="18.75" customHeight="1">
      <c r="A63" s="950"/>
      <c r="B63" s="954"/>
      <c r="C63" s="952"/>
      <c r="D63" s="958"/>
      <c r="E63" s="957"/>
    </row>
    <row r="64" ht="18.75" customHeight="1">
      <c r="A64" s="950"/>
      <c r="B64" s="954"/>
      <c r="C64" s="952"/>
      <c r="D64" s="958"/>
      <c r="E64" s="957"/>
    </row>
    <row r="65" ht="18.75" customHeight="1">
      <c r="A65" s="950"/>
      <c r="B65" s="954"/>
      <c r="C65" s="952"/>
      <c r="D65" s="958"/>
      <c r="E65" s="957"/>
    </row>
    <row r="66" ht="18.75" customHeight="1">
      <c r="A66" s="950"/>
      <c r="B66" s="954"/>
      <c r="C66" s="952"/>
      <c r="D66" s="958"/>
      <c r="E66" s="957"/>
    </row>
    <row r="67" ht="18.75" customHeight="1">
      <c r="A67" s="950"/>
      <c r="B67" s="954"/>
      <c r="C67" s="952"/>
      <c r="D67" s="958"/>
      <c r="E67" s="957"/>
    </row>
    <row r="68" ht="18.75" customHeight="1">
      <c r="A68" s="950"/>
      <c r="B68" s="954"/>
      <c r="C68" s="952"/>
      <c r="D68" s="958"/>
      <c r="E68" s="957"/>
    </row>
    <row r="69" ht="18.75" customHeight="1">
      <c r="A69" s="950"/>
      <c r="B69" s="954"/>
      <c r="C69" s="952"/>
      <c r="D69" s="958"/>
      <c r="E69" s="957"/>
    </row>
    <row r="70" ht="18.75" customHeight="1">
      <c r="A70" s="950"/>
      <c r="B70" s="954"/>
      <c r="C70" s="952"/>
      <c r="D70" s="958"/>
      <c r="E70" s="957"/>
    </row>
    <row r="71" ht="18.75" customHeight="1">
      <c r="A71" s="950"/>
      <c r="B71" s="954"/>
      <c r="C71" s="952"/>
      <c r="D71" s="958"/>
      <c r="E71" s="957"/>
    </row>
    <row r="72" ht="18.75" customHeight="1">
      <c r="A72" s="950"/>
      <c r="B72" s="954"/>
      <c r="C72" s="952"/>
      <c r="D72" s="958"/>
      <c r="E72" s="957"/>
    </row>
    <row r="73" ht="18.75" customHeight="1">
      <c r="A73" s="950"/>
      <c r="B73" s="954"/>
      <c r="C73" s="952"/>
      <c r="D73" s="958"/>
      <c r="E73" s="957"/>
    </row>
    <row r="74" ht="18.75" customHeight="1">
      <c r="A74" s="950"/>
      <c r="B74" s="954"/>
      <c r="C74" s="952"/>
      <c r="D74" s="958"/>
      <c r="E74" s="957"/>
    </row>
    <row r="75" ht="18.75" customHeight="1">
      <c r="A75" s="950"/>
      <c r="B75" s="954"/>
      <c r="C75" s="952"/>
      <c r="D75" s="958"/>
      <c r="E75" s="957"/>
    </row>
    <row r="76" ht="18.75" customHeight="1">
      <c r="A76" s="950"/>
      <c r="B76" s="954"/>
      <c r="C76" s="952"/>
      <c r="D76" s="958"/>
      <c r="E76" s="957"/>
    </row>
    <row r="77" ht="18.75" customHeight="1">
      <c r="A77" s="950"/>
      <c r="B77" s="954"/>
      <c r="C77" s="952"/>
      <c r="D77" s="958"/>
      <c r="E77" s="957"/>
    </row>
    <row r="78" ht="18.75" customHeight="1">
      <c r="A78" s="950"/>
      <c r="B78" s="954"/>
      <c r="C78" s="952"/>
      <c r="D78" s="958"/>
      <c r="E78" s="957"/>
    </row>
    <row r="79" ht="18.75" customHeight="1">
      <c r="A79" s="950"/>
      <c r="B79" s="954"/>
      <c r="C79" s="952"/>
      <c r="D79" s="958"/>
      <c r="E79" s="957"/>
    </row>
    <row r="80" ht="18.75" customHeight="1">
      <c r="A80" s="950"/>
      <c r="B80" s="954"/>
      <c r="C80" s="952"/>
      <c r="D80" s="958"/>
      <c r="E80" s="957"/>
    </row>
    <row r="81" ht="18.75" customHeight="1">
      <c r="A81" s="950"/>
      <c r="B81" s="954"/>
      <c r="C81" s="952"/>
      <c r="D81" s="958"/>
      <c r="E81" s="957"/>
    </row>
    <row r="82" ht="18.75" customHeight="1">
      <c r="A82" s="950"/>
      <c r="B82" s="954"/>
      <c r="C82" s="952"/>
      <c r="D82" s="958"/>
      <c r="E82" s="957"/>
    </row>
    <row r="83" ht="18.75" customHeight="1">
      <c r="A83" s="950"/>
      <c r="B83" s="954"/>
      <c r="C83" s="952"/>
      <c r="D83" s="958"/>
      <c r="E83" s="957"/>
    </row>
    <row r="84" ht="18.75" customHeight="1">
      <c r="A84" s="950"/>
      <c r="B84" s="954"/>
      <c r="C84" s="952"/>
      <c r="D84" s="958"/>
      <c r="E84" s="957"/>
    </row>
    <row r="85" ht="18.75" customHeight="1">
      <c r="A85" s="950"/>
      <c r="B85" s="954"/>
      <c r="C85" s="952"/>
      <c r="D85" s="958"/>
      <c r="E85" s="957"/>
    </row>
    <row r="86" ht="18.75" customHeight="1">
      <c r="A86" s="950"/>
      <c r="B86" s="954"/>
      <c r="C86" s="952"/>
      <c r="D86" s="958"/>
      <c r="E86" s="957"/>
    </row>
    <row r="87" ht="18.75" customHeight="1">
      <c r="A87" s="950"/>
      <c r="B87" s="954"/>
      <c r="C87" s="952"/>
      <c r="D87" s="958"/>
      <c r="E87" s="957"/>
    </row>
    <row r="88" ht="18.75" customHeight="1">
      <c r="A88" s="950"/>
      <c r="B88" s="954"/>
      <c r="C88" s="952"/>
      <c r="D88" s="958"/>
      <c r="E88" s="957"/>
    </row>
    <row r="89" ht="18.75" customHeight="1">
      <c r="A89" s="950"/>
      <c r="B89" s="954"/>
      <c r="C89" s="952"/>
      <c r="D89" s="958"/>
      <c r="E89" s="957"/>
    </row>
    <row r="90" ht="18.75" customHeight="1">
      <c r="A90" s="950"/>
      <c r="B90" s="954"/>
      <c r="C90" s="952"/>
      <c r="D90" s="958"/>
      <c r="E90" s="957"/>
    </row>
    <row r="91" ht="18.75" customHeight="1">
      <c r="A91" s="950"/>
      <c r="B91" s="954"/>
      <c r="C91" s="952"/>
      <c r="D91" s="958"/>
      <c r="E91" s="957"/>
    </row>
    <row r="92" ht="18.75" customHeight="1">
      <c r="A92" s="950"/>
      <c r="B92" s="954"/>
      <c r="C92" s="952"/>
      <c r="D92" s="958"/>
      <c r="E92" s="957"/>
    </row>
    <row r="93" ht="18.75" customHeight="1">
      <c r="A93" s="950"/>
      <c r="B93" s="954"/>
      <c r="C93" s="952"/>
      <c r="D93" s="958"/>
      <c r="E93" s="957"/>
    </row>
    <row r="94" ht="18.75" customHeight="1">
      <c r="A94" s="950"/>
      <c r="B94" s="954"/>
      <c r="C94" s="952"/>
      <c r="D94" s="958"/>
      <c r="E94" s="957"/>
    </row>
    <row r="95" ht="18.75" customHeight="1">
      <c r="A95" s="950"/>
      <c r="B95" s="954"/>
      <c r="C95" s="952"/>
      <c r="D95" s="958"/>
      <c r="E95" s="957"/>
    </row>
    <row r="96" ht="18.75" customHeight="1">
      <c r="A96" s="950"/>
      <c r="B96" s="954"/>
      <c r="C96" s="952"/>
      <c r="D96" s="958"/>
      <c r="E96" s="957"/>
    </row>
    <row r="97" ht="18.75" customHeight="1">
      <c r="A97" s="950"/>
      <c r="B97" s="954"/>
      <c r="C97" s="952"/>
      <c r="D97" s="958"/>
      <c r="E97" s="957"/>
    </row>
    <row r="98" ht="18.75" customHeight="1">
      <c r="A98" s="950"/>
      <c r="B98" s="954"/>
      <c r="C98" s="952"/>
      <c r="D98" s="958"/>
      <c r="E98" s="957"/>
    </row>
    <row r="99" ht="18.75" customHeight="1">
      <c r="A99" s="950"/>
      <c r="B99" s="954"/>
      <c r="C99" s="952"/>
      <c r="D99" s="958"/>
      <c r="E99" s="957"/>
    </row>
    <row r="100" ht="18.75" customHeight="1">
      <c r="A100" s="950"/>
      <c r="B100" s="954"/>
      <c r="C100" s="952"/>
      <c r="D100" s="958"/>
      <c r="E100" s="957"/>
    </row>
    <row r="101" ht="18.75" customHeight="1">
      <c r="A101" s="950"/>
      <c r="B101" s="954"/>
      <c r="C101" s="952"/>
      <c r="D101" s="958"/>
      <c r="E101" s="957"/>
    </row>
    <row r="102" ht="18.75" customHeight="1">
      <c r="A102" s="950"/>
      <c r="B102" s="954"/>
      <c r="C102" s="952"/>
      <c r="D102" s="958"/>
      <c r="E102" s="957"/>
    </row>
    <row r="103" ht="18.75" customHeight="1">
      <c r="A103" s="950"/>
      <c r="B103" s="954"/>
      <c r="C103" s="952"/>
      <c r="D103" s="958"/>
      <c r="E103" s="957"/>
    </row>
    <row r="104" ht="18.75" customHeight="1">
      <c r="A104" s="950"/>
      <c r="B104" s="954"/>
      <c r="C104" s="952"/>
      <c r="D104" s="958"/>
      <c r="E104" s="957"/>
    </row>
    <row r="105" ht="18.75" customHeight="1">
      <c r="A105" s="950"/>
      <c r="B105" s="954"/>
      <c r="C105" s="952"/>
      <c r="D105" s="958"/>
      <c r="E105" s="957"/>
    </row>
    <row r="106" ht="18.75" customHeight="1">
      <c r="A106" s="950"/>
      <c r="B106" s="954"/>
      <c r="C106" s="952"/>
      <c r="D106" s="958"/>
      <c r="E106" s="957"/>
    </row>
    <row r="107" ht="18.75" customHeight="1">
      <c r="A107" s="950"/>
      <c r="B107" s="954"/>
      <c r="C107" s="952"/>
      <c r="D107" s="958"/>
      <c r="E107" s="957"/>
    </row>
    <row r="108" ht="18.75" customHeight="1">
      <c r="A108" s="950"/>
      <c r="B108" s="954"/>
      <c r="C108" s="952"/>
      <c r="D108" s="958"/>
      <c r="E108" s="957"/>
    </row>
    <row r="109" ht="18.75" customHeight="1">
      <c r="A109" s="950"/>
      <c r="B109" s="954"/>
      <c r="C109" s="952"/>
      <c r="D109" s="958"/>
      <c r="E109" s="957"/>
    </row>
    <row r="110" ht="18.75" customHeight="1">
      <c r="A110" s="950"/>
      <c r="B110" s="954"/>
      <c r="C110" s="952"/>
      <c r="D110" s="958"/>
      <c r="E110" s="957"/>
    </row>
    <row r="111" ht="18.75" customHeight="1">
      <c r="A111" s="950"/>
      <c r="B111" s="954"/>
      <c r="C111" s="952"/>
      <c r="D111" s="958"/>
      <c r="E111" s="957"/>
    </row>
    <row r="112" ht="18.75" customHeight="1">
      <c r="A112" s="950"/>
      <c r="B112" s="954"/>
      <c r="C112" s="952"/>
      <c r="D112" s="958"/>
      <c r="E112" s="957"/>
    </row>
    <row r="113" ht="18.75" customHeight="1">
      <c r="A113" s="950"/>
      <c r="B113" s="954"/>
      <c r="C113" s="952"/>
      <c r="D113" s="958"/>
      <c r="E113" s="957"/>
    </row>
    <row r="114" ht="18.75" customHeight="1">
      <c r="A114" s="950"/>
      <c r="B114" s="954"/>
      <c r="C114" s="952"/>
      <c r="D114" s="958"/>
      <c r="E114" s="957"/>
    </row>
    <row r="115" ht="18.75" customHeight="1">
      <c r="A115" s="950"/>
      <c r="B115" s="954"/>
      <c r="C115" s="952"/>
      <c r="D115" s="958"/>
      <c r="E115" s="957"/>
    </row>
    <row r="116" ht="18.75" customHeight="1">
      <c r="A116" s="950"/>
      <c r="B116" s="954"/>
      <c r="C116" s="952"/>
      <c r="D116" s="958"/>
      <c r="E116" s="957"/>
    </row>
    <row r="117" ht="18.75" customHeight="1">
      <c r="A117" s="950"/>
      <c r="B117" s="954"/>
      <c r="C117" s="952"/>
      <c r="D117" s="958"/>
      <c r="E117" s="957"/>
    </row>
    <row r="118" ht="18.75" customHeight="1">
      <c r="A118" s="950"/>
      <c r="B118" s="954"/>
      <c r="C118" s="952"/>
      <c r="D118" s="958"/>
      <c r="E118" s="957"/>
    </row>
    <row r="119" ht="18.75" customHeight="1">
      <c r="A119" s="950"/>
      <c r="B119" s="954"/>
      <c r="C119" s="952"/>
      <c r="D119" s="958"/>
      <c r="E119" s="957"/>
    </row>
    <row r="120" ht="18.75" customHeight="1">
      <c r="A120" s="950"/>
      <c r="B120" s="954"/>
      <c r="C120" s="952"/>
      <c r="D120" s="958"/>
      <c r="E120" s="957"/>
    </row>
    <row r="121" ht="18.75" customHeight="1">
      <c r="A121" s="950"/>
      <c r="B121" s="954"/>
      <c r="C121" s="952"/>
      <c r="D121" s="958"/>
      <c r="E121" s="957"/>
    </row>
    <row r="122" ht="18.75" customHeight="1">
      <c r="A122" s="950"/>
      <c r="B122" s="954"/>
      <c r="C122" s="952"/>
      <c r="D122" s="958"/>
      <c r="E122" s="957"/>
    </row>
  </sheetData>
  <conditionalFormatting sqref="A2:B122">
    <cfRule type="beginsWith" dxfId="21" priority="1" operator="beginsWith" text="白金">
      <formula>LEFT((A2),LEN("白金"))=("白金")</formula>
    </cfRule>
  </conditionalFormatting>
  <conditionalFormatting sqref="A2:B122">
    <cfRule type="beginsWith" dxfId="22" priority="2" operator="beginsWith" text="黃金">
      <formula>LEFT((A2),LEN("黃金"))=("黃金")</formula>
    </cfRule>
  </conditionalFormatting>
  <conditionalFormatting sqref="A2:B122">
    <cfRule type="beginsWith" dxfId="23" priority="3" operator="beginsWith" text="白銀">
      <formula>LEFT((A2),LEN("白銀"))=("白銀")</formula>
    </cfRule>
  </conditionalFormatting>
  <conditionalFormatting sqref="A2:B122">
    <cfRule type="beginsWith" dxfId="24" priority="4" operator="beginsWith" text="銀">
      <formula>LEFT((A2),LEN("銀"))=("銀")</formula>
    </cfRule>
  </conditionalFormatting>
  <conditionalFormatting sqref="A2:B122">
    <cfRule type="cellIs" dxfId="25" priority="5" operator="equal">
      <formula>"單買"</formula>
    </cfRule>
  </conditionalFormatting>
  <conditionalFormatting sqref="A2:B122">
    <cfRule type="beginsWith" dxfId="26" priority="6" operator="beginsWith" text="其他">
      <formula>LEFT((A2),LEN("其他"))=("其他")</formula>
    </cfRule>
  </conditionalFormatting>
  <conditionalFormatting sqref="A1:E122">
    <cfRule type="cellIs" dxfId="27" priority="7" operator="equal">
      <formula>"彩虹市集"</formula>
    </cfRule>
  </conditionalFormatting>
  <conditionalFormatting sqref="A2:B122">
    <cfRule type="cellIs" dxfId="28" priority="8" operator="equal">
      <formula>"松菸市集"</formula>
    </cfRule>
  </conditionalFormatting>
  <dataValidations>
    <dataValidation type="list" allowBlank="1" sqref="A2:A122">
      <formula1>"台幣帳戶,外幣帳戶"</formula1>
    </dataValidation>
    <dataValidation type="list" allowBlank="1" showErrorMessage="1" sqref="D2:D122">
      <formula1>'321 贊助商收款明細'!$A$2:$A122</formula1>
    </dataValidation>
    <dataValidation type="custom" allowBlank="1" showDropDown="1" showInputMessage="1" prompt="輸入可滿足以下公式的值： =QUERY('321 贊助商收款明細'!$A$2:$B$122, &quot;SELECT B WHERE A = '&quot; &amp; $D2 &amp; &quot;'&quot;)" sqref="E2">
      <formula1>QUERY('321 贊助商收款明細'!$A$2:$B$122, "SELECT B WHERE A = '" &amp; $D2 &amp; "'")</formula1>
    </dataValidation>
    <dataValidation type="custom" allowBlank="1" showDropDown="1" sqref="E3:E122">
      <formula1>QUERY('321 贊助商收款明細'!$A$2:$B$122, "SELECT B WHERE A = '" &amp; D3 &amp; "'")</formula1>
    </dataValidation>
  </dataValidations>
  <drawing r:id="rId1"/>
  <tableParts count="1">
    <tablePart r:id="rId3"/>
  </tableParts>
</worksheet>
</file>