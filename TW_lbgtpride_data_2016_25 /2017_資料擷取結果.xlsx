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017_dim_donor (新增)" sheetId="2" state="visible" r:id="rId2"/>
    <sheet xmlns:r="http://schemas.openxmlformats.org/officeDocument/2006/relationships" name="2017_dim_year" sheetId="3" state="visible" r:id="rId3"/>
    <sheet xmlns:r="http://schemas.openxmlformats.org/officeDocument/2006/relationships" name="2017_map_item_year" sheetId="4" state="visible" r:id="rId4"/>
    <sheet xmlns:r="http://schemas.openxmlformats.org/officeDocument/2006/relationships" name="2017_fact_sponsorship" sheetId="5" state="visible" r:id="rId5"/>
    <sheet xmlns:r="http://schemas.openxmlformats.org/officeDocument/2006/relationships" name="2017_fact_item_pick" sheetId="6" state="visible" r:id="rId6"/>
    <sheet xmlns:r="http://schemas.openxmlformats.org/officeDocument/2006/relationships" name="2017_fact_market_booth" sheetId="7" state="visible" r:id="rId7"/>
    <sheet xmlns:r="http://schemas.openxmlformats.org/officeDocument/2006/relationships" name="回流分析" sheetId="8" state="visible" r:id="rId8"/>
    <sheet xmlns:r="http://schemas.openxmlformats.org/officeDocument/2006/relationships" name="修訂紀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FFFFFF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D5E3F0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1" t="inlineStr">
        <is>
          <t>2017 年贊助資料擷取結果</t>
        </is>
      </c>
    </row>
    <row r="3">
      <c r="A3" t="inlineStr">
        <is>
          <t>來源檔案</t>
        </is>
      </c>
      <c r="B3" t="inlineStr">
        <is>
          <t>2017廠商聯絡彙總表__1_.xlsx</t>
        </is>
      </c>
    </row>
    <row r="4">
      <c r="A4" t="inlineStr">
        <is>
          <t>採用分頁</t>
        </is>
      </c>
      <c r="B4" t="inlineStr">
        <is>
          <t>廠商一覽表（品項）+ 廠商入帳及收據提供（金額認定為主）</t>
        </is>
      </c>
    </row>
    <row r="5">
      <c r="A5" t="inlineStr">
        <is>
          <t>忽略分頁</t>
        </is>
      </c>
      <c r="B5" t="inlineStr">
        <is>
          <t>觸控科技一覽表 — 為觸控的內部品項清單，已於主表整合</t>
        </is>
      </c>
    </row>
    <row r="6">
      <c r="A6" t="inlineStr"/>
      <c r="B6" t="inlineStr"/>
    </row>
    <row r="7">
      <c r="A7" s="2">
        <f>== 統計 ===</f>
        <v/>
      </c>
      <c r="B7" t="inlineStr"/>
    </row>
    <row r="8">
      <c r="A8" t="inlineStr">
        <is>
          <t>總廠商數</t>
        </is>
      </c>
      <c r="B8" t="inlineStr">
        <is>
          <t>20 家</t>
        </is>
      </c>
    </row>
    <row r="9">
      <c r="A9" t="inlineStr">
        <is>
          <t xml:space="preserve">  回流（2016 也有贊助）</t>
        </is>
      </c>
      <c r="B9" t="inlineStr">
        <is>
          <t>8 家</t>
        </is>
      </c>
    </row>
    <row r="10">
      <c r="A10" t="inlineStr">
        <is>
          <t xml:space="preserve">  新增</t>
        </is>
      </c>
      <c r="B10" t="inlineStr">
        <is>
          <t>12 家</t>
        </is>
      </c>
    </row>
    <row r="11">
      <c r="A11" t="inlineStr">
        <is>
          <t xml:space="preserve">  排除</t>
        </is>
      </c>
      <c r="B11" t="inlineStr">
        <is>
          <t>1 家（同志咨詢熱線，協辦團體）</t>
        </is>
      </c>
    </row>
    <row r="12">
      <c r="A12" t="inlineStr">
        <is>
          <t>總贊助金額（報價）</t>
        </is>
      </c>
      <c r="B12" t="inlineStr">
        <is>
          <t>NTD 1,494,500</t>
        </is>
      </c>
    </row>
    <row r="13">
      <c r="A13" t="inlineStr"/>
      <c r="B13" t="inlineStr"/>
    </row>
    <row r="14">
      <c r="A14" s="2">
        <f>== 分類結果 ===</f>
        <v/>
      </c>
      <c r="B14" t="inlineStr"/>
    </row>
    <row r="15">
      <c r="A15" t="inlineStr">
        <is>
          <t xml:space="preserve">  fact_sponsorship 已付款</t>
        </is>
      </c>
      <c r="B15" t="inlineStr">
        <is>
          <t>17 家</t>
        </is>
      </c>
    </row>
    <row r="16">
      <c r="A16" t="inlineStr">
        <is>
          <t xml:space="preserve">  fact_sponsorship 未付款</t>
        </is>
      </c>
      <c r="B16" t="inlineStr">
        <is>
          <t>2 家（觸控科技 315k、Tokyo RBP 47k）</t>
        </is>
      </c>
    </row>
    <row r="17">
      <c r="A17" t="inlineStr">
        <is>
          <t xml:space="preserve">  fact_market_booth</t>
        </is>
      </c>
      <c r="B17" t="inlineStr">
        <is>
          <t>1 家（國際人權特赦組織 20k）</t>
        </is>
      </c>
    </row>
    <row r="18">
      <c r="A18" t="inlineStr"/>
      <c r="B18" t="inlineStr"/>
    </row>
    <row r="19">
      <c r="A19" s="2">
        <f>== 2017 主級別分布 ===</f>
        <v/>
      </c>
      <c r="B19" t="inlineStr"/>
    </row>
    <row r="20">
      <c r="A20" t="inlineStr">
        <is>
          <t xml:space="preserve">  T3（300k–499k）</t>
        </is>
      </c>
      <c r="B20" t="inlineStr">
        <is>
          <t>1 家（觸控科技，未付款）</t>
        </is>
      </c>
    </row>
    <row r="21">
      <c r="A21" t="inlineStr">
        <is>
          <t xml:space="preserve">  T5（40k–149k）</t>
        </is>
      </c>
      <c r="B21" t="inlineStr">
        <is>
          <t>15 家</t>
        </is>
      </c>
    </row>
    <row r="22">
      <c r="A22" t="inlineStr">
        <is>
          <t xml:space="preserve">  T6（&lt; 40k）</t>
        </is>
      </c>
      <c r="B22" t="inlineStr">
        <is>
          <t>4 家</t>
        </is>
      </c>
    </row>
    <row r="23">
      <c r="A23" t="inlineStr"/>
      <c r="B23" t="inlineStr"/>
    </row>
    <row r="24">
      <c r="A24" s="2">
        <f>== 處理規則一致性 ===</f>
        <v/>
      </c>
      <c r="B24" t="inlineStr"/>
    </row>
    <row r="25">
      <c r="A25" t="inlineStr">
        <is>
          <t xml:space="preserve">  決策 1（粉紅/酷兒 → T6）</t>
        </is>
      </c>
      <c r="B25" t="inlineStr">
        <is>
          <t>GaGaoLaLa（20k 商業攤位）→ 同邏輯歸入 T6</t>
        </is>
      </c>
    </row>
    <row r="26">
      <c r="A26" t="inlineStr">
        <is>
          <t xml:space="preserve">  決策 2（不考慮實收）</t>
        </is>
      </c>
      <c r="B26" t="inlineStr">
        <is>
          <t>所有金額採用財務表「贊助金額」欄</t>
        </is>
      </c>
    </row>
    <row r="27">
      <c r="A27" t="inlineStr">
        <is>
          <t xml:space="preserve">  決策 3（協辦不列入）</t>
        </is>
      </c>
      <c r="B27" t="inlineStr">
        <is>
          <t>同志咨詢熱線排除（含其 25k 入帳）</t>
        </is>
      </c>
    </row>
    <row r="28">
      <c r="A28" t="inlineStr">
        <is>
          <t xml:space="preserve">  決策 4（未付款保留）</t>
        </is>
      </c>
      <c r="B28" t="inlineStr">
        <is>
          <t>觸控、Tokyo RBP 保留為未付款</t>
        </is>
      </c>
    </row>
    <row r="29">
      <c r="A29" t="inlineStr"/>
      <c r="B29" t="inlineStr"/>
    </row>
    <row r="30">
      <c r="A30" s="2">
        <f>== 重要備註 ===</f>
        <v/>
      </c>
      <c r="B30" t="inlineStr"/>
    </row>
    <row r="31">
      <c r="A31" t="inlineStr">
        <is>
          <t>觸控科技</t>
        </is>
      </c>
      <c r="B31" t="inlineStr">
        <is>
          <t>報價 315,000（7 個品項），全數未付款。2017 年最大規模贊助計畫，但未實際入帳。</t>
        </is>
      </c>
    </row>
    <row r="32">
      <c r="A32" t="inlineStr">
        <is>
          <t>花旗商銀</t>
        </is>
      </c>
      <c r="B32" t="inlineStr">
        <is>
          <t>7,500，僅出現在財務表，無對應品項紀錄。屬「未指定品項」的小額贊助。</t>
        </is>
      </c>
    </row>
    <row r="33">
      <c r="A33" t="inlineStr">
        <is>
          <t>雪豹科技</t>
        </is>
      </c>
      <c r="B33" t="inlineStr">
        <is>
          <t>主表中誤植為「雲豹科技」，本檔案統一為財務表的「雪豹科技」。</t>
        </is>
      </c>
    </row>
    <row r="34">
      <c r="A34" t="inlineStr">
        <is>
          <t>Hornet</t>
        </is>
      </c>
      <c r="B34" t="inlineStr">
        <is>
          <t>2016 報價 50k 未付款 → 2017 報價 60k 已付款，成功轉換。</t>
        </is>
      </c>
    </row>
    <row r="35">
      <c r="A35" t="inlineStr">
        <is>
          <t>Tokyo RBP</t>
        </is>
      </c>
      <c r="B35" t="inlineStr">
        <is>
          <t>2016 報價 30k 未付款 → 2017 報價 47k 仍未付款，連續 2 年未轉換。</t>
        </is>
      </c>
    </row>
    <row r="36">
      <c r="A36" t="inlineStr">
        <is>
          <t>UBer</t>
        </is>
      </c>
      <c r="B36" t="inlineStr">
        <is>
          <t>2016 出現於記錄但無報價無入帳 → 2017 首次正式贊助 100k。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29" customWidth="1" min="3" max="3"/>
    <col width="8" customWidth="1" min="4" max="4"/>
    <col width="16" customWidth="1" min="5" max="5"/>
    <col width="7" customWidth="1" min="6" max="6"/>
    <col width="9" customWidth="1" min="7" max="7"/>
    <col width="9" customWidth="1" min="8" max="8"/>
    <col width="10" customWidth="1" min="9" max="9"/>
    <col width="21" customWidth="1" min="10" max="10"/>
    <col width="10" customWidth="1" min="11" max="11"/>
    <col width="10" customWidth="1" min="12" max="12"/>
    <col width="28" customWidth="1" min="13" max="13"/>
  </cols>
  <sheetData>
    <row r="1">
      <c r="A1" s="3" t="inlineStr">
        <is>
          <t>廠商編號</t>
        </is>
      </c>
      <c r="B1" s="3" t="inlineStr">
        <is>
          <t>標準名稱</t>
        </is>
      </c>
      <c r="C1" s="3" t="inlineStr">
        <is>
          <t>英文名稱</t>
        </is>
      </c>
      <c r="D1" s="3" t="inlineStr">
        <is>
          <t>別名清單</t>
        </is>
      </c>
      <c r="E1" s="3" t="inlineStr">
        <is>
          <t>產業分類</t>
        </is>
      </c>
      <c r="F1" s="3" t="inlineStr">
        <is>
          <t>母公司</t>
        </is>
      </c>
      <c r="G1" s="3" t="inlineStr">
        <is>
          <t>首次贊助年</t>
        </is>
      </c>
      <c r="H1" s="3" t="inlineStr">
        <is>
          <t>最近贊助年</t>
        </is>
      </c>
      <c r="I1" s="3" t="inlineStr">
        <is>
          <t>累積贊助金額</t>
        </is>
      </c>
      <c r="J1" s="3" t="inlineStr">
        <is>
          <t>客戶生命週期階段</t>
        </is>
      </c>
      <c r="K1" s="3" t="inlineStr">
        <is>
          <t>曾為級別廠商</t>
        </is>
      </c>
      <c r="L1" s="3" t="inlineStr">
        <is>
          <t>曾為市集攤位</t>
        </is>
      </c>
      <c r="M1" s="3" t="inlineStr">
        <is>
          <t>備註</t>
        </is>
      </c>
    </row>
    <row r="2">
      <c r="A2" s="4" t="inlineStr">
        <is>
          <t>D0016</t>
        </is>
      </c>
      <c r="B2" s="4" t="inlineStr">
        <is>
          <t>觸控科技</t>
        </is>
      </c>
      <c r="C2" s="4" t="inlineStr"/>
      <c r="D2" s="4" t="inlineStr"/>
      <c r="E2" s="4" t="inlineStr">
        <is>
          <t>科技／硬體</t>
        </is>
      </c>
      <c r="F2" s="4" t="inlineStr"/>
      <c r="G2" s="4" t="n">
        <v>2017</v>
      </c>
      <c r="H2" s="4" t="n">
        <v>2017</v>
      </c>
      <c r="I2" s="4" t="n">
        <v>315000</v>
      </c>
      <c r="J2" s="4" t="inlineStr">
        <is>
          <t>⚠️ At-Risk（首年未付款）</t>
        </is>
      </c>
      <c r="K2" s="4" t="inlineStr">
        <is>
          <t>是</t>
        </is>
      </c>
      <c r="L2" s="4" t="inlineStr">
        <is>
          <t>否</t>
        </is>
      </c>
      <c r="M2" s="4" t="inlineStr">
        <is>
          <t>首次贊助即未付款</t>
        </is>
      </c>
    </row>
    <row r="3">
      <c r="A3" t="inlineStr">
        <is>
          <t>D0017</t>
        </is>
      </c>
      <c r="B3" t="inlineStr">
        <is>
          <t>UBer</t>
        </is>
      </c>
      <c r="C3" t="inlineStr">
        <is>
          <t>UBer</t>
        </is>
      </c>
      <c r="D3" t="inlineStr"/>
      <c r="E3" t="inlineStr">
        <is>
          <t>科技／交通</t>
        </is>
      </c>
      <c r="F3" t="inlineStr"/>
      <c r="G3" t="n">
        <v>2017</v>
      </c>
      <c r="H3" t="n">
        <v>2017</v>
      </c>
      <c r="I3" t="n">
        <v>100000</v>
      </c>
      <c r="J3" t="inlineStr">
        <is>
          <t>🆕 Acquisition</t>
        </is>
      </c>
      <c r="K3" t="inlineStr">
        <is>
          <t>是</t>
        </is>
      </c>
      <c r="L3" t="inlineStr">
        <is>
          <t>否</t>
        </is>
      </c>
      <c r="M3" t="inlineStr">
        <is>
          <t>2016 曾接觸但無報價，2017 首次正式贊助</t>
        </is>
      </c>
    </row>
    <row r="4">
      <c r="A4" t="inlineStr">
        <is>
          <t>D0018</t>
        </is>
      </c>
      <c r="B4" t="inlineStr">
        <is>
          <t>達博企業社(大龜)</t>
        </is>
      </c>
      <c r="C4" t="inlineStr"/>
      <c r="D4" t="inlineStr"/>
      <c r="E4" t="inlineStr">
        <is>
          <t>製造／企業社</t>
        </is>
      </c>
      <c r="F4" t="inlineStr"/>
      <c r="G4" t="n">
        <v>2017</v>
      </c>
      <c r="H4" t="n">
        <v>2017</v>
      </c>
      <c r="I4" t="n">
        <v>100000</v>
      </c>
      <c r="J4" t="inlineStr">
        <is>
          <t>🆕 Acquisition</t>
        </is>
      </c>
      <c r="K4" t="inlineStr">
        <is>
          <t>是</t>
        </is>
      </c>
      <c r="L4" t="inlineStr">
        <is>
          <t>否</t>
        </is>
      </c>
      <c r="M4" t="inlineStr"/>
    </row>
    <row r="5">
      <c r="A5" t="inlineStr">
        <is>
          <t>D0019</t>
        </is>
      </c>
      <c r="B5" t="inlineStr">
        <is>
          <t>雪豹科技</t>
        </is>
      </c>
      <c r="C5" t="inlineStr"/>
      <c r="D5" t="inlineStr"/>
      <c r="E5" t="inlineStr">
        <is>
          <t>科技／網路</t>
        </is>
      </c>
      <c r="F5" t="inlineStr"/>
      <c r="G5" t="n">
        <v>2017</v>
      </c>
      <c r="H5" t="n">
        <v>2017</v>
      </c>
      <c r="I5" t="n">
        <v>100000</v>
      </c>
      <c r="J5" t="inlineStr">
        <is>
          <t>🆕 Acquisition</t>
        </is>
      </c>
      <c r="K5" t="inlineStr">
        <is>
          <t>是</t>
        </is>
      </c>
      <c r="L5" t="inlineStr">
        <is>
          <t>否</t>
        </is>
      </c>
      <c r="M5" t="inlineStr">
        <is>
          <t>原名「雲豹科技」，財務表為「雪豹科技」，採後者</t>
        </is>
      </c>
    </row>
    <row r="6">
      <c r="A6" t="inlineStr">
        <is>
          <t>D0020</t>
        </is>
      </c>
      <c r="B6" t="inlineStr">
        <is>
          <t>GAP</t>
        </is>
      </c>
      <c r="C6" t="inlineStr">
        <is>
          <t>GAP</t>
        </is>
      </c>
      <c r="D6" t="inlineStr"/>
      <c r="E6" t="inlineStr">
        <is>
          <t>服飾</t>
        </is>
      </c>
      <c r="F6" t="inlineStr"/>
      <c r="G6" t="n">
        <v>2017</v>
      </c>
      <c r="H6" t="n">
        <v>2017</v>
      </c>
      <c r="I6" t="n">
        <v>60000</v>
      </c>
      <c r="J6" t="inlineStr">
        <is>
          <t>🆕 Acquisition</t>
        </is>
      </c>
      <c r="K6" t="inlineStr">
        <is>
          <t>是</t>
        </is>
      </c>
      <c r="L6" t="inlineStr">
        <is>
          <t>否</t>
        </is>
      </c>
      <c r="M6" t="inlineStr"/>
    </row>
    <row r="7">
      <c r="A7" t="inlineStr">
        <is>
          <t>D0021</t>
        </is>
      </c>
      <c r="B7" t="inlineStr">
        <is>
          <t>Sunpride Foundation 驕陽基金會</t>
        </is>
      </c>
      <c r="C7" t="inlineStr">
        <is>
          <t>Sunpride Foundation 驕陽基金會</t>
        </is>
      </c>
      <c r="D7" t="inlineStr"/>
      <c r="E7" t="inlineStr">
        <is>
          <t>公益／NGO</t>
        </is>
      </c>
      <c r="F7" t="inlineStr"/>
      <c r="G7" t="n">
        <v>2017</v>
      </c>
      <c r="H7" t="n">
        <v>2017</v>
      </c>
      <c r="I7" t="n">
        <v>60000</v>
      </c>
      <c r="J7" t="inlineStr">
        <is>
          <t>🆕 Acquisition</t>
        </is>
      </c>
      <c r="K7" t="inlineStr">
        <is>
          <t>是</t>
        </is>
      </c>
      <c r="L7" t="inlineStr">
        <is>
          <t>否</t>
        </is>
      </c>
      <c r="M7" t="inlineStr"/>
    </row>
    <row r="8">
      <c r="A8" t="inlineStr">
        <is>
          <t>D0022</t>
        </is>
      </c>
      <c r="B8" t="inlineStr">
        <is>
          <t>彩虹酷兒健康文化中心</t>
        </is>
      </c>
      <c r="C8" t="inlineStr"/>
      <c r="D8" t="inlineStr"/>
      <c r="E8" t="inlineStr">
        <is>
          <t>公益／NGO（健康）</t>
        </is>
      </c>
      <c r="F8" t="inlineStr"/>
      <c r="G8" t="n">
        <v>2017</v>
      </c>
      <c r="H8" t="n">
        <v>2017</v>
      </c>
      <c r="I8" t="n">
        <v>60000</v>
      </c>
      <c r="J8" t="inlineStr">
        <is>
          <t>🆕 Acquisition</t>
        </is>
      </c>
      <c r="K8" t="inlineStr">
        <is>
          <t>是</t>
        </is>
      </c>
      <c r="L8" t="inlineStr">
        <is>
          <t>否</t>
        </is>
      </c>
      <c r="M8" t="inlineStr"/>
    </row>
    <row r="9">
      <c r="A9" t="inlineStr">
        <is>
          <t>D0023</t>
        </is>
      </c>
      <c r="B9" t="inlineStr">
        <is>
          <t>艾緦整合行銷</t>
        </is>
      </c>
      <c r="C9" t="inlineStr"/>
      <c r="D9" t="inlineStr"/>
      <c r="E9" t="inlineStr">
        <is>
          <t>行銷／代理</t>
        </is>
      </c>
      <c r="F9" t="inlineStr"/>
      <c r="G9" t="n">
        <v>2017</v>
      </c>
      <c r="H9" t="n">
        <v>2017</v>
      </c>
      <c r="I9" t="n">
        <v>60000</v>
      </c>
      <c r="J9" t="inlineStr">
        <is>
          <t>🆕 Acquisition</t>
        </is>
      </c>
      <c r="K9" t="inlineStr">
        <is>
          <t>是</t>
        </is>
      </c>
      <c r="L9" t="inlineStr">
        <is>
          <t>否</t>
        </is>
      </c>
      <c r="M9" t="inlineStr"/>
    </row>
    <row r="10">
      <c r="A10" t="inlineStr">
        <is>
          <t>D0024</t>
        </is>
      </c>
      <c r="B10" t="inlineStr">
        <is>
          <t>ESHA</t>
        </is>
      </c>
      <c r="C10" t="inlineStr">
        <is>
          <t>ESHA</t>
        </is>
      </c>
      <c r="D10" t="inlineStr"/>
      <c r="E10" t="inlineStr">
        <is>
          <t>愛滋公益／NGO</t>
        </is>
      </c>
      <c r="F10" t="inlineStr"/>
      <c r="G10" t="n">
        <v>2017</v>
      </c>
      <c r="H10" t="n">
        <v>2017</v>
      </c>
      <c r="I10" t="n">
        <v>55000</v>
      </c>
      <c r="J10" t="inlineStr">
        <is>
          <t>🆕 Acquisition</t>
        </is>
      </c>
      <c r="K10" t="inlineStr">
        <is>
          <t>是</t>
        </is>
      </c>
      <c r="L10" t="inlineStr">
        <is>
          <t>否</t>
        </is>
      </c>
      <c r="M10" t="inlineStr"/>
    </row>
    <row r="11">
      <c r="A11" t="inlineStr">
        <is>
          <t>D0025</t>
        </is>
      </c>
      <c r="B11" t="inlineStr">
        <is>
          <t>GaGaoLaLa</t>
        </is>
      </c>
      <c r="C11" t="inlineStr">
        <is>
          <t>GaGaoLaLa</t>
        </is>
      </c>
      <c r="D11" t="inlineStr"/>
      <c r="E11" t="inlineStr">
        <is>
          <t>影音串流</t>
        </is>
      </c>
      <c r="F11" t="inlineStr"/>
      <c r="G11" t="n">
        <v>2017</v>
      </c>
      <c r="H11" t="n">
        <v>2017</v>
      </c>
      <c r="I11" t="n">
        <v>20000</v>
      </c>
      <c r="J11" t="inlineStr">
        <is>
          <t>🆕 Acquisition</t>
        </is>
      </c>
      <c r="K11" t="inlineStr">
        <is>
          <t>是</t>
        </is>
      </c>
      <c r="L11" t="inlineStr">
        <is>
          <t>否</t>
        </is>
      </c>
      <c r="M11" t="inlineStr"/>
    </row>
    <row r="12">
      <c r="A12" t="inlineStr">
        <is>
          <t>D0026</t>
        </is>
      </c>
      <c r="B12" t="inlineStr">
        <is>
          <t>婚姻大平台</t>
        </is>
      </c>
      <c r="C12" t="inlineStr"/>
      <c r="D12" t="inlineStr"/>
      <c r="E12" t="inlineStr">
        <is>
          <t>公益／NGO（婚姻平權）</t>
        </is>
      </c>
      <c r="F12" t="inlineStr"/>
      <c r="G12" t="n">
        <v>2017</v>
      </c>
      <c r="H12" t="n">
        <v>2017</v>
      </c>
      <c r="I12" t="n">
        <v>20000</v>
      </c>
      <c r="J12" t="inlineStr">
        <is>
          <t>🆕 Acquisition</t>
        </is>
      </c>
      <c r="K12" t="inlineStr">
        <is>
          <t>是</t>
        </is>
      </c>
      <c r="L12" t="inlineStr">
        <is>
          <t>否</t>
        </is>
      </c>
      <c r="M12" t="inlineStr"/>
    </row>
    <row r="13">
      <c r="A13" t="inlineStr">
        <is>
          <t>D0027</t>
        </is>
      </c>
      <c r="B13" t="inlineStr">
        <is>
          <t>花旗商銀</t>
        </is>
      </c>
      <c r="C13" t="inlineStr"/>
      <c r="D13" t="inlineStr"/>
      <c r="E13" t="inlineStr">
        <is>
          <t>金融銀行</t>
        </is>
      </c>
      <c r="F13" t="inlineStr"/>
      <c r="G13" t="n">
        <v>2017</v>
      </c>
      <c r="H13" t="n">
        <v>2017</v>
      </c>
      <c r="I13" t="n">
        <v>7500</v>
      </c>
      <c r="J13" t="inlineStr">
        <is>
          <t>🆕 Acquisition</t>
        </is>
      </c>
      <c r="K13" t="inlineStr">
        <is>
          <t>是</t>
        </is>
      </c>
      <c r="L13" t="inlineStr">
        <is>
          <t>否</t>
        </is>
      </c>
      <c r="M13" t="inlineStr">
        <is>
          <t>無對應品項，僅入帳記錄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14" customWidth="1" min="4" max="4"/>
    <col width="10" customWidth="1" min="5" max="5"/>
    <col width="13" customWidth="1" min="6" max="6"/>
    <col width="9" customWidth="1" min="7" max="7"/>
    <col width="10" customWidth="1" min="8" max="8"/>
    <col width="22" customWidth="1" min="9" max="9"/>
  </cols>
  <sheetData>
    <row r="1">
      <c r="A1" s="3" t="inlineStr">
        <is>
          <t>年度</t>
        </is>
      </c>
      <c r="B1" s="3" t="inlineStr">
        <is>
          <t>屆別</t>
        </is>
      </c>
      <c r="C1" s="3" t="inlineStr">
        <is>
          <t>活動主題</t>
        </is>
      </c>
      <c r="D1" s="3" t="inlineStr">
        <is>
          <t>活動日期</t>
        </is>
      </c>
      <c r="E1" s="3" t="inlineStr">
        <is>
          <t>贊助廠商總數</t>
        </is>
      </c>
      <c r="F1" s="3" t="inlineStr">
        <is>
          <t>總贊助金額（報價）</t>
        </is>
      </c>
      <c r="G1" s="3" t="inlineStr">
        <is>
          <t>該年級別數</t>
        </is>
      </c>
      <c r="H1" s="3" t="inlineStr">
        <is>
          <t>該年品項總數</t>
        </is>
      </c>
      <c r="I1" s="3" t="inlineStr">
        <is>
          <t>備註</t>
        </is>
      </c>
    </row>
    <row r="2">
      <c r="A2" t="n">
        <v>2017</v>
      </c>
      <c r="B2" t="n">
        <v>15</v>
      </c>
      <c r="C2" t="inlineStr">
        <is>
          <t>我們都一樣</t>
        </is>
      </c>
      <c r="D2" t="inlineStr">
        <is>
          <t>2017-10-28</t>
        </is>
      </c>
      <c r="E2" t="n">
        <v>20</v>
      </c>
      <c r="F2" t="n">
        <v>1494500</v>
      </c>
      <c r="G2" t="n">
        <v>0</v>
      </c>
      <c r="H2" t="n">
        <v>10</v>
      </c>
      <c r="I2" t="inlineStr">
        <is>
          <t>尚無級別制度，依報價對應 T1–T6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6" customWidth="1" min="4" max="4"/>
  </cols>
  <sheetData>
    <row r="1">
      <c r="A1" s="3" t="inlineStr">
        <is>
          <t>年度</t>
        </is>
      </c>
      <c r="B1" s="3" t="inlineStr">
        <is>
          <t>原始品項名稱</t>
        </is>
      </c>
      <c r="C1" s="3" t="inlineStr">
        <is>
          <t>主品項分類</t>
        </is>
      </c>
      <c r="D1" s="3" t="inlineStr">
        <is>
          <t>備註</t>
        </is>
      </c>
    </row>
    <row r="2">
      <c r="A2" t="n">
        <v>2017</v>
      </c>
      <c r="B2" t="inlineStr">
        <is>
          <t>攤位帳篷</t>
        </is>
      </c>
      <c r="C2" t="inlineStr">
        <is>
          <t>市集帳篷</t>
        </is>
      </c>
      <c r="D2" t="inlineStr"/>
    </row>
    <row r="3">
      <c r="A3" t="n">
        <v>2017</v>
      </c>
      <c r="B3" t="inlineStr">
        <is>
          <t>遊行花車(B車) / 商業車路權</t>
        </is>
      </c>
      <c r="C3" t="inlineStr">
        <is>
          <t>花車</t>
        </is>
      </c>
      <c r="D3" t="inlineStr"/>
    </row>
    <row r="4">
      <c r="A4" t="n">
        <v>2017</v>
      </c>
      <c r="B4" t="inlineStr">
        <is>
          <t>大隊車(A車)</t>
        </is>
      </c>
      <c r="C4" t="inlineStr">
        <is>
          <t>花車</t>
        </is>
      </c>
      <c r="D4" t="inlineStr"/>
    </row>
    <row r="5">
      <c r="A5" t="n">
        <v>2017</v>
      </c>
      <c r="B5" t="inlineStr">
        <is>
          <t>鷹架旁看板廣告</t>
        </is>
      </c>
      <c r="C5" t="inlineStr">
        <is>
          <t>現場版位露出</t>
        </is>
      </c>
      <c r="D5" t="inlineStr"/>
    </row>
    <row r="6">
      <c r="A6" t="n">
        <v>2017</v>
      </c>
      <c r="B6" t="inlineStr">
        <is>
          <t>瓶裝水 / (60 箱 ， / 24 瓶 / 箱 )</t>
        </is>
      </c>
      <c r="C6" t="inlineStr">
        <is>
          <t>其他合作</t>
        </is>
      </c>
      <c r="D6" t="inlineStr"/>
    </row>
    <row r="7">
      <c r="A7" t="n">
        <v>2017</v>
      </c>
      <c r="B7" t="inlineStr">
        <is>
          <t>主舞台前緣看板</t>
        </is>
      </c>
      <c r="C7" t="inlineStr">
        <is>
          <t>現場版位露出</t>
        </is>
      </c>
      <c r="D7" t="inlineStr"/>
    </row>
    <row r="8">
      <c r="A8" t="n">
        <v>2017</v>
      </c>
      <c r="B8" t="inlineStr">
        <is>
          <t>現場輪撥影片 / (30s/10000)</t>
        </is>
      </c>
      <c r="C8" t="inlineStr">
        <is>
          <t>現場版位露出</t>
        </is>
      </c>
      <c r="D8" t="inlineStr"/>
    </row>
    <row r="9">
      <c r="A9" t="n">
        <v>2017</v>
      </c>
      <c r="B9" t="inlineStr">
        <is>
          <t>遊行當天DM贊助</t>
        </is>
      </c>
      <c r="C9" t="inlineStr">
        <is>
          <t>印刷品贊助</t>
        </is>
      </c>
      <c r="D9" t="inlineStr"/>
    </row>
    <row r="10">
      <c r="A10" t="n">
        <v>2017</v>
      </c>
      <c r="B10" t="inlineStr">
        <is>
          <t>無柄圓扇</t>
        </is>
      </c>
      <c r="C10" t="inlineStr">
        <is>
          <t>印刷品贊助</t>
        </is>
      </c>
      <c r="D10" t="inlineStr"/>
    </row>
    <row r="11">
      <c r="A11" t="n">
        <v>2017</v>
      </c>
      <c r="B11" t="inlineStr">
        <is>
          <t>official banner</t>
        </is>
      </c>
      <c r="C11" t="inlineStr">
        <is>
          <t>線上版位露出</t>
        </is>
      </c>
      <c r="D11" t="inlineStr">
        <is>
          <t>本年度資料中未見對應品項</t>
        </is>
      </c>
    </row>
    <row r="12">
      <c r="A12" t="n">
        <v>2017</v>
      </c>
      <c r="B12" t="inlineStr">
        <is>
          <t>官網banner</t>
        </is>
      </c>
      <c r="C12" t="inlineStr">
        <is>
          <t>線上版位露出</t>
        </is>
      </c>
      <c r="D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9" customWidth="1" min="3" max="3"/>
    <col width="8" customWidth="1" min="4" max="4"/>
    <col width="10" customWidth="1" min="5" max="5"/>
    <col width="9" customWidth="1" min="6" max="6"/>
    <col width="10" customWidth="1" min="7" max="7"/>
    <col width="11" customWidth="1" min="8" max="8"/>
    <col width="11" customWidth="1" min="9" max="9"/>
    <col width="8" customWidth="1" min="10" max="10"/>
    <col width="9" customWidth="1" min="11" max="11"/>
    <col width="26" customWidth="1" min="12" max="12"/>
  </cols>
  <sheetData>
    <row r="1">
      <c r="A1" s="3" t="inlineStr">
        <is>
          <t>合約編號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原始級別名稱</t>
        </is>
      </c>
      <c r="F1" s="3" t="inlineStr">
        <is>
          <t>主級別代碼</t>
        </is>
      </c>
      <c r="G1" s="3" t="inlineStr">
        <is>
          <t>贊助總金額</t>
        </is>
      </c>
      <c r="H1" s="3" t="inlineStr">
        <is>
          <t>業務窗口</t>
        </is>
      </c>
      <c r="I1" s="3" t="inlineStr">
        <is>
          <t>當日連絡窗口</t>
        </is>
      </c>
      <c r="J1" s="3" t="inlineStr">
        <is>
          <t>付款狀態</t>
        </is>
      </c>
      <c r="K1" s="3" t="inlineStr">
        <is>
          <t>是否為新進</t>
        </is>
      </c>
      <c r="L1" s="3" t="inlineStr">
        <is>
          <t>備註</t>
        </is>
      </c>
    </row>
    <row r="2">
      <c r="A2" t="inlineStr">
        <is>
          <t>2017-D0001-01</t>
        </is>
      </c>
      <c r="B2" t="inlineStr">
        <is>
          <t>D0001</t>
        </is>
      </c>
      <c r="C2" t="inlineStr">
        <is>
          <t>辻利茶舖</t>
        </is>
      </c>
      <c r="D2" t="n">
        <v>2017</v>
      </c>
      <c r="E2" t="inlineStr">
        <is>
          <t>未分級</t>
        </is>
      </c>
      <c r="F2" t="inlineStr">
        <is>
          <t>T5</t>
        </is>
      </c>
      <c r="G2" t="n">
        <v>40000</v>
      </c>
      <c r="H2" t="inlineStr">
        <is>
          <t>苡昇Eason</t>
        </is>
      </c>
      <c r="I2" t="inlineStr"/>
      <c r="J2" t="inlineStr">
        <is>
          <t>已付款</t>
        </is>
      </c>
      <c r="K2" t="inlineStr">
        <is>
          <t>否</t>
        </is>
      </c>
      <c r="L2" t="inlineStr"/>
    </row>
    <row r="3">
      <c r="A3" t="inlineStr">
        <is>
          <t>2017-D0002-01</t>
        </is>
      </c>
      <c r="B3" t="inlineStr">
        <is>
          <t>D0002</t>
        </is>
      </c>
      <c r="C3" t="inlineStr">
        <is>
          <t>Par.T</t>
        </is>
      </c>
      <c r="D3" t="n">
        <v>2017</v>
      </c>
      <c r="E3" t="inlineStr">
        <is>
          <t>未分級</t>
        </is>
      </c>
      <c r="F3" t="inlineStr">
        <is>
          <t>T5</t>
        </is>
      </c>
      <c r="G3" t="n">
        <v>100000</v>
      </c>
      <c r="H3" t="inlineStr">
        <is>
          <t>玉甄&amp;宏展</t>
        </is>
      </c>
      <c r="I3" t="inlineStr"/>
      <c r="J3" t="inlineStr">
        <is>
          <t>已付款</t>
        </is>
      </c>
      <c r="K3" t="inlineStr">
        <is>
          <t>否</t>
        </is>
      </c>
      <c r="L3" t="inlineStr"/>
    </row>
    <row r="4">
      <c r="A4" t="inlineStr">
        <is>
          <t>2017-D0003-01</t>
        </is>
      </c>
      <c r="B4" t="inlineStr">
        <is>
          <t>D0003</t>
        </is>
      </c>
      <c r="C4" t="inlineStr">
        <is>
          <t>Blue</t>
        </is>
      </c>
      <c r="D4" t="n">
        <v>2017</v>
      </c>
      <c r="E4" t="inlineStr">
        <is>
          <t>未分級</t>
        </is>
      </c>
      <c r="F4" t="inlineStr">
        <is>
          <t>T5</t>
        </is>
      </c>
      <c r="G4" t="n">
        <v>80000</v>
      </c>
      <c r="H4" t="inlineStr">
        <is>
          <t>Ruby</t>
        </is>
      </c>
      <c r="I4" t="inlineStr">
        <is>
          <t>大霆/野獸</t>
        </is>
      </c>
      <c r="J4" t="inlineStr">
        <is>
          <t>已付款</t>
        </is>
      </c>
      <c r="K4" t="inlineStr">
        <is>
          <t>否</t>
        </is>
      </c>
      <c r="L4" t="inlineStr"/>
    </row>
    <row r="5">
      <c r="A5" t="inlineStr">
        <is>
          <t>2017-D0004-01</t>
        </is>
      </c>
      <c r="B5" t="inlineStr">
        <is>
          <t>D0004</t>
        </is>
      </c>
      <c r="C5" t="inlineStr">
        <is>
          <t>Destination,Beijing</t>
        </is>
      </c>
      <c r="D5" t="n">
        <v>2017</v>
      </c>
      <c r="E5" t="inlineStr">
        <is>
          <t>未分級</t>
        </is>
      </c>
      <c r="F5" t="inlineStr">
        <is>
          <t>T5</t>
        </is>
      </c>
      <c r="G5" t="n">
        <v>110000</v>
      </c>
      <c r="H5" t="inlineStr">
        <is>
          <t>Ruby</t>
        </is>
      </c>
      <c r="I5" t="inlineStr">
        <is>
          <t>小竹</t>
        </is>
      </c>
      <c r="J5" t="inlineStr">
        <is>
          <t>已付款</t>
        </is>
      </c>
      <c r="K5" t="inlineStr">
        <is>
          <t>否</t>
        </is>
      </c>
      <c r="L5" t="inlineStr"/>
    </row>
    <row r="6">
      <c r="A6" t="inlineStr">
        <is>
          <t>2017-D0006-01</t>
        </is>
      </c>
      <c r="B6" t="inlineStr">
        <is>
          <t>D0006</t>
        </is>
      </c>
      <c r="C6" t="inlineStr">
        <is>
          <t>拉拉公園</t>
        </is>
      </c>
      <c r="D6" t="n">
        <v>2017</v>
      </c>
      <c r="E6" t="inlineStr">
        <is>
          <t>未分級</t>
        </is>
      </c>
      <c r="F6" t="inlineStr">
        <is>
          <t>T5</t>
        </is>
      </c>
      <c r="G6" t="n">
        <v>80000</v>
      </c>
      <c r="H6" t="inlineStr">
        <is>
          <t>玉甄 &amp; 宏展</t>
        </is>
      </c>
      <c r="I6" t="inlineStr">
        <is>
          <t>苡昇Eason</t>
        </is>
      </c>
      <c r="J6" t="inlineStr">
        <is>
          <t>已付款</t>
        </is>
      </c>
      <c r="K6" t="inlineStr">
        <is>
          <t>否</t>
        </is>
      </c>
      <c r="L6" t="inlineStr"/>
    </row>
    <row r="7">
      <c r="A7" t="inlineStr">
        <is>
          <t>2017-D0008-01</t>
        </is>
      </c>
      <c r="B7" t="inlineStr">
        <is>
          <t>D0008</t>
        </is>
      </c>
      <c r="C7" t="inlineStr">
        <is>
          <t>Hornet</t>
        </is>
      </c>
      <c r="D7" t="n">
        <v>2017</v>
      </c>
      <c r="E7" t="inlineStr">
        <is>
          <t>未分級</t>
        </is>
      </c>
      <c r="F7" t="inlineStr">
        <is>
          <t>T5</t>
        </is>
      </c>
      <c r="G7" t="n">
        <v>60000</v>
      </c>
      <c r="H7" t="inlineStr">
        <is>
          <t>Ruby</t>
        </is>
      </c>
      <c r="I7" t="inlineStr">
        <is>
          <t>小竹</t>
        </is>
      </c>
      <c r="J7" t="inlineStr">
        <is>
          <t>已付款</t>
        </is>
      </c>
      <c r="K7" t="inlineStr">
        <is>
          <t>否</t>
        </is>
      </c>
      <c r="L7" t="inlineStr">
        <is>
          <t>2016 未付款 → 2017 轉換為已付款</t>
        </is>
      </c>
    </row>
    <row r="8">
      <c r="A8" s="4" t="inlineStr">
        <is>
          <t>2017-D0011-01</t>
        </is>
      </c>
      <c r="B8" s="4" t="inlineStr">
        <is>
          <t>D0011</t>
        </is>
      </c>
      <c r="C8" s="4" t="inlineStr">
        <is>
          <t>Tokyo RainBow Pride</t>
        </is>
      </c>
      <c r="D8" s="4" t="n">
        <v>2017</v>
      </c>
      <c r="E8" s="4" t="inlineStr">
        <is>
          <t>未分級</t>
        </is>
      </c>
      <c r="F8" s="4" t="inlineStr">
        <is>
          <t>T5</t>
        </is>
      </c>
      <c r="G8" s="4" t="n">
        <v>47000</v>
      </c>
      <c r="H8" s="4" t="inlineStr">
        <is>
          <t>Albert</t>
        </is>
      </c>
      <c r="I8" s="4" t="inlineStr">
        <is>
          <t>小竹</t>
        </is>
      </c>
      <c r="J8" s="4" t="inlineStr">
        <is>
          <t>未付款</t>
        </is>
      </c>
      <c r="K8" s="4" t="inlineStr">
        <is>
          <t>否</t>
        </is>
      </c>
      <c r="L8" s="4" t="inlineStr">
        <is>
          <t>連續 2 年（2016+2017）報價未付款</t>
        </is>
      </c>
    </row>
    <row r="9">
      <c r="A9" s="4" t="inlineStr">
        <is>
          <t>2017-D0016-01</t>
        </is>
      </c>
      <c r="B9" s="4" t="inlineStr">
        <is>
          <t>D0016</t>
        </is>
      </c>
      <c r="C9" s="4" t="inlineStr">
        <is>
          <t>觸控科技</t>
        </is>
      </c>
      <c r="D9" s="4" t="n">
        <v>2017</v>
      </c>
      <c r="E9" s="4" t="inlineStr">
        <is>
          <t>未分級</t>
        </is>
      </c>
      <c r="F9" s="4" t="inlineStr">
        <is>
          <t>T3</t>
        </is>
      </c>
      <c r="G9" s="4" t="n">
        <v>315000</v>
      </c>
      <c r="H9" s="4" t="inlineStr">
        <is>
          <t>Albert</t>
        </is>
      </c>
      <c r="I9" s="4" t="inlineStr"/>
      <c r="J9" s="4" t="inlineStr">
        <is>
          <t>未付款</t>
        </is>
      </c>
      <c r="K9" s="4" t="inlineStr">
        <is>
          <t>是</t>
        </is>
      </c>
      <c r="L9" s="4" t="inlineStr">
        <is>
          <t>7 個品項報價共 315k，全數未付款</t>
        </is>
      </c>
    </row>
    <row r="10">
      <c r="A10" t="inlineStr">
        <is>
          <t>2017-D0017-01</t>
        </is>
      </c>
      <c r="B10" t="inlineStr">
        <is>
          <t>D0017</t>
        </is>
      </c>
      <c r="C10" t="inlineStr">
        <is>
          <t>UBer</t>
        </is>
      </c>
      <c r="D10" t="n">
        <v>2017</v>
      </c>
      <c r="E10" t="inlineStr">
        <is>
          <t>未分級</t>
        </is>
      </c>
      <c r="F10" t="inlineStr">
        <is>
          <t>T5</t>
        </is>
      </c>
      <c r="G10" t="n">
        <v>100000</v>
      </c>
      <c r="H10" t="inlineStr">
        <is>
          <t>Albert</t>
        </is>
      </c>
      <c r="I10" t="inlineStr"/>
      <c r="J10" t="inlineStr">
        <is>
          <t>已付款</t>
        </is>
      </c>
      <c r="K10" t="inlineStr">
        <is>
          <t>是</t>
        </is>
      </c>
      <c r="L10" t="inlineStr"/>
    </row>
    <row r="11">
      <c r="A11" t="inlineStr">
        <is>
          <t>2017-D0018-01</t>
        </is>
      </c>
      <c r="B11" t="inlineStr">
        <is>
          <t>D0018</t>
        </is>
      </c>
      <c r="C11" t="inlineStr">
        <is>
          <t>達博企業社(大龜)</t>
        </is>
      </c>
      <c r="D11" t="n">
        <v>2017</v>
      </c>
      <c r="E11" t="inlineStr">
        <is>
          <t>未分級</t>
        </is>
      </c>
      <c r="F11" t="inlineStr">
        <is>
          <t>T5</t>
        </is>
      </c>
      <c r="G11" t="n">
        <v>100000</v>
      </c>
      <c r="H11" t="inlineStr">
        <is>
          <t>Ruby</t>
        </is>
      </c>
      <c r="I11" t="inlineStr"/>
      <c r="J11" t="inlineStr">
        <is>
          <t>已付款</t>
        </is>
      </c>
      <c r="K11" t="inlineStr">
        <is>
          <t>是</t>
        </is>
      </c>
      <c r="L11" t="inlineStr"/>
    </row>
    <row r="12">
      <c r="A12" t="inlineStr">
        <is>
          <t>2017-D0019-01</t>
        </is>
      </c>
      <c r="B12" t="inlineStr">
        <is>
          <t>D0019</t>
        </is>
      </c>
      <c r="C12" t="inlineStr">
        <is>
          <t>雪豹科技</t>
        </is>
      </c>
      <c r="D12" t="n">
        <v>2017</v>
      </c>
      <c r="E12" t="inlineStr">
        <is>
          <t>未分級</t>
        </is>
      </c>
      <c r="F12" t="inlineStr">
        <is>
          <t>T5</t>
        </is>
      </c>
      <c r="G12" t="n">
        <v>100000</v>
      </c>
      <c r="H12" t="inlineStr">
        <is>
          <t>苡昇</t>
        </is>
      </c>
      <c r="I12" t="inlineStr"/>
      <c r="J12" t="inlineStr">
        <is>
          <t>已付款</t>
        </is>
      </c>
      <c r="K12" t="inlineStr">
        <is>
          <t>是</t>
        </is>
      </c>
      <c r="L12" t="inlineStr"/>
    </row>
    <row r="13">
      <c r="A13" t="inlineStr">
        <is>
          <t>2017-D0020-01</t>
        </is>
      </c>
      <c r="B13" t="inlineStr">
        <is>
          <t>D0020</t>
        </is>
      </c>
      <c r="C13" t="inlineStr">
        <is>
          <t>GAP</t>
        </is>
      </c>
      <c r="D13" t="n">
        <v>2017</v>
      </c>
      <c r="E13" t="inlineStr">
        <is>
          <t>未分級</t>
        </is>
      </c>
      <c r="F13" t="inlineStr">
        <is>
          <t>T5</t>
        </is>
      </c>
      <c r="G13" t="n">
        <v>60000</v>
      </c>
      <c r="H13" t="inlineStr">
        <is>
          <t>Ruby</t>
        </is>
      </c>
      <c r="I13" t="inlineStr">
        <is>
          <t>大霆/野獸</t>
        </is>
      </c>
      <c r="J13" t="inlineStr">
        <is>
          <t>已付款</t>
        </is>
      </c>
      <c r="K13" t="inlineStr">
        <is>
          <t>是</t>
        </is>
      </c>
      <c r="L13" t="inlineStr"/>
    </row>
    <row r="14">
      <c r="A14" t="inlineStr">
        <is>
          <t>2017-D0021-01</t>
        </is>
      </c>
      <c r="B14" t="inlineStr">
        <is>
          <t>D0021</t>
        </is>
      </c>
      <c r="C14" t="inlineStr">
        <is>
          <t>Sunpride Foundation 驕陽基金會</t>
        </is>
      </c>
      <c r="D14" t="n">
        <v>2017</v>
      </c>
      <c r="E14" t="inlineStr">
        <is>
          <t>未分級</t>
        </is>
      </c>
      <c r="F14" t="inlineStr">
        <is>
          <t>T5</t>
        </is>
      </c>
      <c r="G14" t="n">
        <v>60000</v>
      </c>
      <c r="H14" t="inlineStr">
        <is>
          <t>Albert</t>
        </is>
      </c>
      <c r="I14" t="inlineStr">
        <is>
          <t>大霆/野獸</t>
        </is>
      </c>
      <c r="J14" t="inlineStr">
        <is>
          <t>已付款</t>
        </is>
      </c>
      <c r="K14" t="inlineStr">
        <is>
          <t>是</t>
        </is>
      </c>
      <c r="L14" t="inlineStr"/>
    </row>
    <row r="15">
      <c r="A15" t="inlineStr">
        <is>
          <t>2017-D0022-01</t>
        </is>
      </c>
      <c r="B15" t="inlineStr">
        <is>
          <t>D0022</t>
        </is>
      </c>
      <c r="C15" t="inlineStr">
        <is>
          <t>彩虹酷兒健康文化中心</t>
        </is>
      </c>
      <c r="D15" t="n">
        <v>2017</v>
      </c>
      <c r="E15" t="inlineStr">
        <is>
          <t>未分級</t>
        </is>
      </c>
      <c r="F15" t="inlineStr">
        <is>
          <t>T5</t>
        </is>
      </c>
      <c r="G15" t="n">
        <v>60000</v>
      </c>
      <c r="H15" t="inlineStr">
        <is>
          <t>Albert</t>
        </is>
      </c>
      <c r="I15" t="inlineStr">
        <is>
          <t>苡昇Eason</t>
        </is>
      </c>
      <c r="J15" t="inlineStr">
        <is>
          <t>已付款</t>
        </is>
      </c>
      <c r="K15" t="inlineStr">
        <is>
          <t>是</t>
        </is>
      </c>
      <c r="L15" t="inlineStr"/>
    </row>
    <row r="16">
      <c r="A16" t="inlineStr">
        <is>
          <t>2017-D0023-01</t>
        </is>
      </c>
      <c r="B16" t="inlineStr">
        <is>
          <t>D0023</t>
        </is>
      </c>
      <c r="C16" t="inlineStr">
        <is>
          <t>艾緦整合行銷</t>
        </is>
      </c>
      <c r="D16" t="n">
        <v>2017</v>
      </c>
      <c r="E16" t="inlineStr">
        <is>
          <t>未分級</t>
        </is>
      </c>
      <c r="F16" t="inlineStr">
        <is>
          <t>T5</t>
        </is>
      </c>
      <c r="G16" t="n">
        <v>60000</v>
      </c>
      <c r="H16" t="inlineStr">
        <is>
          <t>Ruby</t>
        </is>
      </c>
      <c r="I16" t="inlineStr">
        <is>
          <t>苡昇Eason</t>
        </is>
      </c>
      <c r="J16" t="inlineStr">
        <is>
          <t>已付款</t>
        </is>
      </c>
      <c r="K16" t="inlineStr">
        <is>
          <t>是</t>
        </is>
      </c>
      <c r="L16" t="inlineStr"/>
    </row>
    <row r="17">
      <c r="A17" t="inlineStr">
        <is>
          <t>2017-D0024-01</t>
        </is>
      </c>
      <c r="B17" t="inlineStr">
        <is>
          <t>D0024</t>
        </is>
      </c>
      <c r="C17" t="inlineStr">
        <is>
          <t>ESHA</t>
        </is>
      </c>
      <c r="D17" t="n">
        <v>2017</v>
      </c>
      <c r="E17" t="inlineStr">
        <is>
          <t>未分級</t>
        </is>
      </c>
      <c r="F17" t="inlineStr">
        <is>
          <t>T5</t>
        </is>
      </c>
      <c r="G17" t="n">
        <v>55000</v>
      </c>
      <c r="H17" t="inlineStr">
        <is>
          <t>Ruby</t>
        </is>
      </c>
      <c r="I17" t="inlineStr"/>
      <c r="J17" t="inlineStr">
        <is>
          <t>已付款</t>
        </is>
      </c>
      <c r="K17" t="inlineStr">
        <is>
          <t>是</t>
        </is>
      </c>
      <c r="L17" t="inlineStr"/>
    </row>
    <row r="18">
      <c r="A18" t="inlineStr">
        <is>
          <t>2017-D0025-01</t>
        </is>
      </c>
      <c r="B18" t="inlineStr">
        <is>
          <t>D0025</t>
        </is>
      </c>
      <c r="C18" t="inlineStr">
        <is>
          <t>GaGaoLaLa</t>
        </is>
      </c>
      <c r="D18" t="n">
        <v>2017</v>
      </c>
      <c r="E18" t="inlineStr">
        <is>
          <t>未分級</t>
        </is>
      </c>
      <c r="F18" t="inlineStr">
        <is>
          <t>T6</t>
        </is>
      </c>
      <c r="G18" t="n">
        <v>20000</v>
      </c>
      <c r="H18" t="inlineStr">
        <is>
          <t>Albert</t>
        </is>
      </c>
      <c r="I18" t="inlineStr"/>
      <c r="J18" t="inlineStr">
        <is>
          <t>已付款</t>
        </is>
      </c>
      <c r="K18" t="inlineStr">
        <is>
          <t>是</t>
        </is>
      </c>
      <c r="L18" t="inlineStr"/>
    </row>
    <row r="19">
      <c r="A19" t="inlineStr">
        <is>
          <t>2017-D0026-01</t>
        </is>
      </c>
      <c r="B19" t="inlineStr">
        <is>
          <t>D0026</t>
        </is>
      </c>
      <c r="C19" t="inlineStr">
        <is>
          <t>婚姻大平台</t>
        </is>
      </c>
      <c r="D19" t="n">
        <v>2017</v>
      </c>
      <c r="E19" t="inlineStr">
        <is>
          <t>未分級</t>
        </is>
      </c>
      <c r="F19" t="inlineStr">
        <is>
          <t>T6</t>
        </is>
      </c>
      <c r="G19" t="n">
        <v>20000</v>
      </c>
      <c r="H19" t="inlineStr">
        <is>
          <t>Ruby</t>
        </is>
      </c>
      <c r="I19" t="inlineStr"/>
      <c r="J19" t="inlineStr">
        <is>
          <t>已付款</t>
        </is>
      </c>
      <c r="K19" t="inlineStr">
        <is>
          <t>是</t>
        </is>
      </c>
      <c r="L19" t="inlineStr"/>
    </row>
    <row r="20">
      <c r="A20" t="inlineStr">
        <is>
          <t>2017-D0027-01</t>
        </is>
      </c>
      <c r="B20" t="inlineStr">
        <is>
          <t>D0027</t>
        </is>
      </c>
      <c r="C20" t="inlineStr">
        <is>
          <t>花旗商銀</t>
        </is>
      </c>
      <c r="D20" t="n">
        <v>2017</v>
      </c>
      <c r="E20" t="inlineStr">
        <is>
          <t>未分級</t>
        </is>
      </c>
      <c r="F20" t="inlineStr">
        <is>
          <t>T6</t>
        </is>
      </c>
      <c r="G20" t="n">
        <v>7500</v>
      </c>
      <c r="H20" t="inlineStr"/>
      <c r="I20" t="inlineStr"/>
      <c r="J20" t="inlineStr">
        <is>
          <t>已付款</t>
        </is>
      </c>
      <c r="K20" t="inlineStr">
        <is>
          <t>是</t>
        </is>
      </c>
      <c r="L20" t="inlineStr">
        <is>
          <t>無對應品項紀錄，僅 7,500 入帳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9" customWidth="1" min="3" max="3"/>
    <col width="29" customWidth="1" min="4" max="4"/>
    <col width="8" customWidth="1" min="5" max="5"/>
    <col width="30" customWidth="1" min="6" max="6"/>
    <col width="10" customWidth="1" min="7" max="7"/>
    <col width="12" customWidth="1" min="8" max="8"/>
    <col width="6" customWidth="1" min="9" max="9"/>
  </cols>
  <sheetData>
    <row r="1">
      <c r="A1" s="3" t="inlineStr">
        <is>
          <t>品項紀錄編號</t>
        </is>
      </c>
      <c r="B1" s="3" t="inlineStr">
        <is>
          <t>合約編號</t>
        </is>
      </c>
      <c r="C1" s="3" t="inlineStr">
        <is>
          <t>廠商編號</t>
        </is>
      </c>
      <c r="D1" s="3" t="inlineStr">
        <is>
          <t>廠商名稱</t>
        </is>
      </c>
      <c r="E1" s="3" t="inlineStr">
        <is>
          <t>年度</t>
        </is>
      </c>
      <c r="F1" s="3" t="inlineStr">
        <is>
          <t>原始品項名稱</t>
        </is>
      </c>
      <c r="G1" s="3" t="inlineStr">
        <is>
          <t>主品項分類</t>
        </is>
      </c>
      <c r="H1" s="3" t="inlineStr">
        <is>
          <t>單品項金額</t>
        </is>
      </c>
      <c r="I1" s="3" t="inlineStr">
        <is>
          <t>備註</t>
        </is>
      </c>
    </row>
    <row r="2">
      <c r="A2" t="inlineStr">
        <is>
          <t>2017-D0002-01-P001</t>
        </is>
      </c>
      <c r="B2" t="inlineStr">
        <is>
          <t>2017-D0002-01</t>
        </is>
      </c>
      <c r="C2" t="inlineStr">
        <is>
          <t>D0002</t>
        </is>
      </c>
      <c r="D2" t="inlineStr">
        <is>
          <t>Par.T</t>
        </is>
      </c>
      <c r="E2" t="n">
        <v>2017</v>
      </c>
      <c r="F2" t="inlineStr">
        <is>
          <t>攤位帳篷</t>
        </is>
      </c>
      <c r="G2" t="inlineStr">
        <is>
          <t>市集帳篷</t>
        </is>
      </c>
      <c r="H2" t="n">
        <v>100000</v>
      </c>
      <c r="I2" t="inlineStr"/>
    </row>
    <row r="3">
      <c r="A3" t="inlineStr">
        <is>
          <t>2017-D0019-01-P001</t>
        </is>
      </c>
      <c r="B3" t="inlineStr">
        <is>
          <t>2017-D0019-01</t>
        </is>
      </c>
      <c r="C3" t="inlineStr">
        <is>
          <t>D0019</t>
        </is>
      </c>
      <c r="D3" t="inlineStr">
        <is>
          <t>雪豹科技</t>
        </is>
      </c>
      <c r="E3" t="n">
        <v>2017</v>
      </c>
      <c r="F3" t="inlineStr">
        <is>
          <t>攤位帳篷</t>
        </is>
      </c>
      <c r="G3" t="inlineStr">
        <is>
          <t>市集帳篷</t>
        </is>
      </c>
      <c r="H3" t="n">
        <v>100000</v>
      </c>
      <c r="I3" t="inlineStr"/>
    </row>
    <row r="4">
      <c r="A4" t="inlineStr">
        <is>
          <t>2017-D0018-01-P001</t>
        </is>
      </c>
      <c r="B4" t="inlineStr">
        <is>
          <t>2017-D0018-01</t>
        </is>
      </c>
      <c r="C4" t="inlineStr">
        <is>
          <t>D0018</t>
        </is>
      </c>
      <c r="D4" t="inlineStr">
        <is>
          <t>達博企業社(大龜)</t>
        </is>
      </c>
      <c r="E4" t="n">
        <v>2017</v>
      </c>
      <c r="F4" t="inlineStr">
        <is>
          <t>攤位帳篷</t>
        </is>
      </c>
      <c r="G4" t="inlineStr">
        <is>
          <t>市集帳篷</t>
        </is>
      </c>
      <c r="H4" t="n">
        <v>100000</v>
      </c>
      <c r="I4" t="inlineStr"/>
    </row>
    <row r="5">
      <c r="A5" t="inlineStr">
        <is>
          <t>2017-D0016-01-P001</t>
        </is>
      </c>
      <c r="B5" t="inlineStr">
        <is>
          <t>2017-D0016-01</t>
        </is>
      </c>
      <c r="C5" t="inlineStr">
        <is>
          <t>D0016</t>
        </is>
      </c>
      <c r="D5" t="inlineStr">
        <is>
          <t>觸控科技</t>
        </is>
      </c>
      <c r="E5" t="n">
        <v>2017</v>
      </c>
      <c r="F5" t="inlineStr">
        <is>
          <t>攤位帳篷</t>
        </is>
      </c>
      <c r="G5" t="inlineStr">
        <is>
          <t>市集帳篷</t>
        </is>
      </c>
      <c r="H5" t="n">
        <v>100000</v>
      </c>
      <c r="I5" t="inlineStr"/>
    </row>
    <row r="6">
      <c r="A6" t="inlineStr">
        <is>
          <t>2017-D0025-01-P001</t>
        </is>
      </c>
      <c r="B6" t="inlineStr">
        <is>
          <t>2017-D0025-01</t>
        </is>
      </c>
      <c r="C6" t="inlineStr">
        <is>
          <t>D0025</t>
        </is>
      </c>
      <c r="D6" t="inlineStr">
        <is>
          <t>GaGaoLaLa</t>
        </is>
      </c>
      <c r="E6" t="n">
        <v>2017</v>
      </c>
      <c r="F6" t="inlineStr">
        <is>
          <t>攤位帳篷</t>
        </is>
      </c>
      <c r="G6" t="inlineStr">
        <is>
          <t>市集帳篷</t>
        </is>
      </c>
      <c r="H6" t="n">
        <v>20000</v>
      </c>
      <c r="I6" t="inlineStr"/>
    </row>
    <row r="7">
      <c r="A7" t="inlineStr">
        <is>
          <t>2017-D0017-01-P001</t>
        </is>
      </c>
      <c r="B7" t="inlineStr">
        <is>
          <t>2017-D0017-01</t>
        </is>
      </c>
      <c r="C7" t="inlineStr">
        <is>
          <t>D0017</t>
        </is>
      </c>
      <c r="D7" t="inlineStr">
        <is>
          <t>UBer</t>
        </is>
      </c>
      <c r="E7" t="n">
        <v>2017</v>
      </c>
      <c r="F7" t="inlineStr">
        <is>
          <t>攤位帳篷</t>
        </is>
      </c>
      <c r="G7" t="inlineStr">
        <is>
          <t>市集帳篷</t>
        </is>
      </c>
      <c r="H7" t="n">
        <v>100000</v>
      </c>
      <c r="I7" t="inlineStr"/>
    </row>
    <row r="8">
      <c r="A8" t="inlineStr">
        <is>
          <t>2017-D0004-01-P001</t>
        </is>
      </c>
      <c r="B8" t="inlineStr">
        <is>
          <t>2017-D0004-01</t>
        </is>
      </c>
      <c r="C8" t="inlineStr">
        <is>
          <t>D0004</t>
        </is>
      </c>
      <c r="D8" t="inlineStr">
        <is>
          <t>Destination,Beijing</t>
        </is>
      </c>
      <c r="E8" t="n">
        <v>2017</v>
      </c>
      <c r="F8" t="inlineStr">
        <is>
          <t>遊行花車(B車) / 商業車路權</t>
        </is>
      </c>
      <c r="G8" t="inlineStr">
        <is>
          <t>花車</t>
        </is>
      </c>
      <c r="H8" t="n">
        <v>80000</v>
      </c>
      <c r="I8" t="inlineStr"/>
    </row>
    <row r="9">
      <c r="A9" t="inlineStr">
        <is>
          <t>2017-D0008-01-P001</t>
        </is>
      </c>
      <c r="B9" t="inlineStr">
        <is>
          <t>2017-D0008-01</t>
        </is>
      </c>
      <c r="C9" t="inlineStr">
        <is>
          <t>D0008</t>
        </is>
      </c>
      <c r="D9" t="inlineStr">
        <is>
          <t>Hornet</t>
        </is>
      </c>
      <c r="E9" t="n">
        <v>2017</v>
      </c>
      <c r="F9" t="inlineStr">
        <is>
          <t>遊行花車(B車) / 商業車路權</t>
        </is>
      </c>
      <c r="G9" t="inlineStr">
        <is>
          <t>花車</t>
        </is>
      </c>
      <c r="H9" t="n">
        <v>60000</v>
      </c>
      <c r="I9" t="inlineStr"/>
    </row>
    <row r="10">
      <c r="A10" t="inlineStr">
        <is>
          <t>2017-D0011-01-P001</t>
        </is>
      </c>
      <c r="B10" t="inlineStr">
        <is>
          <t>2017-D0011-01</t>
        </is>
      </c>
      <c r="C10" t="inlineStr">
        <is>
          <t>D0011</t>
        </is>
      </c>
      <c r="D10" t="inlineStr">
        <is>
          <t>Tokyo RainBow Pride</t>
        </is>
      </c>
      <c r="E10" t="n">
        <v>2017</v>
      </c>
      <c r="F10" t="inlineStr">
        <is>
          <t>遊行花車(B車) / 商業車路權</t>
        </is>
      </c>
      <c r="G10" t="inlineStr">
        <is>
          <t>花車</t>
        </is>
      </c>
      <c r="H10" t="n">
        <v>47000</v>
      </c>
      <c r="I10" t="inlineStr"/>
    </row>
    <row r="11">
      <c r="A11" t="inlineStr">
        <is>
          <t>2017-D0003-01-P001</t>
        </is>
      </c>
      <c r="B11" t="inlineStr">
        <is>
          <t>2017-D0003-01</t>
        </is>
      </c>
      <c r="C11" t="inlineStr">
        <is>
          <t>D0003</t>
        </is>
      </c>
      <c r="D11" t="inlineStr">
        <is>
          <t>Blue</t>
        </is>
      </c>
      <c r="E11" t="n">
        <v>2017</v>
      </c>
      <c r="F11" t="inlineStr">
        <is>
          <t>遊行花車(B車) / 商業車路權</t>
        </is>
      </c>
      <c r="G11" t="inlineStr">
        <is>
          <t>花車</t>
        </is>
      </c>
      <c r="H11" t="n">
        <v>80000</v>
      </c>
      <c r="I11" t="inlineStr"/>
    </row>
    <row r="12">
      <c r="A12" t="inlineStr">
        <is>
          <t>2017-D0020-01-P001</t>
        </is>
      </c>
      <c r="B12" t="inlineStr">
        <is>
          <t>2017-D0020-01</t>
        </is>
      </c>
      <c r="C12" t="inlineStr">
        <is>
          <t>D0020</t>
        </is>
      </c>
      <c r="D12" t="inlineStr">
        <is>
          <t>GAP</t>
        </is>
      </c>
      <c r="E12" t="n">
        <v>2017</v>
      </c>
      <c r="F12" t="inlineStr">
        <is>
          <t>遊行花車(B車) / 商業車路權</t>
        </is>
      </c>
      <c r="G12" t="inlineStr">
        <is>
          <t>花車</t>
        </is>
      </c>
      <c r="H12" t="n">
        <v>60000</v>
      </c>
      <c r="I12" t="inlineStr"/>
    </row>
    <row r="13">
      <c r="A13" t="inlineStr">
        <is>
          <t>2017-D0021-01-P001</t>
        </is>
      </c>
      <c r="B13" t="inlineStr">
        <is>
          <t>2017-D0021-01</t>
        </is>
      </c>
      <c r="C13" t="inlineStr">
        <is>
          <t>D0021</t>
        </is>
      </c>
      <c r="D13" t="inlineStr">
        <is>
          <t>Sunpride Foundation 驕陽基金會</t>
        </is>
      </c>
      <c r="E13" t="n">
        <v>2017</v>
      </c>
      <c r="F13" t="inlineStr">
        <is>
          <t>遊行花車(B車) / 商業車路權</t>
        </is>
      </c>
      <c r="G13" t="inlineStr">
        <is>
          <t>花車</t>
        </is>
      </c>
      <c r="H13" t="n">
        <v>60000</v>
      </c>
      <c r="I13" t="inlineStr"/>
    </row>
    <row r="14">
      <c r="A14" t="inlineStr">
        <is>
          <t>2017-D0006-01-P001</t>
        </is>
      </c>
      <c r="B14" t="inlineStr">
        <is>
          <t>2017-D0006-01</t>
        </is>
      </c>
      <c r="C14" t="inlineStr">
        <is>
          <t>D0006</t>
        </is>
      </c>
      <c r="D14" t="inlineStr">
        <is>
          <t>拉拉公園</t>
        </is>
      </c>
      <c r="E14" t="n">
        <v>2017</v>
      </c>
      <c r="F14" t="inlineStr">
        <is>
          <t>遊行花車(B車) / 商業車路權</t>
        </is>
      </c>
      <c r="G14" t="inlineStr">
        <is>
          <t>花車</t>
        </is>
      </c>
      <c r="H14" t="n">
        <v>80000</v>
      </c>
      <c r="I14" t="inlineStr"/>
    </row>
    <row r="15">
      <c r="A15" t="inlineStr">
        <is>
          <t>2017-D0023-01-P001</t>
        </is>
      </c>
      <c r="B15" t="inlineStr">
        <is>
          <t>2017-D0023-01</t>
        </is>
      </c>
      <c r="C15" t="inlineStr">
        <is>
          <t>D0023</t>
        </is>
      </c>
      <c r="D15" t="inlineStr">
        <is>
          <t>艾緦整合行銷</t>
        </is>
      </c>
      <c r="E15" t="n">
        <v>2017</v>
      </c>
      <c r="F15" t="inlineStr">
        <is>
          <t>遊行花車(B車) / 商業車路權</t>
        </is>
      </c>
      <c r="G15" t="inlineStr">
        <is>
          <t>花車</t>
        </is>
      </c>
      <c r="H15" t="n">
        <v>60000</v>
      </c>
      <c r="I15" t="inlineStr"/>
    </row>
    <row r="16">
      <c r="A16" t="inlineStr">
        <is>
          <t>2017-D0022-01-P001</t>
        </is>
      </c>
      <c r="B16" t="inlineStr">
        <is>
          <t>2017-D0022-01</t>
        </is>
      </c>
      <c r="C16" t="inlineStr">
        <is>
          <t>D0022</t>
        </is>
      </c>
      <c r="D16" t="inlineStr">
        <is>
          <t>彩虹酷兒健康文化中心</t>
        </is>
      </c>
      <c r="E16" t="n">
        <v>2017</v>
      </c>
      <c r="F16" t="inlineStr">
        <is>
          <t>遊行花車(B車) / 商業車路權</t>
        </is>
      </c>
      <c r="G16" t="inlineStr">
        <is>
          <t>花車</t>
        </is>
      </c>
      <c r="H16" t="n">
        <v>60000</v>
      </c>
      <c r="I16" t="inlineStr"/>
    </row>
    <row r="17">
      <c r="A17" t="inlineStr">
        <is>
          <t>2017-D0026-01-P001</t>
        </is>
      </c>
      <c r="B17" t="inlineStr">
        <is>
          <t>2017-D0026-01</t>
        </is>
      </c>
      <c r="C17" t="inlineStr">
        <is>
          <t>D0026</t>
        </is>
      </c>
      <c r="D17" t="inlineStr">
        <is>
          <t>婚姻大平台</t>
        </is>
      </c>
      <c r="E17" t="n">
        <v>2017</v>
      </c>
      <c r="F17" t="inlineStr">
        <is>
          <t>大隊車(A車)</t>
        </is>
      </c>
      <c r="G17" t="inlineStr">
        <is>
          <t>花車</t>
        </is>
      </c>
      <c r="H17" t="n">
        <v>20000</v>
      </c>
      <c r="I17" t="inlineStr"/>
    </row>
    <row r="18">
      <c r="A18" t="inlineStr">
        <is>
          <t>2017-D0024-01-P001</t>
        </is>
      </c>
      <c r="B18" t="inlineStr">
        <is>
          <t>2017-D0024-01</t>
        </is>
      </c>
      <c r="C18" t="inlineStr">
        <is>
          <t>D0024</t>
        </is>
      </c>
      <c r="D18" t="inlineStr">
        <is>
          <t>ESHA</t>
        </is>
      </c>
      <c r="E18" t="n">
        <v>2017</v>
      </c>
      <c r="F18" t="inlineStr">
        <is>
          <t>鷹架旁看板廣告</t>
        </is>
      </c>
      <c r="G18" t="inlineStr">
        <is>
          <t>現場版位露出</t>
        </is>
      </c>
      <c r="H18" t="n">
        <v>55000</v>
      </c>
      <c r="I18" t="inlineStr"/>
    </row>
    <row r="19">
      <c r="A19" t="inlineStr">
        <is>
          <t>2017-D0016-01-P002</t>
        </is>
      </c>
      <c r="B19" t="inlineStr">
        <is>
          <t>2017-D0016-01</t>
        </is>
      </c>
      <c r="C19" t="inlineStr">
        <is>
          <t>D0016</t>
        </is>
      </c>
      <c r="D19" t="inlineStr">
        <is>
          <t>觸控科技</t>
        </is>
      </c>
      <c r="E19" t="n">
        <v>2017</v>
      </c>
      <c r="F19" t="inlineStr">
        <is>
          <t>瓶裝水 / (60 箱 ， / 24 瓶 / 箱 )</t>
        </is>
      </c>
      <c r="G19" t="inlineStr">
        <is>
          <t>其他合作</t>
        </is>
      </c>
      <c r="H19" t="n">
        <v>30000</v>
      </c>
      <c r="I19" t="inlineStr"/>
    </row>
    <row r="20">
      <c r="A20" t="inlineStr">
        <is>
          <t>2017-D0016-01-P003</t>
        </is>
      </c>
      <c r="B20" t="inlineStr">
        <is>
          <t>2017-D0016-01</t>
        </is>
      </c>
      <c r="C20" t="inlineStr">
        <is>
          <t>D0016</t>
        </is>
      </c>
      <c r="D20" t="inlineStr">
        <is>
          <t>觸控科技</t>
        </is>
      </c>
      <c r="E20" t="n">
        <v>2017</v>
      </c>
      <c r="F20" t="inlineStr">
        <is>
          <t>瓶裝水 / (60 箱 ， / 24 瓶 / 箱 )</t>
        </is>
      </c>
      <c r="G20" t="inlineStr">
        <is>
          <t>其他合作</t>
        </is>
      </c>
      <c r="H20" t="n">
        <v>30000</v>
      </c>
      <c r="I20" t="inlineStr"/>
    </row>
    <row r="21">
      <c r="A21" t="inlineStr">
        <is>
          <t>2017-D0016-01-P004</t>
        </is>
      </c>
      <c r="B21" t="inlineStr">
        <is>
          <t>2017-D0016-01</t>
        </is>
      </c>
      <c r="C21" t="inlineStr">
        <is>
          <t>D0016</t>
        </is>
      </c>
      <c r="D21" t="inlineStr">
        <is>
          <t>觸控科技</t>
        </is>
      </c>
      <c r="E21" t="n">
        <v>2017</v>
      </c>
      <c r="F21" t="inlineStr">
        <is>
          <t>主舞台前緣看板</t>
        </is>
      </c>
      <c r="G21" t="inlineStr">
        <is>
          <t>現場版位露出</t>
        </is>
      </c>
      <c r="H21" t="n">
        <v>85000</v>
      </c>
      <c r="I21" t="inlineStr"/>
    </row>
    <row r="22">
      <c r="A22" t="inlineStr">
        <is>
          <t>2017-D0016-01-P005</t>
        </is>
      </c>
      <c r="B22" t="inlineStr">
        <is>
          <t>2017-D0016-01</t>
        </is>
      </c>
      <c r="C22" t="inlineStr">
        <is>
          <t>D0016</t>
        </is>
      </c>
      <c r="D22" t="inlineStr">
        <is>
          <t>觸控科技</t>
        </is>
      </c>
      <c r="E22" t="n">
        <v>2017</v>
      </c>
      <c r="F22" t="inlineStr">
        <is>
          <t>現場輪撥影片 / (30s/10000)</t>
        </is>
      </c>
      <c r="G22" t="inlineStr">
        <is>
          <t>現場版位露出</t>
        </is>
      </c>
      <c r="H22" t="n">
        <v>10000</v>
      </c>
      <c r="I22" t="inlineStr"/>
    </row>
    <row r="23">
      <c r="A23" t="inlineStr">
        <is>
          <t>2017-D0016-01-P006</t>
        </is>
      </c>
      <c r="B23" t="inlineStr">
        <is>
          <t>2017-D0016-01</t>
        </is>
      </c>
      <c r="C23" t="inlineStr">
        <is>
          <t>D0016</t>
        </is>
      </c>
      <c r="D23" t="inlineStr">
        <is>
          <t>觸控科技</t>
        </is>
      </c>
      <c r="E23" t="n">
        <v>2017</v>
      </c>
      <c r="F23" t="inlineStr">
        <is>
          <t>現場輪撥影片 / (30s/10000)</t>
        </is>
      </c>
      <c r="G23" t="inlineStr">
        <is>
          <t>現場版位露出</t>
        </is>
      </c>
      <c r="H23" t="n">
        <v>10000</v>
      </c>
      <c r="I23" t="inlineStr"/>
    </row>
    <row r="24">
      <c r="A24" t="inlineStr">
        <is>
          <t>2017-D0016-01-P007</t>
        </is>
      </c>
      <c r="B24" t="inlineStr">
        <is>
          <t>2017-D0016-01</t>
        </is>
      </c>
      <c r="C24" t="inlineStr">
        <is>
          <t>D0016</t>
        </is>
      </c>
      <c r="D24" t="inlineStr">
        <is>
          <t>觸控科技</t>
        </is>
      </c>
      <c r="E24" t="n">
        <v>2017</v>
      </c>
      <c r="F24" t="inlineStr">
        <is>
          <t>遊行當天DM贊助</t>
        </is>
      </c>
      <c r="G24" t="inlineStr">
        <is>
          <t>印刷品贊助</t>
        </is>
      </c>
      <c r="H24" t="n">
        <v>50000</v>
      </c>
      <c r="I24" t="inlineStr"/>
    </row>
    <row r="25">
      <c r="A25" t="inlineStr">
        <is>
          <t>2017-D0001-01-P001</t>
        </is>
      </c>
      <c r="B25" t="inlineStr">
        <is>
          <t>2017-D0001-01</t>
        </is>
      </c>
      <c r="C25" t="inlineStr">
        <is>
          <t>D0001</t>
        </is>
      </c>
      <c r="D25" t="inlineStr">
        <is>
          <t>辻利茶舖</t>
        </is>
      </c>
      <c r="E25" t="n">
        <v>2017</v>
      </c>
      <c r="F25" t="inlineStr">
        <is>
          <t>無柄圓扇</t>
        </is>
      </c>
      <c r="G25" t="inlineStr">
        <is>
          <t>印刷品贊助</t>
        </is>
      </c>
      <c r="H25" t="n">
        <v>40000</v>
      </c>
      <c r="I25" t="inlineStr"/>
    </row>
    <row r="26">
      <c r="A26" t="inlineStr">
        <is>
          <t>2017-D0004-01-P002</t>
        </is>
      </c>
      <c r="B26" t="inlineStr">
        <is>
          <t>2017-D0004-01</t>
        </is>
      </c>
      <c r="C26" t="inlineStr">
        <is>
          <t>D0004</t>
        </is>
      </c>
      <c r="D26" t="inlineStr">
        <is>
          <t>Destination,Beijing</t>
        </is>
      </c>
      <c r="E26" t="n">
        <v>2017</v>
      </c>
      <c r="F26" t="inlineStr">
        <is>
          <t>官網banner</t>
        </is>
      </c>
      <c r="G26" t="inlineStr">
        <is>
          <t>線上版位露出</t>
        </is>
      </c>
      <c r="H26" t="n">
        <v>30000</v>
      </c>
      <c r="I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8" customWidth="1" min="4" max="4"/>
    <col width="8" customWidth="1" min="5" max="5"/>
    <col width="8" customWidth="1" min="6" max="6"/>
    <col width="12" customWidth="1" min="7" max="7"/>
    <col width="8" customWidth="1" min="8" max="8"/>
    <col width="11" customWidth="1" min="9" max="9"/>
    <col width="8" customWidth="1" min="10" max="10"/>
    <col width="8" customWidth="1" min="11" max="11"/>
    <col width="14" customWidth="1" min="12" max="12"/>
    <col width="24" customWidth="1" min="13" max="13"/>
  </cols>
  <sheetData>
    <row r="1">
      <c r="A1" s="3" t="inlineStr">
        <is>
          <t>攤位紀錄編號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棚位類型</t>
        </is>
      </c>
      <c r="F1" s="3" t="inlineStr">
        <is>
          <t>是否早鳥</t>
        </is>
      </c>
      <c r="G1" s="3" t="inlineStr">
        <is>
          <t>攤位金額（報價）</t>
        </is>
      </c>
      <c r="H1" s="3" t="inlineStr">
        <is>
          <t>攤位編號</t>
        </is>
      </c>
      <c r="I1" s="3" t="inlineStr">
        <is>
          <t>是否為公益組織</t>
        </is>
      </c>
      <c r="J1" s="3" t="inlineStr">
        <is>
          <t>業務窗口</t>
        </is>
      </c>
      <c r="K1" s="3" t="inlineStr">
        <is>
          <t>付款狀態</t>
        </is>
      </c>
      <c r="L1" s="3" t="inlineStr">
        <is>
          <t>同年是否亦為級別廠商</t>
        </is>
      </c>
      <c r="M1" s="3" t="inlineStr">
        <is>
          <t>備註</t>
        </is>
      </c>
    </row>
    <row r="2">
      <c r="A2" t="inlineStr">
        <is>
          <t>2017-MB001</t>
        </is>
      </c>
      <c r="B2" t="inlineStr">
        <is>
          <t>D0012</t>
        </is>
      </c>
      <c r="C2" t="inlineStr">
        <is>
          <t>國際人權特赦組織(AI)</t>
        </is>
      </c>
      <c r="D2" t="n">
        <v>2017</v>
      </c>
      <c r="E2" t="inlineStr">
        <is>
          <t>未明</t>
        </is>
      </c>
      <c r="F2" t="inlineStr">
        <is>
          <t>否</t>
        </is>
      </c>
      <c r="G2" t="n">
        <v>20000</v>
      </c>
      <c r="H2" t="inlineStr"/>
      <c r="I2" t="inlineStr">
        <is>
          <t>是</t>
        </is>
      </c>
      <c r="J2" t="inlineStr">
        <is>
          <t>Ruby</t>
        </is>
      </c>
      <c r="K2" t="inlineStr">
        <is>
          <t>已付款</t>
        </is>
      </c>
      <c r="L2" t="inlineStr">
        <is>
          <t>否</t>
        </is>
      </c>
      <c r="M2" t="inlineStr">
        <is>
          <t>報價 20k，連續 2 年保留為市集攤位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1" customWidth="1" min="3" max="3"/>
    <col width="11" customWidth="1" min="4" max="4"/>
    <col width="16" customWidth="1" min="5" max="5"/>
    <col width="11" customWidth="1" min="6" max="6"/>
    <col width="35" customWidth="1" min="7" max="7"/>
  </cols>
  <sheetData>
    <row r="1">
      <c r="A1" s="1" t="inlineStr">
        <is>
          <t>2016 → 2017 廠商回流分析</t>
        </is>
      </c>
    </row>
    <row r="2"/>
    <row r="3">
      <c r="A3" s="5" t="inlineStr">
        <is>
          <t>✅ 回流廠商（2016 與 2017 都有贊助）— 8 家</t>
        </is>
      </c>
    </row>
    <row r="4">
      <c r="A4" s="6" t="inlineStr">
        <is>
          <t>廠商編號</t>
        </is>
      </c>
      <c r="B4" s="6" t="inlineStr">
        <is>
          <t>廠商</t>
        </is>
      </c>
      <c r="C4" s="6" t="inlineStr">
        <is>
          <t>2016 報價</t>
        </is>
      </c>
      <c r="D4" s="6" t="inlineStr">
        <is>
          <t>2016 狀態</t>
        </is>
      </c>
      <c r="E4" s="6" t="inlineStr">
        <is>
          <t>2017 報價</t>
        </is>
      </c>
      <c r="F4" s="6" t="inlineStr">
        <is>
          <t>2017 狀態</t>
        </is>
      </c>
      <c r="G4" s="6" t="inlineStr">
        <is>
          <t>變化</t>
        </is>
      </c>
    </row>
    <row r="5">
      <c r="A5" s="7" t="inlineStr">
        <is>
          <t>D0001</t>
        </is>
      </c>
      <c r="B5" s="7" t="inlineStr">
        <is>
          <t>辻利茶舖</t>
        </is>
      </c>
      <c r="C5" s="7" t="n">
        <v>125000</v>
      </c>
      <c r="D5" s="7" t="inlineStr">
        <is>
          <t>已付款</t>
        </is>
      </c>
      <c r="E5" s="7" t="n">
        <v>40000</v>
      </c>
      <c r="F5" s="7" t="inlineStr">
        <is>
          <t>已付款</t>
        </is>
      </c>
      <c r="G5" s="7" t="inlineStr">
        <is>
          <t>📉 降級（-NTD 85,000）</t>
        </is>
      </c>
    </row>
    <row r="6">
      <c r="A6" s="7" t="inlineStr">
        <is>
          <t>D0002</t>
        </is>
      </c>
      <c r="B6" s="7" t="inlineStr">
        <is>
          <t>Par.T</t>
        </is>
      </c>
      <c r="C6" s="7" t="n">
        <v>110000</v>
      </c>
      <c r="D6" s="7" t="inlineStr">
        <is>
          <t>已付款</t>
        </is>
      </c>
      <c r="E6" s="7" t="n">
        <v>100000</v>
      </c>
      <c r="F6" s="7" t="inlineStr">
        <is>
          <t>已付款</t>
        </is>
      </c>
      <c r="G6" s="7" t="inlineStr">
        <is>
          <t>📉 降級（-NTD 10,000）</t>
        </is>
      </c>
    </row>
    <row r="7">
      <c r="A7" s="7" t="inlineStr">
        <is>
          <t>D0003</t>
        </is>
      </c>
      <c r="B7" s="7" t="inlineStr">
        <is>
          <t>Blue</t>
        </is>
      </c>
      <c r="C7" s="7" t="n">
        <v>80000</v>
      </c>
      <c r="D7" s="7" t="inlineStr">
        <is>
          <t>已付款</t>
        </is>
      </c>
      <c r="E7" s="7" t="n">
        <v>80000</v>
      </c>
      <c r="F7" s="7" t="inlineStr">
        <is>
          <t>已付款</t>
        </is>
      </c>
      <c r="G7" s="7" t="inlineStr">
        <is>
          <t>➡️ 持平</t>
        </is>
      </c>
    </row>
    <row r="8">
      <c r="A8" s="7" t="inlineStr">
        <is>
          <t>D0004</t>
        </is>
      </c>
      <c r="B8" s="7" t="inlineStr">
        <is>
          <t>Destination,Beijing</t>
        </is>
      </c>
      <c r="C8" s="7" t="n">
        <v>80000</v>
      </c>
      <c r="D8" s="7" t="inlineStr">
        <is>
          <t>已付款</t>
        </is>
      </c>
      <c r="E8" s="7" t="n">
        <v>110000</v>
      </c>
      <c r="F8" s="7" t="inlineStr">
        <is>
          <t>已付款</t>
        </is>
      </c>
      <c r="G8" s="7" t="inlineStr">
        <is>
          <t>📈 升級（+NTD 30,000）</t>
        </is>
      </c>
    </row>
    <row r="9">
      <c r="A9" s="7" t="inlineStr">
        <is>
          <t>D0006</t>
        </is>
      </c>
      <c r="B9" s="7" t="inlineStr">
        <is>
          <t>拉拉公園</t>
        </is>
      </c>
      <c r="C9" s="7" t="n">
        <v>60000</v>
      </c>
      <c r="D9" s="7" t="inlineStr">
        <is>
          <t>已付款</t>
        </is>
      </c>
      <c r="E9" s="7" t="n">
        <v>80000</v>
      </c>
      <c r="F9" s="7" t="inlineStr">
        <is>
          <t>已付款</t>
        </is>
      </c>
      <c r="G9" s="7" t="inlineStr">
        <is>
          <t>📈 升級（+NTD 20,000）</t>
        </is>
      </c>
    </row>
    <row r="10">
      <c r="A10" s="7" t="inlineStr">
        <is>
          <t>D0008</t>
        </is>
      </c>
      <c r="B10" s="7" t="inlineStr">
        <is>
          <t>Hornet</t>
        </is>
      </c>
      <c r="C10" s="7" t="n">
        <v>50000</v>
      </c>
      <c r="D10" s="7" t="inlineStr">
        <is>
          <t>未付款</t>
        </is>
      </c>
      <c r="E10" s="7" t="n">
        <v>60000</v>
      </c>
      <c r="F10" s="7" t="inlineStr">
        <is>
          <t>已付款</t>
        </is>
      </c>
      <c r="G10" s="7" t="inlineStr">
        <is>
          <t>✨ 轉換成功（首次入帳）</t>
        </is>
      </c>
    </row>
    <row r="11">
      <c r="A11" s="7" t="inlineStr">
        <is>
          <t>D0011</t>
        </is>
      </c>
      <c r="B11" s="7" t="inlineStr">
        <is>
          <t>Tokyo RainBow Pride</t>
        </is>
      </c>
      <c r="C11" s="7" t="n">
        <v>30000</v>
      </c>
      <c r="D11" s="7" t="inlineStr">
        <is>
          <t>未付款</t>
        </is>
      </c>
      <c r="E11" s="7" t="n">
        <v>47000</v>
      </c>
      <c r="F11" s="7" t="inlineStr">
        <is>
          <t>未付款</t>
        </is>
      </c>
      <c r="G11" s="7" t="inlineStr">
        <is>
          <t>⚠️ 持續未付款</t>
        </is>
      </c>
    </row>
    <row r="12">
      <c r="A12" s="7" t="inlineStr">
        <is>
          <t>D0012</t>
        </is>
      </c>
      <c r="B12" s="7" t="inlineStr">
        <is>
          <t>國際人權特赦組織(AI)</t>
        </is>
      </c>
      <c r="C12" s="7" t="n">
        <v>20000</v>
      </c>
      <c r="D12" s="7" t="inlineStr">
        <is>
          <t>已付款</t>
        </is>
      </c>
      <c r="E12" s="7" t="n">
        <v>20000</v>
      </c>
      <c r="F12" s="7" t="inlineStr">
        <is>
          <t>已付款</t>
        </is>
      </c>
      <c r="G12" s="7" t="inlineStr">
        <is>
          <t>➡️ 持平</t>
        </is>
      </c>
    </row>
    <row r="13"/>
    <row r="14">
      <c r="A14" s="5" t="inlineStr">
        <is>
          <t>💔 流失廠商（2016 有贊助但 2017 未出現）— 7 家</t>
        </is>
      </c>
    </row>
    <row r="15">
      <c r="A15" s="6" t="inlineStr">
        <is>
          <t>廠商編號</t>
        </is>
      </c>
      <c r="B15" s="6" t="inlineStr">
        <is>
          <t>廠商</t>
        </is>
      </c>
      <c r="C15" s="6" t="inlineStr">
        <is>
          <t>2016 報價</t>
        </is>
      </c>
      <c r="D15" s="6" t="inlineStr">
        <is>
          <t>2016 狀態</t>
        </is>
      </c>
      <c r="E15" s="6" t="inlineStr">
        <is>
          <t>備註</t>
        </is>
      </c>
    </row>
    <row r="16">
      <c r="A16" s="8" t="inlineStr">
        <is>
          <t>D0005</t>
        </is>
      </c>
      <c r="B16" s="8" t="inlineStr">
        <is>
          <t>愛滋病理協會</t>
        </is>
      </c>
      <c r="C16" s="8" t="n">
        <v>60000</v>
      </c>
      <c r="D16" s="8" t="inlineStr">
        <is>
          <t>已付款</t>
        </is>
      </c>
      <c r="E16" s="8" t="n"/>
    </row>
    <row r="17">
      <c r="A17" s="8" t="inlineStr">
        <is>
          <t>D0007</t>
        </is>
      </c>
      <c r="B17" s="8" t="inlineStr">
        <is>
          <t>華泰飯店</t>
        </is>
      </c>
      <c r="C17" s="8" t="n">
        <v>60000</v>
      </c>
      <c r="D17" s="8" t="inlineStr">
        <is>
          <t>已付款</t>
        </is>
      </c>
      <c r="E17" s="8" t="n"/>
    </row>
    <row r="18">
      <c r="A18" s="8" t="inlineStr">
        <is>
          <t>D0009</t>
        </is>
      </c>
      <c r="B18" s="8" t="inlineStr">
        <is>
          <t>基本書坊</t>
        </is>
      </c>
      <c r="C18" s="8" t="n">
        <v>50000</v>
      </c>
      <c r="D18" s="8" t="inlineStr">
        <is>
          <t>已付款</t>
        </is>
      </c>
      <c r="E18" s="8" t="n"/>
    </row>
    <row r="19">
      <c r="A19" s="8" t="inlineStr">
        <is>
          <t>D0010</t>
        </is>
      </c>
      <c r="B19" s="8" t="inlineStr">
        <is>
          <t>金鑛咖啡</t>
        </is>
      </c>
      <c r="C19" s="8" t="n">
        <v>40000</v>
      </c>
      <c r="D19" s="8" t="inlineStr">
        <is>
          <t>已付款</t>
        </is>
      </c>
      <c r="E19" s="8" t="n"/>
    </row>
    <row r="20">
      <c r="A20" s="8" t="inlineStr">
        <is>
          <t>D0013</t>
        </is>
      </c>
      <c r="B20" s="8" t="inlineStr">
        <is>
          <t>粉紅卡夫卡</t>
        </is>
      </c>
      <c r="C20" s="8" t="n">
        <v>20000</v>
      </c>
      <c r="D20" s="8" t="inlineStr">
        <is>
          <t>已付款</t>
        </is>
      </c>
      <c r="E20" s="8" t="n"/>
    </row>
    <row r="21">
      <c r="A21" s="8" t="inlineStr">
        <is>
          <t>D0014</t>
        </is>
      </c>
      <c r="B21" s="8" t="inlineStr">
        <is>
          <t>酷兒影展</t>
        </is>
      </c>
      <c r="C21" s="8" t="n">
        <v>20000</v>
      </c>
      <c r="D21" s="8" t="inlineStr">
        <is>
          <t>已付款</t>
        </is>
      </c>
      <c r="E21" s="8" t="n"/>
    </row>
    <row r="22">
      <c r="A22" s="8" t="inlineStr">
        <is>
          <t>D0015</t>
        </is>
      </c>
      <c r="B22" s="8" t="inlineStr">
        <is>
          <t>島國前進</t>
        </is>
      </c>
      <c r="C22" s="8" t="n">
        <v>3000</v>
      </c>
      <c r="D22" s="8" t="inlineStr">
        <is>
          <t>已付款</t>
        </is>
      </c>
      <c r="E22" s="8" t="n"/>
    </row>
    <row r="23"/>
    <row r="24">
      <c r="A24" s="5" t="inlineStr">
        <is>
          <t>🆕 新進廠商（2017 首次贊助）— 12 家</t>
        </is>
      </c>
    </row>
    <row r="25">
      <c r="A25" s="6" t="inlineStr">
        <is>
          <t>廠商編號</t>
        </is>
      </c>
      <c r="B25" s="6" t="inlineStr">
        <is>
          <t>廠商</t>
        </is>
      </c>
      <c r="C25" s="6" t="inlineStr">
        <is>
          <t>2017 報價</t>
        </is>
      </c>
      <c r="D25" s="6" t="inlineStr">
        <is>
          <t>2017 狀態</t>
        </is>
      </c>
      <c r="E25" s="6" t="inlineStr">
        <is>
          <t>產業</t>
        </is>
      </c>
    </row>
    <row r="26">
      <c r="A26" s="9" t="inlineStr">
        <is>
          <t>D0016</t>
        </is>
      </c>
      <c r="B26" s="9" t="inlineStr">
        <is>
          <t>觸控科技</t>
        </is>
      </c>
      <c r="C26" s="9" t="n">
        <v>315000</v>
      </c>
      <c r="D26" s="9" t="inlineStr">
        <is>
          <t>未付款</t>
        </is>
      </c>
      <c r="E26" s="9" t="inlineStr">
        <is>
          <t>科技／硬體</t>
        </is>
      </c>
    </row>
    <row r="27">
      <c r="A27" s="9" t="inlineStr">
        <is>
          <t>D0017</t>
        </is>
      </c>
      <c r="B27" s="9" t="inlineStr">
        <is>
          <t>UBer</t>
        </is>
      </c>
      <c r="C27" s="9" t="n">
        <v>100000</v>
      </c>
      <c r="D27" s="9" t="inlineStr">
        <is>
          <t>已付款</t>
        </is>
      </c>
      <c r="E27" s="9" t="inlineStr">
        <is>
          <t>科技／交通</t>
        </is>
      </c>
    </row>
    <row r="28">
      <c r="A28" s="9" t="inlineStr">
        <is>
          <t>D0018</t>
        </is>
      </c>
      <c r="B28" s="9" t="inlineStr">
        <is>
          <t>達博企業社(大龜)</t>
        </is>
      </c>
      <c r="C28" s="9" t="n">
        <v>100000</v>
      </c>
      <c r="D28" s="9" t="inlineStr">
        <is>
          <t>已付款</t>
        </is>
      </c>
      <c r="E28" s="9" t="inlineStr">
        <is>
          <t>製造／企業社</t>
        </is>
      </c>
    </row>
    <row r="29">
      <c r="A29" s="9" t="inlineStr">
        <is>
          <t>D0019</t>
        </is>
      </c>
      <c r="B29" s="9" t="inlineStr">
        <is>
          <t>雪豹科技</t>
        </is>
      </c>
      <c r="C29" s="9" t="n">
        <v>100000</v>
      </c>
      <c r="D29" s="9" t="inlineStr">
        <is>
          <t>已付款</t>
        </is>
      </c>
      <c r="E29" s="9" t="inlineStr">
        <is>
          <t>科技／網路</t>
        </is>
      </c>
    </row>
    <row r="30">
      <c r="A30" s="9" t="inlineStr">
        <is>
          <t>D0020</t>
        </is>
      </c>
      <c r="B30" s="9" t="inlineStr">
        <is>
          <t>GAP</t>
        </is>
      </c>
      <c r="C30" s="9" t="n">
        <v>60000</v>
      </c>
      <c r="D30" s="9" t="inlineStr">
        <is>
          <t>已付款</t>
        </is>
      </c>
      <c r="E30" s="9" t="inlineStr">
        <is>
          <t>服飾</t>
        </is>
      </c>
    </row>
    <row r="31">
      <c r="A31" s="9" t="inlineStr">
        <is>
          <t>D0021</t>
        </is>
      </c>
      <c r="B31" s="9" t="inlineStr">
        <is>
          <t>Sunpride Foundation 驕陽基金會</t>
        </is>
      </c>
      <c r="C31" s="9" t="n">
        <v>60000</v>
      </c>
      <c r="D31" s="9" t="inlineStr">
        <is>
          <t>已付款</t>
        </is>
      </c>
      <c r="E31" s="9" t="inlineStr">
        <is>
          <t>公益／NGO</t>
        </is>
      </c>
    </row>
    <row r="32">
      <c r="A32" s="9" t="inlineStr">
        <is>
          <t>D0022</t>
        </is>
      </c>
      <c r="B32" s="9" t="inlineStr">
        <is>
          <t>彩虹酷兒健康文化中心</t>
        </is>
      </c>
      <c r="C32" s="9" t="n">
        <v>60000</v>
      </c>
      <c r="D32" s="9" t="inlineStr">
        <is>
          <t>已付款</t>
        </is>
      </c>
      <c r="E32" s="9" t="inlineStr">
        <is>
          <t>公益／NGO（健康）</t>
        </is>
      </c>
    </row>
    <row r="33">
      <c r="A33" s="9" t="inlineStr">
        <is>
          <t>D0023</t>
        </is>
      </c>
      <c r="B33" s="9" t="inlineStr">
        <is>
          <t>艾緦整合行銷</t>
        </is>
      </c>
      <c r="C33" s="9" t="n">
        <v>60000</v>
      </c>
      <c r="D33" s="9" t="inlineStr">
        <is>
          <t>已付款</t>
        </is>
      </c>
      <c r="E33" s="9" t="inlineStr">
        <is>
          <t>行銷／代理</t>
        </is>
      </c>
    </row>
    <row r="34">
      <c r="A34" s="9" t="inlineStr">
        <is>
          <t>D0024</t>
        </is>
      </c>
      <c r="B34" s="9" t="inlineStr">
        <is>
          <t>ESHA</t>
        </is>
      </c>
      <c r="C34" s="9" t="n">
        <v>55000</v>
      </c>
      <c r="D34" s="9" t="inlineStr">
        <is>
          <t>已付款</t>
        </is>
      </c>
      <c r="E34" s="9" t="inlineStr">
        <is>
          <t>愛滋公益／NGO</t>
        </is>
      </c>
    </row>
    <row r="35">
      <c r="A35" s="9" t="inlineStr">
        <is>
          <t>D0025</t>
        </is>
      </c>
      <c r="B35" s="9" t="inlineStr">
        <is>
          <t>GaGaoLaLa</t>
        </is>
      </c>
      <c r="C35" s="9" t="n">
        <v>20000</v>
      </c>
      <c r="D35" s="9" t="inlineStr">
        <is>
          <t>已付款</t>
        </is>
      </c>
      <c r="E35" s="9" t="inlineStr">
        <is>
          <t>影音串流</t>
        </is>
      </c>
    </row>
    <row r="36">
      <c r="A36" s="9" t="inlineStr">
        <is>
          <t>D0026</t>
        </is>
      </c>
      <c r="B36" s="9" t="inlineStr">
        <is>
          <t>婚姻大平台</t>
        </is>
      </c>
      <c r="C36" s="9" t="n">
        <v>20000</v>
      </c>
      <c r="D36" s="9" t="inlineStr">
        <is>
          <t>已付款</t>
        </is>
      </c>
      <c r="E36" s="9" t="inlineStr">
        <is>
          <t>公益／NGO（婚姻平權）</t>
        </is>
      </c>
    </row>
    <row r="37">
      <c r="A37" s="9" t="inlineStr">
        <is>
          <t>D0027</t>
        </is>
      </c>
      <c r="B37" s="9" t="inlineStr">
        <is>
          <t>花旗商銀</t>
        </is>
      </c>
      <c r="C37" s="9" t="n">
        <v>7500</v>
      </c>
      <c r="D37" s="9" t="inlineStr">
        <is>
          <t>已付款</t>
        </is>
      </c>
      <c r="E37" s="9" t="inlineStr">
        <is>
          <t>金融銀行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10" customWidth="1" min="3" max="3"/>
  </cols>
  <sheetData>
    <row r="1">
      <c r="A1" s="1" t="inlineStr">
        <is>
          <t>修訂紀錄</t>
        </is>
      </c>
    </row>
    <row r="2">
      <c r="A2" s="6" t="inlineStr">
        <is>
          <t>版本</t>
        </is>
      </c>
      <c r="B2" s="6" t="inlineStr">
        <is>
          <t>日期</t>
        </is>
      </c>
      <c r="C2" s="6" t="inlineStr">
        <is>
          <t>變更內容</t>
        </is>
      </c>
    </row>
    <row r="3">
      <c r="A3" t="inlineStr">
        <is>
          <t>v1</t>
        </is>
      </c>
      <c r="B3" t="inlineStr">
        <is>
          <t>2026-04-30</t>
        </is>
      </c>
      <c r="C3" t="inlineStr">
        <is>
          <t>初版擷取，套用 2016 已確認決策（協辦排除、不考慮實收、20k 商業攤位 → T6）。GaGaoLaLa 依此邏輯一併歸入 T6。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2026-04-29T17:48:26Z</dcterms:created>
  <dcterms:modified xmlns:dcterms="http://purl.org/dc/terms/" xmlns:xsi="http://www.w3.org/2001/XMLSchema-instance" xsi:type="dcterms:W3CDTF">2026-04-29T17:48:26Z</dcterms:modified>
</cp:coreProperties>
</file>