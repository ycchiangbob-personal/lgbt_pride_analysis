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待釐清歸類疑義" sheetId="1" state="visible" r:id="rId1"/>
    <sheet xmlns:r="http://schemas.openxmlformats.org/officeDocument/2006/relationships" name="優先級建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808080"/>
      <sz val="10"/>
    </font>
    <font>
      <name val="Arial"/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699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13" customWidth="1" min="3" max="3"/>
    <col width="35" customWidth="1" min="4" max="4"/>
    <col width="25" customWidth="1" min="5" max="5"/>
    <col width="35" customWidth="1" min="6" max="6"/>
    <col width="35" customWidth="1" min="7" max="7"/>
  </cols>
  <sheetData>
    <row r="1">
      <c r="A1" s="1" t="inlineStr">
        <is>
          <t>2016–2025 待釐清歸類疑義總覽</t>
        </is>
      </c>
    </row>
    <row r="2">
      <c r="A2" s="2" t="inlineStr">
        <is>
          <t>優先級：H=影響總額（建議優先處理）/ M=分類一致性 / L=不影響整體</t>
        </is>
      </c>
    </row>
    <row r="4" ht="28" customHeight="1">
      <c r="A4" s="3" t="inlineStr">
        <is>
          <t>年度</t>
        </is>
      </c>
      <c r="B4" s="3" t="inlineStr">
        <is>
          <t>優先級</t>
        </is>
      </c>
      <c r="C4" s="3" t="inlineStr">
        <is>
          <t>類型</t>
        </is>
      </c>
      <c r="D4" s="3" t="inlineStr">
        <is>
          <t>項目</t>
        </is>
      </c>
      <c r="E4" s="3" t="inlineStr">
        <is>
          <t>現況</t>
        </is>
      </c>
      <c r="F4" s="3" t="inlineStr">
        <is>
          <t>疑義</t>
        </is>
      </c>
      <c r="G4" s="3" t="inlineStr">
        <is>
          <t>可選方案</t>
        </is>
      </c>
    </row>
    <row r="5">
      <c r="A5" s="4" t="n">
        <v>2016</v>
      </c>
      <c r="B5" s="4" t="inlineStr">
        <is>
          <t>M</t>
        </is>
      </c>
      <c r="C5" s="4" t="inlineStr">
        <is>
          <t>分類定義</t>
        </is>
      </c>
      <c r="D5" s="4" t="inlineStr">
        <is>
          <t>粉紅卡夫卡 (20k) / 酷兒影展 (20k)</t>
        </is>
      </c>
      <c r="E5" s="4" t="inlineStr">
        <is>
          <t>其他（未分級）</t>
        </is>
      </c>
      <c r="F5" s="4" t="inlineStr">
        <is>
          <t>本質為商業攤位，是否重歸類為「市集」？</t>
        </is>
      </c>
      <c r="G5" s="4" t="inlineStr">
        <is>
          <t>A. 維持「其他」 / B. 改為「市集」</t>
        </is>
      </c>
    </row>
    <row r="6">
      <c r="A6" s="5" t="n">
        <v>2016</v>
      </c>
      <c r="B6" s="5" t="inlineStr">
        <is>
          <t>L</t>
        </is>
      </c>
      <c r="C6" s="5" t="inlineStr">
        <is>
          <t>聚合資料</t>
        </is>
      </c>
      <c r="D6" s="5" t="inlineStr">
        <is>
          <t>2016 是否有 NGO 攤位/社運車聚合？</t>
        </is>
      </c>
      <c r="E6" s="5" t="inlineStr">
        <is>
          <t>未抓到</t>
        </is>
      </c>
      <c r="F6" s="5" t="inlineStr">
        <is>
          <t>請確認源檔案是否有市集 NGO 攤、社運車等聚合收入</t>
        </is>
      </c>
      <c r="G6" s="5" t="inlineStr">
        <is>
          <t>請確認源檔案</t>
        </is>
      </c>
    </row>
    <row r="7">
      <c r="A7" s="6" t="n">
        <v>2017</v>
      </c>
      <c r="B7" s="6" t="inlineStr">
        <is>
          <t>H</t>
        </is>
      </c>
      <c r="C7" s="6" t="inlineStr">
        <is>
          <t>未付款處理</t>
        </is>
      </c>
      <c r="D7" s="6" t="inlineStr">
        <is>
          <t>觸控科技 315k 未付款</t>
        </is>
      </c>
      <c r="E7" s="6" t="inlineStr">
        <is>
          <t>計入「其他」</t>
        </is>
      </c>
      <c r="F7" s="6" t="inlineStr">
        <is>
          <t>報價但完全未實際入帳，是否排除？</t>
        </is>
      </c>
      <c r="G7" s="6" t="inlineStr">
        <is>
          <t>A. 計入（目前）/ B. 排除（總額 -315k）</t>
        </is>
      </c>
    </row>
    <row r="8">
      <c r="A8" s="4" t="n">
        <v>2017</v>
      </c>
      <c r="B8" s="4" t="inlineStr">
        <is>
          <t>M</t>
        </is>
      </c>
      <c r="C8" s="4" t="inlineStr">
        <is>
          <t>未付款處理</t>
        </is>
      </c>
      <c r="D8" s="4" t="inlineStr">
        <is>
          <t>Tokyo RBP 47k 未付款</t>
        </is>
      </c>
      <c r="E8" s="4" t="inlineStr">
        <is>
          <t>計入「其他」</t>
        </is>
      </c>
      <c r="F8" s="4" t="inlineStr">
        <is>
          <t>連 2 年（2016+2017）未付款</t>
        </is>
      </c>
      <c r="G8" s="4" t="inlineStr">
        <is>
          <t>A. 計入（目前）/ B. 排除</t>
        </is>
      </c>
    </row>
    <row r="9">
      <c r="A9" s="4" t="n">
        <v>2017</v>
      </c>
      <c r="B9" s="4" t="inlineStr">
        <is>
          <t>M</t>
        </is>
      </c>
      <c r="C9" s="4" t="inlineStr">
        <is>
          <t>分類定義</t>
        </is>
      </c>
      <c r="D9" s="4" t="inlineStr">
        <is>
          <t>GaGaoLaLa (20k) / 婚姻大平台 (20k)</t>
        </is>
      </c>
      <c r="E9" s="4" t="inlineStr">
        <is>
          <t>其他</t>
        </is>
      </c>
      <c r="F9" s="4" t="inlineStr">
        <is>
          <t>同 2016 邏輯，20k 商業攤位歸類？</t>
        </is>
      </c>
      <c r="G9" s="4" t="inlineStr">
        <is>
          <t>A. 維持「其他」/ B. 改為「市集」</t>
        </is>
      </c>
    </row>
    <row r="10">
      <c r="A10" s="5" t="n">
        <v>2017</v>
      </c>
      <c r="B10" s="5" t="inlineStr">
        <is>
          <t>L</t>
        </is>
      </c>
      <c r="C10" s="5" t="inlineStr">
        <is>
          <t>異常項</t>
        </is>
      </c>
      <c r="D10" s="5" t="inlineStr">
        <is>
          <t>花旗商銀 7,500</t>
        </is>
      </c>
      <c r="E10" s="5" t="inlineStr">
        <is>
          <t>其他</t>
        </is>
      </c>
      <c r="F10" s="5" t="inlineStr">
        <is>
          <t>只有財務表入帳但無採購品項</t>
        </is>
      </c>
      <c r="G10" s="5" t="inlineStr">
        <is>
          <t>A. 計入（目前）/ B. 排除</t>
        </is>
      </c>
    </row>
    <row r="11">
      <c r="A11" s="6" t="n">
        <v>2018</v>
      </c>
      <c r="B11" s="6" t="inlineStr">
        <is>
          <t>H</t>
        </is>
      </c>
      <c r="C11" s="6" t="inlineStr">
        <is>
          <t>未付款處理</t>
        </is>
      </c>
      <c r="D11" s="6" t="inlineStr">
        <is>
          <t>Lifewonders 160k / YAHOO 110k / Tokyo RBP 50k / 婚姻大平台 36k 共 356k</t>
        </is>
      </c>
      <c r="E11" s="6" t="inlineStr">
        <is>
          <t>全部計入「其他」</t>
        </is>
      </c>
      <c r="F11" s="6" t="inlineStr">
        <is>
          <t>報價但未實際入帳</t>
        </is>
      </c>
      <c r="G11" s="6" t="inlineStr">
        <is>
          <t>A. 計入（目前）/ B. 排除（-356k）</t>
        </is>
      </c>
    </row>
    <row r="12">
      <c r="A12" s="5" t="n">
        <v>2018</v>
      </c>
      <c r="B12" s="5" t="inlineStr">
        <is>
          <t>L</t>
        </is>
      </c>
      <c r="C12" s="5" t="inlineStr">
        <is>
          <t>分類定義</t>
        </is>
      </c>
      <c r="D12" s="5" t="inlineStr">
        <is>
          <t>社運帳篷-AI 20k / 社運帳篷-婚權大平台 10k</t>
        </is>
      </c>
      <c r="E12" s="5" t="inlineStr">
        <is>
          <t>併入廠商主紀錄</t>
        </is>
      </c>
      <c r="F12" s="5" t="inlineStr">
        <is>
          <t>是否拆出獨立計入「市集」？</t>
        </is>
      </c>
      <c r="G12" s="5" t="inlineStr">
        <is>
          <t>A. 併入主紀錄（目前）/ B. 拆為市集</t>
        </is>
      </c>
    </row>
    <row r="13">
      <c r="A13" s="6" t="n">
        <v>2019</v>
      </c>
      <c r="B13" s="6" t="inlineStr">
        <is>
          <t>H</t>
        </is>
      </c>
      <c r="C13" s="6" t="inlineStr">
        <is>
          <t>廠商身分</t>
        </is>
      </c>
      <c r="D13" s="6" t="inlineStr">
        <is>
          <t>DES 100k = D0004 Destination,Beijing？</t>
        </is>
      </c>
      <c r="E13" s="6" t="inlineStr">
        <is>
          <t>視為新進廠商 D0040</t>
        </is>
      </c>
      <c r="F13" s="6" t="inlineStr">
        <is>
          <t>請確認</t>
        </is>
      </c>
      <c r="G13" s="6" t="inlineStr">
        <is>
          <t>A. 是同一家（合併）/ B. 不同（維持新進）</t>
        </is>
      </c>
    </row>
    <row r="14">
      <c r="A14" s="4" t="n">
        <v>2019</v>
      </c>
      <c r="B14" s="4" t="inlineStr">
        <is>
          <t>M</t>
        </is>
      </c>
      <c r="C14" s="4" t="inlineStr">
        <is>
          <t>廠商身分</t>
        </is>
      </c>
      <c r="D14" s="4" t="inlineStr">
        <is>
          <t>茶鋪 50k = D0001 辻利茶舖？</t>
        </is>
      </c>
      <c r="E14" s="4" t="inlineStr">
        <is>
          <t>視為新進廠商 D0044</t>
        </is>
      </c>
      <c r="F14" s="4" t="inlineStr">
        <is>
          <t>請確認</t>
        </is>
      </c>
      <c r="G14" s="4" t="inlineStr">
        <is>
          <t>A. 是同一家 / B. 不同</t>
        </is>
      </c>
    </row>
    <row r="15">
      <c r="A15" s="4" t="n">
        <v>2019</v>
      </c>
      <c r="B15" s="4" t="inlineStr">
        <is>
          <t>M</t>
        </is>
      </c>
      <c r="C15" s="4" t="inlineStr">
        <is>
          <t>分類定義</t>
        </is>
      </c>
      <c r="D15" s="4" t="inlineStr">
        <is>
          <t>紅樓友善商家聯盟 250k</t>
        </is>
      </c>
      <c r="E15" s="4" t="inlineStr">
        <is>
          <t>其他（未分級）</t>
        </is>
      </c>
      <c r="F15" s="4" t="inlineStr">
        <is>
          <t>商圈聯盟整批簽約</t>
        </is>
      </c>
      <c r="G15" s="4" t="inlineStr">
        <is>
          <t>A. 維持「其他」/ B. 改為「單購」</t>
        </is>
      </c>
    </row>
    <row r="16">
      <c r="A16" s="5" t="n">
        <v>2019</v>
      </c>
      <c r="B16" s="5" t="inlineStr">
        <is>
          <t>L</t>
        </is>
      </c>
      <c r="C16" s="5" t="inlineStr">
        <is>
          <t>聚合資料</t>
        </is>
      </c>
      <c r="D16" s="5" t="inlineStr">
        <is>
          <t>R45 社運車 100k 與 R32 5台NGO車 100k 是否重複？</t>
        </is>
      </c>
      <c r="E16" s="5" t="inlineStr">
        <is>
          <t>只用 R32</t>
        </is>
      </c>
      <c r="F16" s="5" t="inlineStr">
        <is>
          <t>R45 是 R32 的彙總列嗎？</t>
        </is>
      </c>
      <c r="G16" s="5" t="inlineStr">
        <is>
          <t>A. 是彙總（目前）/ B. 是另筆</t>
        </is>
      </c>
    </row>
    <row r="17">
      <c r="A17" s="7" t="n">
        <v>2020</v>
      </c>
      <c r="B17" s="7" t="inlineStr">
        <is>
          <t>✓</t>
        </is>
      </c>
      <c r="C17" s="7" t="inlineStr">
        <is>
          <t>已釐清</t>
        </is>
      </c>
      <c r="D17" s="7" t="inlineStr">
        <is>
          <t>無</t>
        </is>
      </c>
      <c r="E17" s="7" t="inlineStr">
        <is>
          <t>已完成所有決策</t>
        </is>
      </c>
      <c r="F17" s="7" t="inlineStr">
        <is>
          <t>無</t>
        </is>
      </c>
      <c r="G17" s="7" t="inlineStr">
        <is>
          <t>—</t>
        </is>
      </c>
    </row>
    <row r="18">
      <c r="A18" s="4" t="n">
        <v>2022</v>
      </c>
      <c r="B18" s="4" t="inlineStr">
        <is>
          <t>M</t>
        </is>
      </c>
      <c r="C18" s="4" t="inlineStr">
        <is>
          <t>分類</t>
        </is>
      </c>
      <c r="D18" s="4" t="inlineStr">
        <is>
          <t>臺虎精釀 249k</t>
        </is>
      </c>
      <c r="E18" s="4" t="inlineStr">
        <is>
          <t>「其他」</t>
        </is>
      </c>
      <c r="F18" s="4" t="inlineStr">
        <is>
          <t>2023 是「花車」，2022 是「其他」— 一致性？</t>
        </is>
      </c>
      <c r="G18" s="4" t="inlineStr">
        <is>
          <t>A. 維持「其他」/ B. 改為「單購」</t>
        </is>
      </c>
    </row>
    <row r="19">
      <c r="A19" s="4" t="n">
        <v>2022</v>
      </c>
      <c r="B19" s="4" t="inlineStr">
        <is>
          <t>M</t>
        </is>
      </c>
      <c r="C19" s="4" t="inlineStr">
        <is>
          <t>雙重計算</t>
        </is>
      </c>
      <c r="D19" s="4" t="inlineStr">
        <is>
          <t>32收款對帳表 NGO花車 1 筆 150.5k</t>
        </is>
      </c>
      <c r="E19" s="4" t="inlineStr">
        <is>
          <t>計入單購</t>
        </is>
      </c>
      <c r="F19" s="4" t="inlineStr">
        <is>
          <t>是否與 31業務統計總表廠商重疊？</t>
        </is>
      </c>
      <c r="G19" s="4" t="inlineStr">
        <is>
          <t>需查對</t>
        </is>
      </c>
    </row>
    <row r="20">
      <c r="A20" s="5" t="n">
        <v>2022</v>
      </c>
      <c r="B20" s="5" t="inlineStr">
        <is>
          <t>L</t>
        </is>
      </c>
      <c r="C20" s="5" t="inlineStr">
        <is>
          <t>不明項</t>
        </is>
      </c>
      <c r="D20" s="5" t="inlineStr">
        <is>
          <t>32收款對帳表「未分類」1 筆 150.5k</t>
        </is>
      </c>
      <c r="E20" s="5" t="inlineStr">
        <is>
          <t>未計入</t>
        </is>
      </c>
      <c r="F20" s="5" t="inlineStr">
        <is>
          <t>此筆是誰？</t>
        </is>
      </c>
      <c r="G20" s="5" t="inlineStr">
        <is>
          <t>需確認廠商身分</t>
        </is>
      </c>
    </row>
    <row r="21">
      <c r="A21" s="4" t="n">
        <v>2023</v>
      </c>
      <c r="B21" s="4" t="inlineStr">
        <is>
          <t>M</t>
        </is>
      </c>
      <c r="C21" s="4" t="inlineStr">
        <is>
          <t>0 金額</t>
        </is>
      </c>
      <c r="D21" s="4" t="inlineStr">
        <is>
          <t>T-Studio / 50% FIFTY PERCENT 銀級 0 金額</t>
        </is>
      </c>
      <c r="E21" s="4" t="inlineStr">
        <is>
          <t>計入級別贊助但金額 0</t>
        </is>
      </c>
      <c r="F21" s="4" t="inlineStr">
        <is>
          <t>in-kind 換贊助？</t>
        </is>
      </c>
      <c r="G21" s="4" t="inlineStr">
        <is>
          <t>A. 計入金額 0（目前）/ B. 排除 / C. 估算金額</t>
        </is>
      </c>
    </row>
    <row r="22">
      <c r="A22" s="5" t="n">
        <v>2023</v>
      </c>
      <c r="B22" s="5" t="inlineStr">
        <is>
          <t>L</t>
        </is>
      </c>
      <c r="C22" s="5" t="inlineStr">
        <is>
          <t>0 金額</t>
        </is>
      </c>
      <c r="D22" s="5" t="inlineStr">
        <is>
          <t>Cake Resume / Keyword Studios 其他類 0 金額</t>
        </is>
      </c>
      <c r="E22" s="5" t="inlineStr">
        <is>
          <t>計入其他但 0 金額</t>
        </is>
      </c>
      <c r="F22" s="5" t="inlineStr">
        <is>
          <t>同上</t>
        </is>
      </c>
      <c r="G22" s="5" t="inlineStr">
        <is>
          <t>A. 計入 / B. 排除</t>
        </is>
      </c>
    </row>
    <row r="23">
      <c r="A23" s="5" t="n">
        <v>2023</v>
      </c>
      <c r="B23" s="5" t="inlineStr">
        <is>
          <t>L</t>
        </is>
      </c>
      <c r="C23" s="5" t="inlineStr">
        <is>
          <t>不明項</t>
        </is>
      </c>
      <c r="D23" s="5" t="inlineStr">
        <is>
          <t>32收款對帳表「其它」1 筆 250k</t>
        </is>
      </c>
      <c r="E23" s="5" t="inlineStr">
        <is>
          <t>未計入</t>
        </is>
      </c>
      <c r="F23" s="5" t="inlineStr">
        <is>
          <t>此筆是誰？</t>
        </is>
      </c>
      <c r="G23" s="5" t="inlineStr">
        <is>
          <t>需確認廠商身分</t>
        </is>
      </c>
    </row>
    <row r="24">
      <c r="A24" s="4" t="n">
        <v>2023</v>
      </c>
      <c r="B24" s="4" t="inlineStr">
        <is>
          <t>M</t>
        </is>
      </c>
      <c r="C24" s="4" t="inlineStr">
        <is>
          <t>0 金額</t>
        </is>
      </c>
      <c r="D24" s="4" t="inlineStr">
        <is>
          <t>2023 友善飯店 8 家全部 0 金額</t>
        </is>
      </c>
      <c r="E24" s="4" t="inlineStr">
        <is>
          <t>計入單購但 0 金額</t>
        </is>
      </c>
      <c r="F24" s="4" t="inlineStr">
        <is>
          <t>飯店方案是否實際收費？</t>
        </is>
      </c>
      <c r="G24" s="4" t="inlineStr">
        <is>
          <t>A. 計入 / B. 排除 / C. 補入金額</t>
        </is>
      </c>
    </row>
    <row r="25">
      <c r="A25" s="5" t="n">
        <v>2024</v>
      </c>
      <c r="B25" s="5" t="inlineStr">
        <is>
          <t>L</t>
        </is>
      </c>
      <c r="C25" s="5" t="inlineStr">
        <is>
          <t>異常金額</t>
        </is>
      </c>
      <c r="D25" s="5" t="inlineStr">
        <is>
          <t>愛群婦產科 銅級 390k（標準 120k 的 3 倍）</t>
        </is>
      </c>
      <c r="E25" s="5" t="inlineStr">
        <is>
          <t>計入 390k</t>
        </is>
      </c>
      <c r="F25" s="5" t="inlineStr">
        <is>
          <t>可能多重贊助加碼</t>
        </is>
      </c>
      <c r="G25" s="5" t="inlineStr">
        <is>
          <t>A. 維持 390k / B. 拆分為多筆 / C. 標準 120k</t>
        </is>
      </c>
    </row>
    <row r="26">
      <c r="A26" s="5" t="n">
        <v>2024</v>
      </c>
      <c r="B26" s="5" t="inlineStr">
        <is>
          <t>L</t>
        </is>
      </c>
      <c r="C26" s="5" t="inlineStr">
        <is>
          <t>異常金額</t>
        </is>
      </c>
      <c r="D26" s="5" t="inlineStr">
        <is>
          <t>犀牛盾 單買 750k</t>
        </is>
      </c>
      <c r="E26" s="5" t="inlineStr">
        <is>
          <t>計入單購 750k</t>
        </is>
      </c>
      <c r="F26" s="5" t="inlineStr">
        <is>
          <t>可能是多項加總</t>
        </is>
      </c>
      <c r="G26" s="5" t="inlineStr">
        <is>
          <t>A. 維持 750k / B. 拆分</t>
        </is>
      </c>
    </row>
    <row r="27">
      <c r="A27" s="5" t="n">
        <v>2024</v>
      </c>
      <c r="B27" s="5" t="inlineStr">
        <is>
          <t>L</t>
        </is>
      </c>
      <c r="C27" s="5" t="inlineStr">
        <is>
          <t>異常金額</t>
        </is>
      </c>
      <c r="D27" s="5" t="inlineStr">
        <is>
          <t>Heroine 市集 帳篷 2 源 fee 100k vs 我規則 40k</t>
        </is>
      </c>
      <c r="E27" s="5" t="inlineStr">
        <is>
          <t>採規則 40k</t>
        </is>
      </c>
      <c r="F27" s="5" t="inlineStr">
        <is>
          <t>原始 100k 可能含特殊方案</t>
        </is>
      </c>
      <c r="G27" s="5" t="inlineStr">
        <is>
          <t>A. 規則 40k（目前）/ B. 採源 100k</t>
        </is>
      </c>
    </row>
    <row r="28">
      <c r="A28" s="4" t="n">
        <v>2025</v>
      </c>
      <c r="B28" s="4" t="inlineStr">
        <is>
          <t>M</t>
        </is>
      </c>
      <c r="C28" s="4" t="inlineStr">
        <is>
          <t>異常金額</t>
        </is>
      </c>
      <c r="D28" s="4" t="inlineStr">
        <is>
          <t>VERVE 花車 350k（標準 120k）</t>
        </is>
      </c>
      <c r="E28" s="4" t="inlineStr">
        <is>
          <t>計入單購 350k</t>
        </is>
      </c>
      <c r="F28" s="4" t="inlineStr">
        <is>
          <t>比標準高 230k</t>
        </is>
      </c>
      <c r="G28" s="4" t="inlineStr">
        <is>
          <t>A. 維持 350k / B. 標準 120k 其餘歸其他</t>
        </is>
      </c>
    </row>
    <row r="29">
      <c r="A29" s="5" t="n">
        <v>2025</v>
      </c>
      <c r="B29" s="5" t="inlineStr">
        <is>
          <t>L</t>
        </is>
      </c>
      <c r="C29" s="5" t="inlineStr">
        <is>
          <t>0 金額</t>
        </is>
      </c>
      <c r="D29" s="5" t="inlineStr">
        <is>
          <t>TENGA 市集 0 金額</t>
        </is>
      </c>
      <c r="E29" s="5" t="inlineStr">
        <is>
          <t>計入市集但 0 金額</t>
        </is>
      </c>
      <c r="F29" s="5" t="inlineStr">
        <is>
          <t>是否補金額？</t>
        </is>
      </c>
      <c r="G29" s="5" t="inlineStr">
        <is>
          <t>A. 排除 / B. 補入標準價</t>
        </is>
      </c>
    </row>
    <row r="30">
      <c r="A30" s="6" t="n">
        <v>2025</v>
      </c>
      <c r="B30" s="6" t="inlineStr">
        <is>
          <t>H</t>
        </is>
      </c>
      <c r="C30" s="6" t="inlineStr">
        <is>
          <t>空資料</t>
        </is>
      </c>
      <c r="D30" s="6" t="inlineStr">
        <is>
          <t>2025 市集分頁是空的</t>
        </is>
      </c>
      <c r="E30" s="6" t="inlineStr">
        <is>
          <t>只計入 31業務統計總表 1 家</t>
        </is>
      </c>
      <c r="F30" s="6" t="inlineStr">
        <is>
          <t>是否真的只有 1 攤？或市集尚未填寫？</t>
        </is>
      </c>
      <c r="G30" s="6" t="inlineStr">
        <is>
          <t>請確認 2025 市集是否還有其他攤商</t>
        </is>
      </c>
    </row>
    <row r="31">
      <c r="A31" s="5" t="n">
        <v>2025</v>
      </c>
      <c r="B31" s="5" t="inlineStr">
        <is>
          <t>L</t>
        </is>
      </c>
      <c r="C31" s="5" t="inlineStr">
        <is>
          <t>分類</t>
        </is>
      </c>
      <c r="D31" s="5" t="inlineStr">
        <is>
          <t>2025 聯名商品 160k</t>
        </is>
      </c>
      <c r="E31" s="5" t="inlineStr">
        <is>
          <t>其他</t>
        </is>
      </c>
      <c r="F31" s="5" t="inlineStr">
        <is>
          <t>聯名是「其他」還是「單購」？</t>
        </is>
      </c>
      <c r="G31" s="5" t="inlineStr">
        <is>
          <t>A. 維持「其他」/ B. 改為「單購」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8" customWidth="1" min="1" max="1"/>
    <col width="70" customWidth="1" min="2" max="2"/>
  </cols>
  <sheetData>
    <row r="1">
      <c r="A1" s="1" t="inlineStr">
        <is>
          <t>處理優先級建議</t>
        </is>
      </c>
    </row>
    <row r="3">
      <c r="A3" t="inlineStr"/>
      <c r="B3" t="inlineStr"/>
    </row>
    <row r="4">
      <c r="A4" s="8">
        <f>== H 高優先（影響總額） — 5 項 ===</f>
        <v/>
      </c>
      <c r="B4" t="inlineStr"/>
    </row>
    <row r="5">
      <c r="A5" t="inlineStr">
        <is>
          <t>觸控科技 315k 未付款 (2017)</t>
        </is>
      </c>
      <c r="B5" t="inlineStr">
        <is>
          <t>若排除：2017 總額 1,494,500 → 1,179,500（-21%）</t>
        </is>
      </c>
    </row>
    <row r="6">
      <c r="A6" t="inlineStr">
        <is>
          <t>Lifewonders 等 4 家未付款 356k (2018)</t>
        </is>
      </c>
      <c r="B6" t="inlineStr">
        <is>
          <t>若排除：2018 總額 1,565,000 → 1,209,000（-23%）</t>
        </is>
      </c>
    </row>
    <row r="7">
      <c r="A7" t="inlineStr">
        <is>
          <t>DES 100k 是否為 Destination,Beijing (2019)</t>
        </is>
      </c>
      <c r="B7" t="inlineStr">
        <is>
          <t>影響廠商生命週期分析（連續贊助 vs 新進）</t>
        </is>
      </c>
    </row>
    <row r="8">
      <c r="A8" t="inlineStr">
        <is>
          <t>2025 市集是否真的只有 1 攤</t>
        </is>
      </c>
      <c r="B8" t="inlineStr">
        <is>
          <t>影響 2025 總額（若有更多攤商）</t>
        </is>
      </c>
    </row>
    <row r="9">
      <c r="A9" t="inlineStr"/>
      <c r="B9" t="inlineStr"/>
    </row>
    <row r="10">
      <c r="A10" s="8">
        <f>== M 中優先（分類一致性） — 9 項 ===</f>
        <v/>
      </c>
      <c r="B10" t="inlineStr"/>
    </row>
    <row r="11">
      <c r="A11" t="inlineStr">
        <is>
          <t>粉紅卡夫卡/酷兒影展 (2016) - 是否歸市集？</t>
        </is>
      </c>
      <c r="B11" t="inlineStr">
        <is>
          <t>影響跨年度市集趨勢分析</t>
        </is>
      </c>
    </row>
    <row r="12">
      <c r="A12" t="inlineStr">
        <is>
          <t>GaGaoLaLa/婚姻大平台 (2017)</t>
        </is>
      </c>
      <c r="B12" t="inlineStr">
        <is>
          <t>同上</t>
        </is>
      </c>
    </row>
    <row r="13">
      <c r="A13" t="inlineStr">
        <is>
          <t>Tokyo RBP 47k 未付款 (2017)</t>
        </is>
      </c>
      <c r="B13" t="inlineStr">
        <is>
          <t>影響 2017 總額</t>
        </is>
      </c>
    </row>
    <row r="14">
      <c r="A14" t="inlineStr">
        <is>
          <t>紅樓友善商家聯盟 250k (2019) 分類</t>
        </is>
      </c>
      <c r="B14" t="inlineStr">
        <is>
          <t>單購 vs 其他</t>
        </is>
      </c>
    </row>
    <row r="15">
      <c r="A15" t="inlineStr">
        <is>
          <t>臺虎精釀 249k (2022) 分類</t>
        </is>
      </c>
      <c r="B15" t="inlineStr">
        <is>
          <t>與 2023 一致性</t>
        </is>
      </c>
    </row>
    <row r="16">
      <c r="A16" t="inlineStr">
        <is>
          <t>32 vs 31 重疊檢查 (2022)</t>
        </is>
      </c>
      <c r="B16" t="inlineStr">
        <is>
          <t>避免雙重計算</t>
        </is>
      </c>
    </row>
    <row r="17">
      <c r="A17" t="inlineStr">
        <is>
          <t>T-Studio/50% FIFTY PERCENT 銀級 0 金額 (2023)</t>
        </is>
      </c>
      <c r="B17" t="inlineStr">
        <is>
          <t>是否估算金額</t>
        </is>
      </c>
    </row>
    <row r="18">
      <c r="A18" t="inlineStr">
        <is>
          <t>2023 友善飯店 8 家 0 金額</t>
        </is>
      </c>
      <c r="B18" t="inlineStr">
        <is>
          <t>是否實際收費</t>
        </is>
      </c>
    </row>
    <row r="19">
      <c r="A19" t="inlineStr">
        <is>
          <t>VERVE 350k (2025) 異常</t>
        </is>
      </c>
      <c r="B19" t="inlineStr">
        <is>
          <t>是否拆分</t>
        </is>
      </c>
    </row>
    <row r="20">
      <c r="A20" t="inlineStr"/>
      <c r="B20" t="inlineStr"/>
    </row>
    <row r="21">
      <c r="A21" s="8">
        <f>== L 低優先（不影響整體） — 12 項 ===</f>
        <v/>
      </c>
      <c r="B21" t="inlineStr"/>
    </row>
    <row r="22">
      <c r="A22" t="inlineStr">
        <is>
          <t>多項異常金額/不明項</t>
        </is>
      </c>
      <c r="B22" t="inlineStr">
        <is>
          <t>可在主資料庫建好後再回頭處理</t>
        </is>
      </c>
    </row>
    <row r="23">
      <c r="A23" t="inlineStr"/>
      <c r="B23" t="inlineStr"/>
    </row>
    <row r="24">
      <c r="A24" s="8">
        <f>== 我的建議處理順序 ===</f>
        <v/>
      </c>
      <c r="B24" t="inlineStr"/>
    </row>
    <row r="25">
      <c r="A25" t="inlineStr">
        <is>
          <t>Step 1</t>
        </is>
      </c>
      <c r="B25" t="inlineStr">
        <is>
          <t>先確認 H 級 5 項（影響總額）</t>
        </is>
      </c>
    </row>
    <row r="26">
      <c r="A26" t="inlineStr">
        <is>
          <t>Step 2</t>
        </is>
      </c>
      <c r="B26" t="inlineStr">
        <is>
          <t>同步確認 M 級的廠商身分（DES、茶鋪、紅樓）</t>
        </is>
      </c>
    </row>
    <row r="27">
      <c r="A27" t="inlineStr">
        <is>
          <t>Step 3</t>
        </is>
      </c>
      <c r="B27" t="inlineStr">
        <is>
          <t>釐清「20k 商業攤位 → 市集」的跨年度規則（影響 2016/2017/2018）</t>
        </is>
      </c>
    </row>
    <row r="28">
      <c r="A28" t="inlineStr">
        <is>
          <t>Step 4</t>
        </is>
      </c>
      <c r="B28" t="inlineStr">
        <is>
          <t>0 金額廠商的處理規則統一</t>
        </is>
      </c>
    </row>
    <row r="29">
      <c r="A29" t="inlineStr">
        <is>
          <t>Step 5</t>
        </is>
      </c>
      <c r="B29" t="inlineStr">
        <is>
          <t>L 級項目逐項處理或直接接受現況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2026-04-30T04:16:46Z</dcterms:created>
  <dcterms:modified xmlns:dcterms="http://purl.org/dc/terms/" xmlns:xsi="http://www.w3.org/2001/XMLSchema-instance" xsi:type="dcterms:W3CDTF">2026-04-30T04:16:46Z</dcterms:modified>
</cp:coreProperties>
</file>